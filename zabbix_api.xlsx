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675" firstSheet="12" activeTab="14"/>
  </bookViews>
  <sheets>
    <sheet name="01_创建主机组" sheetId="8" r:id="rId1"/>
    <sheet name="02_创建模板" sheetId="1" r:id="rId2"/>
    <sheet name="03_模板添加用户宏" sheetId="2" r:id="rId3"/>
    <sheet name="04_模板关联模板" sheetId="14" r:id="rId4"/>
    <sheet name="05_模板更新标签" sheetId="15" r:id="rId5"/>
    <sheet name="06_模板创建监控项" sheetId="16" r:id="rId6"/>
    <sheet name="07_模板更新监控项标签" sheetId="17" r:id="rId7"/>
    <sheet name="08_模板创建触发器" sheetId="4" r:id="rId8"/>
    <sheet name="09_模板更新触发器标签" sheetId="18" r:id="rId9"/>
    <sheet name="10_创建主机" sheetId="5" r:id="rId10"/>
    <sheet name="11_主机创建接口" sheetId="6" r:id="rId11"/>
    <sheet name="12_主机关联模板" sheetId="7" r:id="rId12"/>
    <sheet name="13_主机关联主机组" sheetId="9" r:id="rId13"/>
    <sheet name="14_按主机批量计算历史值" sheetId="10" r:id="rId14"/>
    <sheet name="15_按主机批量导出历史数据" sheetId="19" r:id="rId15"/>
    <sheet name="16_按主机组导出主机" sheetId="11" r:id="rId16"/>
    <sheet name="17_批量停止已启用触发器" sheetId="13" r:id="rId17"/>
    <sheet name="18_根据监控项历史值关联模板" sheetId="20" r:id="rId18"/>
    <sheet name="19_翻译模板监控项" sheetId="21" r:id="rId19"/>
    <sheet name="20_还原模板监控项" sheetId="22" r:id="rId20"/>
    <sheet name="21_翻译模板触发器" sheetId="23" r:id="rId21"/>
    <sheet name="22_还原模板触发器" sheetId="24" r:id="rId22"/>
    <sheet name="23_翻译模板图形" sheetId="25" r:id="rId23"/>
    <sheet name="24_还原模板图形" sheetId="26" r:id="rId24"/>
    <sheet name="25_翻译模板监控项原型" sheetId="27" r:id="rId25"/>
    <sheet name="26_还原模板监控项原型" sheetId="28" r:id="rId26"/>
    <sheet name="27_翻译模板触发器类型" sheetId="29" r:id="rId27"/>
    <sheet name="28_还原模板触发器类型" sheetId="30" r:id="rId28"/>
    <sheet name="29_翻译模板图形原型" sheetId="31" r:id="rId29"/>
    <sheet name="30_还原模板图形原型" sheetId="32" r:id="rId30"/>
    <sheet name="31_发现规则" sheetId="33" r:id="rId31"/>
    <sheet name="32_模板创建监控项原型" sheetId="34" r:id="rId32"/>
    <sheet name="33_模板创建触发器" sheetId="35" r:id="rId33"/>
    <sheet name="34_获取所有告警信息" sheetId="36" r:id="rId34"/>
    <sheet name="35_获取所有事件信息" sheetId="37" r:id="rId35"/>
    <sheet name="36_下发文件" sheetId="38" r:id="rId36"/>
    <sheet name="37_翻译模板触发器事件名称" sheetId="39" r:id="rId37"/>
    <sheet name="38_翻译模板原型触发器事件名称" sheetId="40" r:id="rId38"/>
    <sheet name="39_批量停止不支持监控项" sheetId="41" r:id="rId39"/>
    <sheet name="40_翻译所有模板标签名称" sheetId="42" r:id="rId40"/>
    <sheet name="41_翻译所有模板监控项标签名称" sheetId="43" r:id="rId41"/>
    <sheet name="42_翻译所有模板触发器标签名称" sheetId="44" r:id="rId42"/>
    <sheet name="43_翻译模板监控项原型标签" sheetId="45" r:id="rId43"/>
    <sheet name="44_翻译模板原型触发器标签" sheetId="46" r:id="rId44"/>
    <sheet name="45_翻译主机组名称" sheetId="47" r:id="rId45"/>
    <sheet name="46_翻译模板组名称" sheetId="48" r:id="rId46"/>
    <sheet name="47_翻译模板应用集名称" sheetId="49" r:id="rId47"/>
    <sheet name="48_按主机组批量导出监控项" sheetId="50" r:id="rId48"/>
    <sheet name="49_获取所有事件信息" sheetId="51" r:id="rId49"/>
    <sheet name="50_为所有主机获取数据" sheetId="52" r:id="rId50"/>
    <sheet name="51_创建Proxy组" sheetId="54" r:id="rId51"/>
    <sheet name="52_创建Proxy" sheetId="55" r:id="rId52"/>
    <sheet name="53_主机关联Proxy" sheetId="56" r:id="rId53"/>
    <sheet name="54_主机关联Proxy" sheetId="57" r:id="rId54"/>
    <sheet name="55_按主机更新可见名" sheetId="58" r:id="rId55"/>
    <sheet name="56_翻译模板描述" sheetId="59" r:id="rId56"/>
    <sheet name="57_翻译模板宏描述" sheetId="60" r:id="rId57"/>
    <sheet name="58_创建模板组" sheetId="62" r:id="rId58"/>
  </sheets>
  <definedNames>
    <definedName name="_xlnm.Print_Area" localSheetId="9">'10_创建主机'!$A$1:$J$89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<sst xmlns="http://schemas.openxmlformats.org/spreadsheetml/2006/main" count="1729" uniqueCount="419">
  <si>
    <t>主机组名称</t>
  </si>
  <si>
    <t>000_交换机</t>
  </si>
  <si>
    <t>000_Topsec</t>
  </si>
  <si>
    <t>模板名称</t>
  </si>
  <si>
    <t>主机组/模板组名称</t>
  </si>
  <si>
    <t>zabbix_sender1</t>
  </si>
  <si>
    <t>用户宏名称</t>
  </si>
  <si>
    <t>用户宏值</t>
  </si>
  <si>
    <t>template1</t>
  </si>
  <si>
    <t>{$HOST.IP}</t>
  </si>
  <si>
    <t>{$STORWIZE_PASSWORD}</t>
  </si>
  <si>
    <t>{$STORWIZE_PORT}</t>
  </si>
  <si>
    <t>{$STORWIZE_USER}</t>
  </si>
  <si>
    <t>template2</t>
  </si>
  <si>
    <t>Linux by Zabbix agent</t>
  </si>
  <si>
    <t>template3</t>
  </si>
  <si>
    <t>template4</t>
  </si>
  <si>
    <t>template5</t>
  </si>
  <si>
    <t>template6</t>
  </si>
  <si>
    <t>template7</t>
  </si>
  <si>
    <t>template8</t>
  </si>
  <si>
    <t>template9</t>
  </si>
  <si>
    <t>标签名称</t>
  </si>
  <si>
    <t>标签值</t>
  </si>
  <si>
    <t>tag2</t>
  </si>
  <si>
    <t>value2</t>
  </si>
  <si>
    <t>tag3</t>
  </si>
  <si>
    <t>value3</t>
  </si>
  <si>
    <t>tag4</t>
  </si>
  <si>
    <t>value4</t>
  </si>
  <si>
    <t>tag5</t>
  </si>
  <si>
    <t>value5</t>
  </si>
  <si>
    <t>tag6</t>
  </si>
  <si>
    <t>value6</t>
  </si>
  <si>
    <t>tag7</t>
  </si>
  <si>
    <t>value7</t>
  </si>
  <si>
    <t>tag8</t>
  </si>
  <si>
    <t>value8</t>
  </si>
  <si>
    <t>tag9</t>
  </si>
  <si>
    <t>value9</t>
  </si>
  <si>
    <t>tag10</t>
  </si>
  <si>
    <t>value10</t>
  </si>
  <si>
    <t>监控项名称</t>
  </si>
  <si>
    <t>监控项类型</t>
  </si>
  <si>
    <t>监控项关键字</t>
  </si>
  <si>
    <t>监控项数据类型</t>
  </si>
  <si>
    <t>更新监控项的时间间隔</t>
  </si>
  <si>
    <t>snmp_oid</t>
  </si>
  <si>
    <t>ssh status</t>
  </si>
  <si>
    <t>zabbix_sender.py["--type=ssh","--host={HOST.NAME}","--ip={$HOST.IP}","--port={$STORWIZE_PORT}","--user={$STORWIZE_USER}","--pwd={$STORWIZE_PASSWORD}","--status"]</t>
  </si>
  <si>
    <t>3m</t>
  </si>
  <si>
    <t>30m</t>
  </si>
  <si>
    <t>zabbix_sender.py["--type=telnet","--host={HOST.NAME}","--ip={$HOST.IP}","--port={$STORWIZE_PORT}","--user={$STORWIZE_USER}","--pwd={$STORWIZE_PASSWORD}","--discovery"]</t>
  </si>
  <si>
    <t>zabbix_sender.py["--type=telnet","--host={HOST.NAME}","--ip={$HOST.IP}","--port={$STORWIZE_PORT}","--user={$STORWIZE_USER}","--pwd={$STORWIZE_PASSWORD}","--status"]</t>
  </si>
  <si>
    <t>zabbix_sender.py["--type=web","--host={HOST.NAME}","--url_http={$URL_HTTP}","--url_pwd={$URL_PWD}","--url_schoolid={$URL_SCHOOLID}","--url_userid={$URL_USERID}","--discovery"]</t>
  </si>
  <si>
    <t>zabbix_sender.py["--type=web","--host={HOST.NAME}","--url_http={$URL_HTTP}","--url_pwd={$URL_PWD}","--url_schoolid={$URL_SCHOOLID}","--url_userid={$URL_USERID}","--status"]</t>
  </si>
  <si>
    <t>触发器名称</t>
  </si>
  <si>
    <t>触发器的严重性级别</t>
  </si>
  <si>
    <t>简化的触发器表达式</t>
  </si>
  <si>
    <t>生成的触发恢复表达式</t>
  </si>
  <si>
    <t>s1</t>
  </si>
  <si>
    <t>last(/template1/zabbix_sender.py["--type=ssh","--host={HOST.NAME}","--ip={$HOST.IP}","--port={$STORWIZE_PORT}","--user={$STORWIZE_USER}","--pwd={$STORWIZE_PASSWORD}","--status"])&lt;&gt;0 or nodata(/template1/zabbix_sender.py["--type=ssh","--host={HOST.NAME}","--ip={$HOST.IP}","--port={$STORWIZE_PORT}","--user={$STORWIZE_USER}","--pwd={$STORWIZE_PASSWORD}","--status"],5m)&lt;&gt;0</t>
  </si>
  <si>
    <t>last(/template1/zabbix_sender.py["--type=ssh","--host={HOST.NAME}","--ip={$HOST.IP}","--port={$STORWIZE_PORT}","--user={$STORWIZE_USER}","--pwd={$STORWIZE_PASSWORD}","--status"])=0 or nodata(/template1/zabbix_sender.py["--type=ssh","--host={HOST.NAME}","--ip={$HOST.IP}","--port={$STORWIZE_PORT}","--user={$STORWIZE_USER}","--pwd={$STORWIZE_PASSWORD}","--status"],5m)=0</t>
  </si>
  <si>
    <t>last(/template2/zabbix_sender.py["--type=ssh","--host={HOST.NAME}","--ip={$HOST.IP}","--port={$STORWIZE_PORT}","--user={$STORWIZE_USER}","--pwd={$STORWIZE_PASSWORD}","--status"])&lt;&gt;0 or nodata(/template2/zabbix_sender.py["--type=ssh","--host={HOST.NAME}","--ip={$HOST.IP}","--port={$STORWIZE_PORT}","--user={$STORWIZE_USER}","--pwd={$STORWIZE_PASSWORD}","--status"],5m)&lt;&gt;0</t>
  </si>
  <si>
    <t>last(/template2/zabbix_sender.py["--type=ssh","--host={HOST.NAME}","--ip={$HOST.IP}","--port={$STORWIZE_PORT}","--user={$STORWIZE_USER}","--pwd={$STORWIZE_PASSWORD}","--status"])=0 or nodata(/template2/zabbix_sender.py["--type=ssh","--host={HOST.NAME}","--ip={$HOST.IP}","--port={$STORWIZE_PORT}","--user={$STORWIZE_USER}","--pwd={$STORWIZE_PASSWORD}","--status"],5m)=0</t>
  </si>
  <si>
    <t>last(/template3/zabbix_sender.py["--type=ssh","--host={HOST.NAME}","--ip={$HOST.IP}","--port={$STORWIZE_PORT}","--user={$STORWIZE_USER}","--pwd={$STORWIZE_PASSWORD}","--status"])&lt;&gt;0 or nodata(/template3/zabbix_sender.py["--type=ssh","--host={HOST.NAME}","--ip={$HOST.IP}","--port={$STORWIZE_PORT}","--user={$STORWIZE_USER}","--pwd={$STORWIZE_PASSWORD}","--status"],5m)&lt;&gt;0</t>
  </si>
  <si>
    <t>last(/template3/zabbix_sender.py["--type=ssh","--host={HOST.NAME}","--ip={$HOST.IP}","--port={$STORWIZE_PORT}","--user={$STORWIZE_USER}","--pwd={$STORWIZE_PASSWORD}","--status"])=0 or nodata(/template3/zabbix_sender.py["--type=ssh","--host={HOST.NAME}","--ip={$HOST.IP}","--port={$STORWIZE_PORT}","--user={$STORWIZE_USER}","--pwd={$STORWIZE_PASSWORD}","--status"],5m)=0</t>
  </si>
  <si>
    <t>last(/template1/zabbix_sender.py["--type=ssh","--host={HOST.NAME}","--ip={$HOST.IP}","--port={$STORWIZE_PORT}","--user={$STORWIZE_USER}","--pwd={$STORWIZE_PASSWORD}","--status"])&lt;&gt;0 or nodata(/template1/zabbix_sender.py["--type=ssh","--host={HOST.NAME}","--ip={$HOST.IP}","--port={$STORWIZE_PORT}","--user={$STORWIZE_USER}","--pwd={$STORWIZE_PASSWORD}","--status"],5m)=1</t>
  </si>
  <si>
    <t>last(/template1/zabbix_sender.py["--type=ssh","--host=template1","--ip={$HOST.IP}","--port={$STORWI
ZE_PORT}","--user={$STORWIZE_USER}","--pwd={$STORWIZE_PASSWORD}","--status"])&lt;&gt;0 or nodata(/template1/zabbix_sender.py["--type=ssh","--host=template1","--ip={$HOST.IP}","--port={$STORWIZE_PORT}","--user={$STORWIZE_USER}","--pwd={$STORWIZE_PASSWORD}","--status"],5m)=1</t>
  </si>
  <si>
    <t>主机名称</t>
  </si>
  <si>
    <t>接口类型</t>
  </si>
  <si>
    <t>IP地址</t>
  </si>
  <si>
    <t>端口号</t>
  </si>
  <si>
    <t>版本</t>
  </si>
  <si>
    <t>安全级别</t>
  </si>
  <si>
    <t>身份认证协议</t>
  </si>
  <si>
    <t>隐私协议</t>
  </si>
  <si>
    <t>IPMI 验证算法</t>
  </si>
  <si>
    <t>IPMI 权限等级</t>
  </si>
  <si>
    <t>IPMI 用户名</t>
  </si>
  <si>
    <t>IPMI 密码</t>
  </si>
  <si>
    <t>可见名称</t>
  </si>
  <si>
    <t>团体字</t>
  </si>
  <si>
    <t>安全名称</t>
  </si>
  <si>
    <t>验证口令</t>
  </si>
  <si>
    <t>私钥</t>
  </si>
  <si>
    <t>172.16.51.126</t>
  </si>
  <si>
    <t>Linux by Zabbix agent active</t>
  </si>
  <si>
    <t>虚拟机</t>
  </si>
  <si>
    <t>172.16.51.127</t>
  </si>
  <si>
    <t>172.16.51.128</t>
  </si>
  <si>
    <t>172.16.51.129</t>
  </si>
  <si>
    <t>172.16.51.130</t>
  </si>
  <si>
    <t>172.16.51.131</t>
  </si>
  <si>
    <t>172.16.32.252</t>
  </si>
  <si>
    <t>1.1.1.1</t>
  </si>
  <si>
    <t>${SNMP_READ}</t>
  </si>
  <si>
    <t>${SNMP_NAME}</t>
  </si>
  <si>
    <t>${SNMP_PUB}</t>
  </si>
  <si>
    <t>${SNMP_PRI}</t>
  </si>
  <si>
    <t>172.16.32.253</t>
  </si>
  <si>
    <t>172.16.1.252</t>
  </si>
  <si>
    <t>172.16.1.253</t>
  </si>
  <si>
    <t>172.16.17.2</t>
  </si>
  <si>
    <t>172.16.40.2</t>
  </si>
  <si>
    <t>172.16.40.3</t>
  </si>
  <si>
    <t>172.16.49.2</t>
  </si>
  <si>
    <t>172.16.11.251</t>
  </si>
  <si>
    <t>172.16.11.252</t>
  </si>
  <si>
    <t>192.168.0.1</t>
  </si>
  <si>
    <t>001_switch</t>
  </si>
  <si>
    <t>192.168.0.2</t>
  </si>
  <si>
    <t>192.168.0.3</t>
  </si>
  <si>
    <t>192.168.0.4</t>
  </si>
  <si>
    <t>192.168.0.5</t>
  </si>
  <si>
    <t>192.168.0.6</t>
  </si>
  <si>
    <t>192.168.0.7</t>
  </si>
  <si>
    <t>192.168.0.8</t>
  </si>
  <si>
    <t>192.168.0.9</t>
  </si>
  <si>
    <t>192.168.0.10</t>
  </si>
  <si>
    <t>192.168.0.11</t>
  </si>
  <si>
    <t>192.168.0.12</t>
  </si>
  <si>
    <t>192.168.0.13</t>
  </si>
  <si>
    <t>192.168.0.14</t>
  </si>
  <si>
    <t>192.168.0.15</t>
  </si>
  <si>
    <t>192.168.0.16</t>
  </si>
  <si>
    <t>192.168.0.17</t>
  </si>
  <si>
    <t>192.168.0.18</t>
  </si>
  <si>
    <t>192.168.0.19</t>
  </si>
  <si>
    <t>192.168.0.20</t>
  </si>
  <si>
    <t>主机名</t>
  </si>
  <si>
    <t>监控项键值</t>
  </si>
  <si>
    <t>数据类型</t>
  </si>
  <si>
    <t>单位</t>
  </si>
  <si>
    <t>开始时间</t>
  </si>
  <si>
    <t>结束时间</t>
  </si>
  <si>
    <t>最小值</t>
  </si>
  <si>
    <t>平均值</t>
  </si>
  <si>
    <t>最大值</t>
  </si>
  <si>
    <t>172.16.37.13</t>
  </si>
  <si>
    <t>vm.memory.utilization</t>
  </si>
  <si>
    <t>N</t>
  </si>
  <si>
    <t>2025-08-05 00:00:00</t>
  </si>
  <si>
    <t>2026-08-05 23:59:59</t>
  </si>
  <si>
    <t>172.16.19.24</t>
  </si>
  <si>
    <t>172.16.19.25</t>
  </si>
  <si>
    <t>172.16.19.26</t>
  </si>
  <si>
    <t>172.16.19.27</t>
  </si>
  <si>
    <t>172.16.34.10</t>
  </si>
  <si>
    <t>172.16.37.10</t>
  </si>
  <si>
    <t>172.16.37.16</t>
  </si>
  <si>
    <t>172.16.37.17</t>
  </si>
  <si>
    <t>172.16.37.20</t>
  </si>
  <si>
    <t>172.16.38.21</t>
  </si>
  <si>
    <t>172.16.38.22</t>
  </si>
  <si>
    <t>vfs.fs.size[/,pused]</t>
  </si>
  <si>
    <t>172.16.51.111</t>
  </si>
  <si>
    <t>system.cpu.util</t>
  </si>
  <si>
    <t>172.16.51.112</t>
  </si>
  <si>
    <t>172.16.51.113</t>
  </si>
  <si>
    <t>172.16.51.114</t>
  </si>
  <si>
    <t>172.16.51.200</t>
  </si>
  <si>
    <t>172.16.51.202</t>
  </si>
  <si>
    <t>172.16.51.206</t>
  </si>
  <si>
    <t>172.16.51.250</t>
  </si>
  <si>
    <t>172.16.51.203</t>
  </si>
  <si>
    <t>172.16.51.201</t>
  </si>
  <si>
    <t>172.16.51.207</t>
  </si>
  <si>
    <t>172.16.51.204</t>
  </si>
  <si>
    <t>172.16.51.205</t>
  </si>
  <si>
    <t>172.16.51.194</t>
  </si>
  <si>
    <t>172.16.51.195</t>
  </si>
  <si>
    <t>172.16.51.196</t>
  </si>
  <si>
    <t>172.16.51.197</t>
  </si>
  <si>
    <t>172.16.51.198</t>
  </si>
  <si>
    <t>172.16.51.199</t>
  </si>
  <si>
    <t>172.16.51.208</t>
  </si>
  <si>
    <t>172.16.51.209</t>
  </si>
  <si>
    <t>172.16.51.210</t>
  </si>
  <si>
    <t>172.16.51.212</t>
  </si>
  <si>
    <t>172.16.51.213</t>
  </si>
  <si>
    <t>172.16.51.211</t>
  </si>
  <si>
    <t>172.16.51.214</t>
  </si>
  <si>
    <t>172.16.51.215</t>
  </si>
  <si>
    <t>172.16.51.226</t>
  </si>
  <si>
    <t>172.16.51.228</t>
  </si>
  <si>
    <t>172.16.51.229</t>
  </si>
  <si>
    <t>172.16.51.234</t>
  </si>
  <si>
    <t>172.16.51.230</t>
  </si>
  <si>
    <t>172.16.51.235</t>
  </si>
  <si>
    <t>172.16.51.239</t>
  </si>
  <si>
    <t>172.16.54.10</t>
  </si>
  <si>
    <t>172.16.54.11</t>
  </si>
  <si>
    <t>172.16.54.13</t>
  </si>
  <si>
    <t>172.16.54.12</t>
  </si>
  <si>
    <t>172.16.54.252</t>
  </si>
  <si>
    <t>172.16.54.202</t>
  </si>
  <si>
    <t>172.16.51.100</t>
  </si>
  <si>
    <t>172.16.51.243</t>
  </si>
  <si>
    <t>172.16.51.246</t>
  </si>
  <si>
    <t>172.16.51.245</t>
  </si>
  <si>
    <t>172.16.51.244</t>
  </si>
  <si>
    <t>172.16.51.247</t>
  </si>
  <si>
    <t>172.16.51.248</t>
  </si>
  <si>
    <t>172.16.51.3</t>
  </si>
  <si>
    <t>172.16.51.2</t>
  </si>
  <si>
    <t>172.16.51.7</t>
  </si>
  <si>
    <t>172.16.51.4</t>
  </si>
  <si>
    <t>172.16.51.5</t>
  </si>
  <si>
    <t>172.16.51.8</t>
  </si>
  <si>
    <t>172.16.51.10</t>
  </si>
  <si>
    <t>172.16.51.9</t>
  </si>
  <si>
    <t>172.16.51.11</t>
  </si>
  <si>
    <t>172.16.51.12</t>
  </si>
  <si>
    <t>172.16.51.16</t>
  </si>
  <si>
    <t>172.16.51.18</t>
  </si>
  <si>
    <t>172.16.51.20</t>
  </si>
  <si>
    <t>172.16.51.19</t>
  </si>
  <si>
    <t>172.16.51.21</t>
  </si>
  <si>
    <t>172.16.51.22</t>
  </si>
  <si>
    <t>172.16.51.23</t>
  </si>
  <si>
    <t>172.16.51.24</t>
  </si>
  <si>
    <t>172.16.51.25</t>
  </si>
  <si>
    <t>172.16.51.26</t>
  </si>
  <si>
    <t>172.16.51.27</t>
  </si>
  <si>
    <t>172.16.51.28</t>
  </si>
  <si>
    <t>172.16.51.6</t>
  </si>
  <si>
    <t>172.16.51.13</t>
  </si>
  <si>
    <t>172.16.51.17</t>
  </si>
  <si>
    <t>172.16.51.14</t>
  </si>
  <si>
    <t>172.16.51.35</t>
  </si>
  <si>
    <t>172.16.51.1</t>
  </si>
  <si>
    <t>172.16.51.31</t>
  </si>
  <si>
    <t>172.16.51.32</t>
  </si>
  <si>
    <t>172.16.51.54</t>
  </si>
  <si>
    <t>收到值的时间</t>
  </si>
  <si>
    <t>收到的值</t>
  </si>
  <si>
    <t>0</t>
  </si>
  <si>
    <t>2026-08-05 00:00:00</t>
  </si>
  <si>
    <t>模板</t>
  </si>
  <si>
    <t>Linux服务器</t>
  </si>
  <si>
    <t>Zabbix服务器</t>
  </si>
  <si>
    <t>发现主机</t>
  </si>
  <si>
    <t>虚拟化</t>
  </si>
  <si>
    <t>模板/应用</t>
  </si>
  <si>
    <t>模板/数据库</t>
  </si>
  <si>
    <t>模板/云</t>
  </si>
  <si>
    <t>安全设备</t>
  </si>
  <si>
    <t>000_4号机房</t>
  </si>
  <si>
    <t>物理机</t>
  </si>
  <si>
    <t>要停用的触发器级别</t>
  </si>
  <si>
    <t>历史对象的类型</t>
  </si>
  <si>
    <t>开始时间与结束时间</t>
  </si>
  <si>
    <t>删除模板名称</t>
  </si>
  <si>
    <t>监控项值</t>
  </si>
  <si>
    <t>关联模板名称1</t>
  </si>
  <si>
    <t>关联模板名称2</t>
  </si>
  <si>
    <t>Zabbix servers</t>
  </si>
  <si>
    <t>system.run[cat /etc/zabbix/zabbix_agent2.d/1.txt | awk -F "=" '{print $2}']</t>
  </si>
  <si>
    <t>template10</t>
  </si>
  <si>
    <t>1100</t>
  </si>
  <si>
    <t>2.sh</t>
  </si>
  <si>
    <t>1010</t>
  </si>
  <si>
    <t>3.sh</t>
  </si>
  <si>
    <t>1001</t>
  </si>
  <si>
    <t>4.sh</t>
  </si>
  <si>
    <t>0110</t>
  </si>
  <si>
    <t>system.run[echo 1]</t>
  </si>
  <si>
    <t>0101</t>
  </si>
  <si>
    <t>system.run[echo 0]</t>
  </si>
  <si>
    <t>0011</t>
  </si>
  <si>
    <t>2.ssh</t>
  </si>
  <si>
    <t>1011</t>
  </si>
  <si>
    <t>Apache Kafka by JMX</t>
  </si>
  <si>
    <t>监控项ID</t>
  </si>
  <si>
    <t>中文名称</t>
  </si>
  <si>
    <t>ZYXEL MGS3520-28x SNMP</t>
  </si>
  <si>
    <t>触发器ID</t>
  </si>
  <si>
    <t>Asterisk by HTTP</t>
  </si>
  <si>
    <t>图表ID</t>
  </si>
  <si>
    <t>ZYXEL ES3500-8PD SNMP</t>
  </si>
  <si>
    <t>LLD规则名称</t>
  </si>
  <si>
    <t>LLD规则类型</t>
  </si>
  <si>
    <t>LLD规则键值</t>
  </si>
  <si>
    <t>zabbix_sender</t>
  </si>
  <si>
    <t>df</t>
  </si>
  <si>
    <t>discpu</t>
  </si>
  <si>
    <t>disinterface</t>
  </si>
  <si>
    <t>disname</t>
  </si>
  <si>
    <t>netstat</t>
  </si>
  <si>
    <t>webcode_schoolid</t>
  </si>
  <si>
    <t>值的单位</t>
  </si>
  <si>
    <t>磁盘{#MOUNTED}使用率</t>
  </si>
  <si>
    <t>used.df[{#MOUNTED}]</t>
  </si>
  <si>
    <t>%</t>
  </si>
  <si>
    <t>磁盘{#MOUNTED}容量</t>
  </si>
  <si>
    <t>size.df[{#MOUNTED}]</t>
  </si>
  <si>
    <t>交换机CPU使用率</t>
  </si>
  <si>
    <t>discpu.[{#INDEX}]</t>
  </si>
  <si>
    <t>交换机接口{#INTERFACE}协议状态</t>
  </si>
  <si>
    <t>protocol.disinterface[{#INTERFACE}]</t>
  </si>
  <si>
    <t>交换机接口{#INTERFACE}物理状态</t>
  </si>
  <si>
    <t>physical.disinterface[{#INTERFACE}]</t>
  </si>
  <si>
    <t>交换机名称</t>
  </si>
  <si>
    <t>disname[{#INDEX}]</t>
  </si>
  <si>
    <t>端口{#NAME}状态</t>
  </si>
  <si>
    <t>state.netstat[{#NAME}]</t>
  </si>
  <si>
    <t>状态码</t>
  </si>
  <si>
    <t>webcode_schoolid[{#INDEX}]</t>
  </si>
  <si>
    <t>磁盘{#MOUNTED}使用率高了</t>
  </si>
  <si>
    <t>last(/zabbix_sender/used.df[{#MOUNTED}])&gt;=80</t>
  </si>
  <si>
    <t>last(/zabbix_sender/used.df[{#MOUNTED}])&lt;80</t>
  </si>
  <si>
    <t>交换机CPU使用率高了</t>
  </si>
  <si>
    <t>last(/zabbix_sender/discpu.[{#INDEX}])&gt;=80</t>
  </si>
  <si>
    <t>last(/zabbix_sender/discpu.[{#INDEX}])&lt;80</t>
  </si>
  <si>
    <t>交换机接口{#INTERFACE}物理状态异常</t>
  </si>
  <si>
    <t>last(/zabbix_sender/physical.disinterface[{#INTERFACE}])&lt;&gt;0</t>
  </si>
  <si>
    <t>last(/zabbix_sender/physical.disinterface[{#INTERFACE}])=0</t>
  </si>
  <si>
    <t>端口{#NAME}状态异常</t>
  </si>
  <si>
    <t>last(/zabbix_sender/state.netstat[{#NAME}])&lt;&gt;0</t>
  </si>
  <si>
    <t>last(/zabbix_sender/state.netstat[{#NAME}])=0</t>
  </si>
  <si>
    <t>状态码异常</t>
  </si>
  <si>
    <t>last(/zabbix_sender/webcode_schoolid[{#INDEX}])&lt;&gt;0</t>
  </si>
  <si>
    <t>last(/zabbix_sender/webcode_schoolid[{#INDEX}])=0</t>
  </si>
  <si>
    <t>动作名称</t>
  </si>
  <si>
    <t>告警消息标题</t>
  </si>
  <si>
    <t>恢复消息标题</t>
  </si>
  <si>
    <t>Report problems to Zabbix administrators</t>
  </si>
  <si>
    <t>2024-01-26 18:02:22</t>
  </si>
  <si>
    <t>2024-01-29 23:00:00</t>
  </si>
  <si>
    <t xml:space="preserve">故障: </t>
  </si>
  <si>
    <t xml:space="preserve">恢复: </t>
  </si>
  <si>
    <t xml:space="preserve">告警可见主机名: </t>
  </si>
  <si>
    <t xml:space="preserve">触发器状态: </t>
  </si>
  <si>
    <t xml:space="preserve">告警时间: </t>
  </si>
  <si>
    <t xml:space="preserve">告警日期: </t>
  </si>
  <si>
    <t xml:space="preserve">告警名称: </t>
  </si>
  <si>
    <t xml:space="preserve">告警主机: </t>
  </si>
  <si>
    <t xml:space="preserve">告警级别: </t>
  </si>
  <si>
    <t xml:space="preserve">告警ID: </t>
  </si>
  <si>
    <t xml:space="preserve">运营数据: </t>
  </si>
  <si>
    <t>事件名称</t>
  </si>
  <si>
    <t>Zabbix agent is not available (for 10s)</t>
  </si>
  <si>
    <t>2023-01-01 00:00:00</t>
  </si>
  <si>
    <t>2023-02-18 00:00:00</t>
  </si>
  <si>
    <r>
      <rPr>
        <sz val="10"/>
        <rFont val="Arial"/>
        <charset val="134"/>
      </rPr>
      <t>IP</t>
    </r>
    <r>
      <rPr>
        <sz val="10"/>
        <rFont val="宋体"/>
        <charset val="134"/>
      </rPr>
      <t>地址</t>
    </r>
  </si>
  <si>
    <t>root密码</t>
  </si>
  <si>
    <t>服务器IP</t>
  </si>
  <si>
    <t>网卡名称</t>
  </si>
  <si>
    <t>子网掩码</t>
  </si>
  <si>
    <t>网关</t>
  </si>
  <si>
    <t>DNS1</t>
  </si>
  <si>
    <t>DNS2</t>
  </si>
  <si>
    <t>负载应用</t>
  </si>
  <si>
    <t>ens33</t>
  </si>
  <si>
    <t>node8</t>
  </si>
  <si>
    <t>nginx nacos</t>
  </si>
  <si>
    <t>node9</t>
  </si>
  <si>
    <t>spark1</t>
  </si>
  <si>
    <t>node10</t>
  </si>
  <si>
    <t>spark2</t>
  </si>
  <si>
    <t>node11</t>
  </si>
  <si>
    <t>spark3 kafka1 zookeeper1</t>
  </si>
  <si>
    <t>node17</t>
  </si>
  <si>
    <t>kafka2 zookeeper2</t>
  </si>
  <si>
    <t>node18</t>
  </si>
  <si>
    <t>kafka3 zookeeper3</t>
  </si>
  <si>
    <t>node19</t>
  </si>
  <si>
    <t>es1 kibana1</t>
  </si>
  <si>
    <t>node20</t>
  </si>
  <si>
    <t>es2 kibana2</t>
  </si>
  <si>
    <t>node21</t>
  </si>
  <si>
    <t>es3 kibana3</t>
  </si>
  <si>
    <t>node22</t>
  </si>
  <si>
    <t>mysql redis</t>
  </si>
  <si>
    <t>监控项键值模糊搜索</t>
  </si>
  <si>
    <t>000 Linux</t>
  </si>
  <si>
    <t>net.if.out</t>
  </si>
  <si>
    <t>2024-01-28 00:00:00</t>
  </si>
  <si>
    <t>2024-03-28 23:59:59</t>
  </si>
  <si>
    <t>system.name</t>
  </si>
  <si>
    <t>Proxy名称</t>
  </si>
  <si>
    <t>故障转移周期</t>
  </si>
  <si>
    <t>最小在线代理数量</t>
  </si>
  <si>
    <t>ProxyGroup01</t>
  </si>
  <si>
    <t>5m</t>
  </si>
  <si>
    <t>ProxyGroup02</t>
  </si>
  <si>
    <t>ProxyGroup03</t>
  </si>
  <si>
    <t>ProxyGroup04</t>
  </si>
  <si>
    <t>ProxyGroup05</t>
  </si>
  <si>
    <t>ProxyGroup06</t>
  </si>
  <si>
    <t>Proxy组</t>
  </si>
  <si>
    <t>Proxy组VIP</t>
  </si>
  <si>
    <t>Proxy组VPort</t>
  </si>
  <si>
    <t>Proxy模式</t>
  </si>
  <si>
    <t>Proxy代理地址</t>
  </si>
  <si>
    <t>接口地址</t>
  </si>
  <si>
    <t>接口端口</t>
  </si>
  <si>
    <t>Proxy01</t>
  </si>
  <si>
    <t>127.0.1.1</t>
  </si>
  <si>
    <t>127.0.1.2</t>
  </si>
  <si>
    <t>Proxy02</t>
  </si>
  <si>
    <t>127.0.2.2</t>
  </si>
  <si>
    <t>127.0.2.3</t>
  </si>
  <si>
    <t>Proxy03</t>
  </si>
  <si>
    <t>127.0.3.3</t>
  </si>
  <si>
    <t>127.0.3.4</t>
  </si>
  <si>
    <t>Proxy04</t>
  </si>
  <si>
    <t>127.0.4.4</t>
  </si>
  <si>
    <t>127.0.4.5</t>
  </si>
  <si>
    <t>Proxy05</t>
  </si>
  <si>
    <t>127.0.5.5</t>
  </si>
  <si>
    <t>127.0.5.6</t>
  </si>
  <si>
    <t>Proxy06</t>
  </si>
  <si>
    <t>127.0.6.6</t>
  </si>
  <si>
    <t>127.0.6.7</t>
  </si>
  <si>
    <t>Proxy组名称</t>
  </si>
  <si>
    <t>可见名</t>
  </si>
  <si>
    <t>172.16.52.132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</si>
</sst>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25">
    <font>
      <sz val="11"/>
      <color theme="1"/>
      <name val="等线"/>
      <charset val="134"/>
      <scheme val="minor"/>
    </font>
    <font>
      <sz val="9.8"/>
      <color rgb="FF6AAB73"/>
      <name val="Courier New"/>
      <charset val="134"/>
    </font>
    <font>
      <sz val="11"/>
      <color rgb="FF000000"/>
      <name val="等线"/>
      <charset val="134"/>
    </font>
    <font>
      <sz val="10"/>
      <name val="Arial"/>
      <charset val="134"/>
    </font>
    <font>
      <sz val="10"/>
      <name val="宋体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0"/>
    <xf numFmtId="0" fontId="1" fillId="0" borderId="0" xfId="0" applyFont="1"/>
    <xf numFmtId="49" fontId="0" fillId="0" borderId="0" xfId="0" applyNumberFormat="1" applyAlignment="1">
      <alignment wrapText="1"/>
    </xf>
    <xf numFmtId="49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0" fillId="0" borderId="0" xfId="0" applyNumberFormat="1"/>
    <xf numFmtId="0" fontId="5" fillId="0" borderId="0" xfId="49" applyFont="1"/>
    <xf numFmtId="176" fontId="5" fillId="0" borderId="0" xfId="49" applyNumberFormat="1" applyFont="1"/>
    <xf numFmtId="0" fontId="0" fillId="0" borderId="0" xfId="0" applyFont="1" applyFill="1" applyAlignment="1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0" fillId="0" borderId="0" xfId="0" applyAlignment="1"/>
    <xf numFmtId="0" fontId="0" fillId="0" borderId="0" xfId="0" applyFont="1"/>
    <xf numFmtId="0" fontId="5" fillId="0" borderId="0" xfId="49" applyFont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1" Type="http://schemas.openxmlformats.org/officeDocument/2006/relationships/styles" Target="styles.xml"/><Relationship Id="rId60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59" Type="http://schemas.openxmlformats.org/officeDocument/2006/relationships/theme" Target="theme/theme1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0</xdr:row>
      <xdr:rowOff>7620</xdr:rowOff>
    </xdr:from>
    <xdr:ext cx="4098290" cy="1331595"/>
    <xdr:sp>
      <xdr:nvSpPr>
        <xdr:cNvPr id="3" name="文本框 2"/>
        <xdr:cNvSpPr txBox="1"/>
      </xdr:nvSpPr>
      <xdr:spPr>
        <a:xfrm>
          <a:off x="4707255" y="7620"/>
          <a:ext cx="4098290" cy="13315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zh-CN" altLang="en-US" sz="1100"/>
            <a:t>创建主机组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</a:t>
          </a:r>
          <a:endParaRPr lang="en-US" altLang="zh-CN" sz="1100"/>
        </a:p>
        <a:p>
          <a:r>
            <a:rPr lang="zh-CN" altLang="en-US" sz="1100" baseline="0"/>
            <a:t>venv\Scripts\python.exe zabbix_api_base.py </a:t>
          </a:r>
          <a:r>
            <a:rPr lang="en-US" altLang="zh-CN" sz="1100"/>
            <a:t>-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create_hostgroup</a:t>
          </a:r>
          <a:endParaRPr lang="zh-CN" alt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删除主机组</a:t>
          </a:r>
          <a:r>
            <a:rPr lang="en-US" altLang="zh-CN">
              <a:sym typeface="+mn-ea"/>
            </a:rPr>
            <a:t>: </a:t>
          </a:r>
          <a:r>
            <a:rPr lang="zh-CN" altLang="zh-CN">
              <a:effectLst/>
              <a:sym typeface="+mn-ea"/>
            </a:rPr>
            <a:t>一</a:t>
          </a:r>
          <a:r>
            <a:rPr lang="en-US" altLang="zh-CN">
              <a:effectLst/>
              <a:sym typeface="+mn-ea"/>
            </a:rPr>
            <a:t>A</a:t>
          </a:r>
          <a:endParaRPr lang="en-US" altLang="zh-CN" sz="1100"/>
        </a:p>
        <a:p>
          <a:r>
            <a:rPr lang="en-US" altLang="zh-CN" sz="1100"/>
            <a:t>venv\Scripts\python.exe zabbix_api_base.py -delete_hostgroup</a:t>
          </a:r>
          <a:endParaRPr lang="zh-CN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0</xdr:colOff>
      <xdr:row>0</xdr:row>
      <xdr:rowOff>7620</xdr:rowOff>
    </xdr:from>
    <xdr:ext cx="5208905" cy="2048510"/>
    <xdr:sp>
      <xdr:nvSpPr>
        <xdr:cNvPr id="4" name="文本框 3"/>
        <xdr:cNvSpPr txBox="1"/>
      </xdr:nvSpPr>
      <xdr:spPr>
        <a:xfrm>
          <a:off x="4783455" y="7620"/>
          <a:ext cx="5208905" cy="20485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创建模板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</a:t>
          </a:r>
          <a:r>
            <a:rPr lang="zh-CN" altLang="en-US">
              <a:sym typeface="+mn-ea"/>
            </a:rPr>
            <a:t>对多</a:t>
          </a:r>
          <a:r>
            <a:rPr lang="en-US" altLang="zh-CN">
              <a:sym typeface="+mn-ea"/>
            </a:rPr>
            <a:t>B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>
              <a:sym typeface="+mn-ea"/>
            </a:rPr>
            <a:t>venv\Scripts\python.exe zabbix_api_base.py </a:t>
          </a:r>
          <a:r>
            <a:rPr lang="en-US" altLang="zh-CN">
              <a:sym typeface="+mn-ea"/>
            </a:rPr>
            <a:t>-create_template</a:t>
          </a:r>
          <a:endParaRPr lang="en-US" altLang="zh-CN">
            <a:sym typeface="+mn-ea"/>
          </a:endParaRPr>
        </a:p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删除模板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/>
            <a:t>venv\Scripts\python.exe zabbix_api_base.py -delete_template</a:t>
          </a:r>
          <a:endParaRPr lang="en-US" altLang="zh-CN" sz="1100"/>
        </a:p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模板添加主机组</a:t>
          </a:r>
          <a:r>
            <a:rPr lang="en-US" altLang="zh-CN">
              <a:effectLst/>
              <a:sym typeface="+mn-ea"/>
            </a:rPr>
            <a:t>: </a:t>
          </a:r>
          <a:r>
            <a:rPr lang="zh-CN" altLang="zh-CN">
              <a:effectLst/>
              <a:sym typeface="+mn-ea"/>
            </a:rPr>
            <a:t>一</a:t>
          </a:r>
          <a:r>
            <a:rPr lang="en-US" altLang="zh-CN">
              <a:effectLst/>
              <a:sym typeface="+mn-ea"/>
            </a:rPr>
            <a:t>A</a:t>
          </a:r>
          <a:r>
            <a:rPr lang="zh-CN" altLang="zh-CN">
              <a:effectLst/>
              <a:sym typeface="+mn-ea"/>
            </a:rPr>
            <a:t>对多</a:t>
          </a:r>
          <a:r>
            <a:rPr lang="en-US" altLang="zh-CN">
              <a:effectLst/>
              <a:sym typeface="+mn-ea"/>
            </a:rPr>
            <a:t>B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venv\Scripts\python.exe zabbix_api_base.py -massadd_template_groups</a:t>
          </a:r>
          <a:endParaRPr lang="zh-CN" altLang="zh-CN">
            <a:effectLst/>
          </a:endParaRPr>
        </a:p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模板移除主机组</a:t>
          </a:r>
          <a:r>
            <a:rPr lang="en-US" altLang="zh-CN">
              <a:effectLst/>
              <a:sym typeface="+mn-ea"/>
            </a:rPr>
            <a:t>: </a:t>
          </a:r>
          <a:r>
            <a:rPr lang="zh-CN" altLang="zh-CN">
              <a:effectLst/>
              <a:sym typeface="+mn-ea"/>
            </a:rPr>
            <a:t>一</a:t>
          </a:r>
          <a:r>
            <a:rPr lang="en-US" altLang="zh-CN">
              <a:effectLst/>
              <a:sym typeface="+mn-ea"/>
            </a:rPr>
            <a:t>A</a:t>
          </a:r>
          <a:r>
            <a:rPr lang="zh-CN" altLang="en-US">
              <a:effectLst/>
              <a:sym typeface="+mn-ea"/>
            </a:rPr>
            <a:t>对多</a:t>
          </a:r>
          <a:r>
            <a:rPr lang="en-US" altLang="zh-CN">
              <a:effectLst/>
              <a:sym typeface="+mn-ea"/>
            </a:rPr>
            <a:t>B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venv\Scripts\python.exe zabbix_api_base.py -massremove_template_groups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0</xdr:row>
      <xdr:rowOff>0</xdr:rowOff>
    </xdr:from>
    <xdr:ext cx="1454150" cy="485775"/>
    <xdr:sp>
      <xdr:nvSpPr>
        <xdr:cNvPr id="3" name="文本框 2"/>
        <xdr:cNvSpPr txBox="1"/>
      </xdr:nvSpPr>
      <xdr:spPr>
        <a:xfrm>
          <a:off x="4954270" y="0"/>
          <a:ext cx="1454150" cy="4857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注意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: </a:t>
          </a:r>
          <a:endParaRPr lang="en-US" altLang="zh-CN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zh-CN" altLang="en-US" sz="1100"/>
            <a:t>用户宏名称必须大写</a:t>
          </a:r>
          <a:endParaRPr lang="zh-CN" altLang="en-US" sz="1100"/>
        </a:p>
      </xdr:txBody>
    </xdr:sp>
    <xdr:clientData/>
  </xdr:oneCellAnchor>
  <xdr:oneCellAnchor>
    <xdr:from>
      <xdr:col>5</xdr:col>
      <xdr:colOff>0</xdr:colOff>
      <xdr:row>3</xdr:row>
      <xdr:rowOff>0</xdr:rowOff>
    </xdr:from>
    <xdr:ext cx="5233035" cy="1146175"/>
    <xdr:sp>
      <xdr:nvSpPr>
        <xdr:cNvPr id="4" name="文本框 3"/>
        <xdr:cNvSpPr txBox="1"/>
      </xdr:nvSpPr>
      <xdr:spPr>
        <a:xfrm>
          <a:off x="4954270" y="542925"/>
          <a:ext cx="5233035" cy="1146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模板添加用户宏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</a:t>
          </a:r>
          <a:r>
            <a:rPr lang="zh-CN" altLang="en-US">
              <a:sym typeface="+mn-ea"/>
            </a:rPr>
            <a:t>对多</a:t>
          </a:r>
          <a:r>
            <a:rPr lang="en-US" altLang="zh-CN">
              <a:sym typeface="+mn-ea"/>
            </a:rPr>
            <a:t>BC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venv\Scripts\python.exe zabbix_api_base.py -massadd_template_macros</a:t>
          </a:r>
          <a:endParaRPr lang="en-US" altLang="zh-CN" sz="1100"/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删除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用户宏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</a:t>
          </a:r>
          <a:r>
            <a:rPr lang="zh-CN" altLang="en-US">
              <a:sym typeface="+mn-ea"/>
            </a:rPr>
            <a:t>对多</a:t>
          </a:r>
          <a:r>
            <a:rPr lang="en-US" altLang="zh-CN">
              <a:sym typeface="+mn-ea"/>
            </a:rPr>
            <a:t>B</a:t>
          </a:r>
          <a:endParaRPr lang="zh-CN" altLang="zh-CN">
            <a:effectLst/>
          </a:endParaRPr>
        </a:p>
        <a:p>
          <a:r>
            <a:rPr lang="en-US" altLang="zh-CN" sz="1100"/>
            <a:t>venv\Scripts\python.exe zabbix_api_base.py -massremove_template_macros</a:t>
          </a:r>
          <a:endParaRPr lang="en-US" altLang="zh-CN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0</xdr:colOff>
      <xdr:row>0</xdr:row>
      <xdr:rowOff>7620</xdr:rowOff>
    </xdr:from>
    <xdr:ext cx="5438140" cy="1945640"/>
    <xdr:sp>
      <xdr:nvSpPr>
        <xdr:cNvPr id="2" name="文本框 1"/>
        <xdr:cNvSpPr txBox="1"/>
      </xdr:nvSpPr>
      <xdr:spPr>
        <a:xfrm>
          <a:off x="4737100" y="7620"/>
          <a:ext cx="5438140" cy="19456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模板关联模板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</a:t>
          </a:r>
          <a:r>
            <a:rPr lang="zh-CN" altLang="en-US">
              <a:sym typeface="+mn-ea"/>
            </a:rPr>
            <a:t>对多</a:t>
          </a:r>
          <a:r>
            <a:rPr lang="en-US" altLang="zh-CN">
              <a:sym typeface="+mn-ea"/>
            </a:rPr>
            <a:t>B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/>
            <a:t>venv\Scripts\python.exe zabbix_api_base.py -massadd_template_templates_link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模板脱离模板清理主机监控项</a:t>
          </a:r>
          <a:r>
            <a:rPr lang="en-US" altLang="zh-CN">
              <a:sym typeface="+mn-ea"/>
            </a:rPr>
            <a:t>: </a:t>
          </a:r>
          <a:r>
            <a:rPr lang="zh-CN" altLang="zh-CN">
              <a:effectLst/>
              <a:sym typeface="+mn-ea"/>
            </a:rPr>
            <a:t>一</a:t>
          </a:r>
          <a:r>
            <a:rPr lang="en-US" altLang="zh-CN">
              <a:effectLst/>
              <a:sym typeface="+mn-ea"/>
            </a:rPr>
            <a:t>A</a:t>
          </a:r>
          <a:r>
            <a:rPr lang="zh-CN" altLang="zh-CN">
              <a:effectLst/>
              <a:sym typeface="+mn-ea"/>
            </a:rPr>
            <a:t>对多</a:t>
          </a:r>
          <a:r>
            <a:rPr lang="en-US" altLang="zh-CN">
              <a:effectLst/>
              <a:sym typeface="+mn-ea"/>
            </a:rPr>
            <a:t>B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/>
            <a:t>venv\Scripts\python.exe zabbix_api_base.py -massremove_templateids_clear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模板脱离模板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保留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主机监控项</a:t>
          </a:r>
          <a:r>
            <a:rPr lang="en-US" altLang="zh-CN">
              <a:effectLst/>
              <a:sym typeface="+mn-ea"/>
            </a:rPr>
            <a:t>: </a:t>
          </a:r>
          <a:r>
            <a:rPr lang="zh-CN" altLang="zh-CN">
              <a:effectLst/>
              <a:sym typeface="+mn-ea"/>
            </a:rPr>
            <a:t>一</a:t>
          </a:r>
          <a:r>
            <a:rPr lang="en-US" altLang="zh-CN">
              <a:effectLst/>
              <a:sym typeface="+mn-ea"/>
            </a:rPr>
            <a:t>A</a:t>
          </a:r>
          <a:r>
            <a:rPr lang="zh-CN" altLang="zh-CN">
              <a:effectLst/>
              <a:sym typeface="+mn-ea"/>
            </a:rPr>
            <a:t>对多</a:t>
          </a:r>
          <a:r>
            <a:rPr lang="en-US" altLang="zh-CN">
              <a:effectLst/>
              <a:sym typeface="+mn-ea"/>
            </a:rPr>
            <a:t>B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venv\Scripts\python.exe zabbix_api_base.py -massremove_templateids_link </a:t>
          </a:r>
          <a:endParaRPr lang="zh-CN" altLang="zh-CN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0</xdr:row>
      <xdr:rowOff>7620</xdr:rowOff>
    </xdr:from>
    <xdr:ext cx="4221480" cy="1172210"/>
    <xdr:sp>
      <xdr:nvSpPr>
        <xdr:cNvPr id="2" name="文本框 1"/>
        <xdr:cNvSpPr txBox="1"/>
      </xdr:nvSpPr>
      <xdr:spPr>
        <a:xfrm>
          <a:off x="4432300" y="7620"/>
          <a:ext cx="4221480" cy="1172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模板更新标签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</a:t>
          </a:r>
          <a:r>
            <a:rPr lang="zh-CN" altLang="en-US">
              <a:sym typeface="+mn-ea"/>
            </a:rPr>
            <a:t>对多</a:t>
          </a:r>
          <a:r>
            <a:rPr lang="en-US" altLang="zh-CN">
              <a:sym typeface="+mn-ea"/>
            </a:rPr>
            <a:t>BC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>
              <a:sym typeface="+mn-ea"/>
            </a:rPr>
            <a:t>venv\Scripts\python.exe zabbix_api_base.py -update_tags</a:t>
          </a:r>
          <a:endParaRPr lang="en-US" altLang="zh-CN" sz="1100"/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移除标签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</a:t>
          </a:r>
          <a:r>
            <a:rPr lang="zh-CN" altLang="en-US">
              <a:sym typeface="+mn-ea"/>
            </a:rPr>
            <a:t>对多</a:t>
          </a:r>
          <a:r>
            <a:rPr lang="en-US" altLang="zh-CN">
              <a:sym typeface="+mn-ea"/>
            </a:rPr>
            <a:t>BC</a:t>
          </a:r>
          <a:endParaRPr lang="zh-CN" altLang="zh-CN">
            <a:effectLst/>
          </a:endParaRPr>
        </a:p>
        <a:p>
          <a:r>
            <a:rPr lang="en-US" altLang="zh-CN" sz="1100"/>
            <a:t>venv\Scripts\python.exe zabbix_api_base.py -delete_tags</a:t>
          </a:r>
          <a:endParaRPr lang="en-US" altLang="zh-CN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0</xdr:colOff>
      <xdr:row>0</xdr:row>
      <xdr:rowOff>0</xdr:rowOff>
    </xdr:from>
    <xdr:ext cx="3307316" cy="4039622"/>
    <xdr:sp>
      <xdr:nvSpPr>
        <xdr:cNvPr id="8" name="文本框 7"/>
        <xdr:cNvSpPr txBox="1"/>
      </xdr:nvSpPr>
      <xdr:spPr>
        <a:xfrm>
          <a:off x="9279255" y="0"/>
          <a:ext cx="3307080" cy="40392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>
              <a:effectLst/>
            </a:rPr>
            <a:t>监控项类型。</a:t>
          </a:r>
          <a:br>
            <a:rPr lang="zh-CN" altLang="en-US">
              <a:effectLst/>
            </a:rPr>
          </a:br>
          <a:r>
            <a:rPr lang="zh-CN" altLang="en-US">
              <a:effectLst/>
            </a:rPr>
            <a:t>可用值：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0 - Zabbix agent</a:t>
          </a:r>
          <a:r>
            <a:rPr lang="zh-CN" altLang="en-US">
              <a:effectLst/>
            </a:rPr>
            <a:t>（</a:t>
          </a:r>
          <a:r>
            <a:rPr lang="en-US" altLang="zh-CN">
              <a:effectLst/>
            </a:rPr>
            <a:t>zabbix </a:t>
          </a:r>
          <a:r>
            <a:rPr lang="zh-CN" altLang="en-US">
              <a:effectLst/>
            </a:rPr>
            <a:t>代理）；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2 - Zabbix trapper</a:t>
          </a:r>
          <a:r>
            <a:rPr lang="zh-CN" altLang="en-US">
              <a:effectLst/>
            </a:rPr>
            <a:t>（</a:t>
          </a:r>
          <a:r>
            <a:rPr lang="en-US" altLang="zh-CN">
              <a:effectLst/>
            </a:rPr>
            <a:t>zabbix </a:t>
          </a:r>
          <a:r>
            <a:rPr lang="zh-CN" altLang="en-US">
              <a:effectLst/>
            </a:rPr>
            <a:t>捕获器）；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3 - Simple check</a:t>
          </a:r>
          <a:r>
            <a:rPr lang="zh-CN" altLang="en-US">
              <a:effectLst/>
            </a:rPr>
            <a:t>（通用检查）；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5 - Zabbix internal</a:t>
          </a:r>
          <a:r>
            <a:rPr lang="zh-CN" altLang="en-US">
              <a:effectLst/>
            </a:rPr>
            <a:t>（</a:t>
          </a:r>
          <a:r>
            <a:rPr lang="en-US" altLang="zh-CN">
              <a:effectLst/>
            </a:rPr>
            <a:t>zabbix </a:t>
          </a:r>
          <a:r>
            <a:rPr lang="zh-CN" altLang="en-US">
              <a:effectLst/>
            </a:rPr>
            <a:t>内部）；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7 - Zabbix agent (active)</a:t>
          </a:r>
          <a:r>
            <a:rPr lang="zh-CN" altLang="en-US">
              <a:effectLst/>
            </a:rPr>
            <a:t>（</a:t>
          </a:r>
          <a:r>
            <a:rPr lang="en-US" altLang="zh-CN">
              <a:effectLst/>
            </a:rPr>
            <a:t>zabbix agent-</a:t>
          </a:r>
          <a:r>
            <a:rPr lang="zh-CN" altLang="en-US">
              <a:effectLst/>
            </a:rPr>
            <a:t>工作状态）；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9 - Web item</a:t>
          </a:r>
          <a:r>
            <a:rPr lang="zh-CN" altLang="en-US">
              <a:effectLst/>
            </a:rPr>
            <a:t>（</a:t>
          </a:r>
          <a:r>
            <a:rPr lang="en-US" altLang="zh-CN">
              <a:effectLst/>
            </a:rPr>
            <a:t>web </a:t>
          </a:r>
          <a:r>
            <a:rPr lang="zh-CN" altLang="en-US">
              <a:effectLst/>
            </a:rPr>
            <a:t>监控项）；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10 - External check</a:t>
          </a:r>
          <a:r>
            <a:rPr lang="zh-CN" altLang="en-US">
              <a:effectLst/>
            </a:rPr>
            <a:t>（外部检查）；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11 - Database monitor</a:t>
          </a:r>
          <a:r>
            <a:rPr lang="zh-CN" altLang="en-US">
              <a:effectLst/>
            </a:rPr>
            <a:t>（数据库监控）；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12 - IPMI agent</a:t>
          </a:r>
          <a:r>
            <a:rPr lang="zh-CN" altLang="en-US">
              <a:effectLst/>
            </a:rPr>
            <a:t>（</a:t>
          </a:r>
          <a:r>
            <a:rPr lang="en-US" altLang="zh-CN">
              <a:effectLst/>
            </a:rPr>
            <a:t>IPMI </a:t>
          </a:r>
          <a:r>
            <a:rPr lang="zh-CN" altLang="en-US">
              <a:effectLst/>
            </a:rPr>
            <a:t>代理）；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13 - SSH agent</a:t>
          </a:r>
          <a:r>
            <a:rPr lang="zh-CN" altLang="en-US">
              <a:effectLst/>
            </a:rPr>
            <a:t>（</a:t>
          </a:r>
          <a:r>
            <a:rPr lang="en-US" altLang="zh-CN">
              <a:effectLst/>
            </a:rPr>
            <a:t>SSH </a:t>
          </a:r>
          <a:r>
            <a:rPr lang="zh-CN" altLang="en-US">
              <a:effectLst/>
            </a:rPr>
            <a:t>代理）；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14 - Telnet agent</a:t>
          </a:r>
          <a:r>
            <a:rPr lang="zh-CN" altLang="en-US">
              <a:effectLst/>
            </a:rPr>
            <a:t>（</a:t>
          </a:r>
          <a:r>
            <a:rPr lang="en-US" altLang="zh-CN">
              <a:effectLst/>
            </a:rPr>
            <a:t>Telnet</a:t>
          </a:r>
          <a:r>
            <a:rPr lang="zh-CN" altLang="en-US">
              <a:effectLst/>
            </a:rPr>
            <a:t>代理）；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15 - Calculated</a:t>
          </a:r>
          <a:r>
            <a:rPr lang="zh-CN" altLang="en-US">
              <a:effectLst/>
            </a:rPr>
            <a:t>（计算值）；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16 - JMX agent</a:t>
          </a:r>
          <a:r>
            <a:rPr lang="zh-CN" altLang="en-US">
              <a:effectLst/>
            </a:rPr>
            <a:t>（</a:t>
          </a:r>
          <a:r>
            <a:rPr lang="en-US" altLang="zh-CN">
              <a:effectLst/>
            </a:rPr>
            <a:t>JMX </a:t>
          </a:r>
          <a:r>
            <a:rPr lang="zh-CN" altLang="en-US">
              <a:effectLst/>
            </a:rPr>
            <a:t>代理）；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17 - SNMP trap</a:t>
          </a:r>
          <a:r>
            <a:rPr lang="zh-CN" altLang="en-US">
              <a:effectLst/>
            </a:rPr>
            <a:t>（</a:t>
          </a:r>
          <a:r>
            <a:rPr lang="en-US" altLang="zh-CN">
              <a:effectLst/>
            </a:rPr>
            <a:t>SNMP </a:t>
          </a:r>
          <a:r>
            <a:rPr lang="zh-CN" altLang="en-US">
              <a:effectLst/>
            </a:rPr>
            <a:t>捕获）；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18 - Dependent item</a:t>
          </a:r>
          <a:r>
            <a:rPr lang="zh-CN" altLang="en-US">
              <a:effectLst/>
            </a:rPr>
            <a:t>（依赖监控项）；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19 - HTTP agent</a:t>
          </a:r>
          <a:r>
            <a:rPr lang="zh-CN" altLang="en-US">
              <a:effectLst/>
            </a:rPr>
            <a:t>（</a:t>
          </a:r>
          <a:r>
            <a:rPr lang="en-US" altLang="zh-CN">
              <a:effectLst/>
            </a:rPr>
            <a:t>HTTP </a:t>
          </a:r>
          <a:r>
            <a:rPr lang="zh-CN" altLang="en-US">
              <a:effectLst/>
            </a:rPr>
            <a:t>代理）；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20 - SNMP agent</a:t>
          </a:r>
          <a:r>
            <a:rPr lang="zh-CN" altLang="en-US">
              <a:effectLst/>
            </a:rPr>
            <a:t>（</a:t>
          </a:r>
          <a:r>
            <a:rPr lang="en-US" altLang="zh-CN">
              <a:effectLst/>
            </a:rPr>
            <a:t>SNMP </a:t>
          </a:r>
          <a:r>
            <a:rPr lang="zh-CN" altLang="en-US">
              <a:effectLst/>
            </a:rPr>
            <a:t>代理）；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21 - Script</a:t>
          </a:r>
          <a:r>
            <a:rPr lang="zh-CN" altLang="en-US">
              <a:effectLst/>
            </a:rPr>
            <a:t>（脚本）。</a:t>
          </a:r>
          <a:endParaRPr lang="zh-CN" altLang="en-US" sz="1100"/>
        </a:p>
      </xdr:txBody>
    </xdr:sp>
    <xdr:clientData/>
  </xdr:oneCellAnchor>
  <xdr:oneCellAnchor>
    <xdr:from>
      <xdr:col>14</xdr:col>
      <xdr:colOff>0</xdr:colOff>
      <xdr:row>0</xdr:row>
      <xdr:rowOff>0</xdr:rowOff>
    </xdr:from>
    <xdr:ext cx="2260427" cy="1475599"/>
    <xdr:sp>
      <xdr:nvSpPr>
        <xdr:cNvPr id="13" name="文本框 12"/>
        <xdr:cNvSpPr txBox="1"/>
      </xdr:nvSpPr>
      <xdr:spPr>
        <a:xfrm>
          <a:off x="12708255" y="0"/>
          <a:ext cx="2259965" cy="14751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>
              <a:effectLst/>
            </a:rPr>
            <a:t>监控项数据类型</a:t>
          </a:r>
          <a:br>
            <a:rPr lang="zh-CN" altLang="en-US">
              <a:effectLst/>
            </a:rPr>
          </a:br>
          <a:r>
            <a:rPr lang="zh-CN" altLang="en-US">
              <a:effectLst/>
            </a:rPr>
            <a:t>可用值：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0 - numeric float</a:t>
          </a:r>
          <a:r>
            <a:rPr lang="zh-CN" altLang="en-US">
              <a:effectLst/>
            </a:rPr>
            <a:t>（数字浮点型）；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1 - character</a:t>
          </a:r>
          <a:r>
            <a:rPr lang="zh-CN" altLang="en-US">
              <a:effectLst/>
            </a:rPr>
            <a:t>（字符）；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2 - log</a:t>
          </a:r>
          <a:r>
            <a:rPr lang="zh-CN" altLang="en-US">
              <a:effectLst/>
            </a:rPr>
            <a:t>（日志）；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3 - numeric unsigned</a:t>
          </a:r>
          <a:r>
            <a:rPr lang="zh-CN" altLang="en-US">
              <a:effectLst/>
            </a:rPr>
            <a:t>（正数）；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4 - text</a:t>
          </a:r>
          <a:r>
            <a:rPr lang="zh-CN" altLang="en-US">
              <a:effectLst/>
            </a:rPr>
            <a:t>（文本）。</a:t>
          </a:r>
          <a:endParaRPr lang="zh-CN" altLang="en-US" sz="1100"/>
        </a:p>
      </xdr:txBody>
    </xdr:sp>
    <xdr:clientData/>
  </xdr:oneCellAnchor>
  <xdr:oneCellAnchor>
    <xdr:from>
      <xdr:col>9</xdr:col>
      <xdr:colOff>30480</xdr:colOff>
      <xdr:row>21</xdr:row>
      <xdr:rowOff>7620</xdr:rowOff>
    </xdr:from>
    <xdr:ext cx="4816475" cy="1395095"/>
    <xdr:sp>
      <xdr:nvSpPr>
        <xdr:cNvPr id="17" name="文本框 16"/>
        <xdr:cNvSpPr txBox="1"/>
      </xdr:nvSpPr>
      <xdr:spPr>
        <a:xfrm>
          <a:off x="9309735" y="3808095"/>
          <a:ext cx="4816475" cy="13950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模板创建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agent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监控项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</a:t>
          </a:r>
          <a:r>
            <a:rPr lang="zh-CN" altLang="en-US">
              <a:sym typeface="+mn-ea"/>
            </a:rPr>
            <a:t>对多</a:t>
          </a:r>
          <a:r>
            <a:rPr lang="en-US" altLang="zh-CN">
              <a:sym typeface="+mn-ea"/>
            </a:rPr>
            <a:t>B:F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venv\Scripts\python.exe zabbix_api_base.py -create_template_item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模板创建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SNMP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监控项</a:t>
          </a:r>
          <a:r>
            <a:rPr lang="en-US" altLang="zh-CN">
              <a:effectLst/>
              <a:sym typeface="+mn-ea"/>
            </a:rPr>
            <a:t>: </a:t>
          </a:r>
          <a:r>
            <a:rPr lang="zh-CN" altLang="zh-CN">
              <a:effectLst/>
              <a:sym typeface="+mn-ea"/>
            </a:rPr>
            <a:t>一</a:t>
          </a:r>
          <a:r>
            <a:rPr lang="en-US" altLang="zh-CN">
              <a:effectLst/>
              <a:sym typeface="+mn-ea"/>
            </a:rPr>
            <a:t>A</a:t>
          </a:r>
          <a:r>
            <a:rPr lang="zh-CN" altLang="zh-CN">
              <a:effectLst/>
              <a:sym typeface="+mn-ea"/>
            </a:rPr>
            <a:t>对多</a:t>
          </a:r>
          <a:r>
            <a:rPr lang="en-US" altLang="zh-CN">
              <a:effectLst/>
              <a:sym typeface="+mn-ea"/>
            </a:rPr>
            <a:t>B:G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>
              <a:effectLst/>
              <a:sym typeface="+mn-ea"/>
            </a:rPr>
            <a:t>venv\Scripts\python.exe zabbix_api_base.py -create_template_item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zh-CN">
              <a:effectLst/>
              <a:sym typeface="+mn-ea"/>
            </a:rPr>
            <a:t>模板删除监控项</a:t>
          </a:r>
          <a:r>
            <a:rPr lang="en-US" altLang="zh-CN">
              <a:effectLst/>
              <a:sym typeface="+mn-ea"/>
            </a:rPr>
            <a:t>: </a:t>
          </a:r>
          <a:r>
            <a:rPr lang="zh-CN" altLang="zh-CN">
              <a:effectLst/>
              <a:sym typeface="+mn-ea"/>
            </a:rPr>
            <a:t>一</a:t>
          </a:r>
          <a:r>
            <a:rPr lang="en-US" altLang="zh-CN">
              <a:effectLst/>
              <a:sym typeface="+mn-ea"/>
            </a:rPr>
            <a:t>A</a:t>
          </a:r>
          <a:r>
            <a:rPr lang="zh-CN" altLang="zh-CN">
              <a:effectLst/>
              <a:sym typeface="+mn-ea"/>
            </a:rPr>
            <a:t>对多</a:t>
          </a:r>
          <a:r>
            <a:rPr lang="en-US" altLang="zh-CN">
              <a:effectLst/>
              <a:sym typeface="+mn-ea"/>
            </a:rPr>
            <a:t>D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>
              <a:effectLst/>
              <a:sym typeface="+mn-ea"/>
            </a:rPr>
            <a:t>venv\Scripts\python.exe zabbix_api_base.py -delete_template_item</a:t>
          </a:r>
          <a:endParaRPr lang="en-US" altLang="zh-CN" sz="1100"/>
        </a:p>
      </xdr:txBody>
    </xdr:sp>
    <xdr:clientData/>
  </xdr:oneCellAnchor>
  <xdr:oneCellAnchor>
    <xdr:from>
      <xdr:col>14</xdr:col>
      <xdr:colOff>0</xdr:colOff>
      <xdr:row>9</xdr:row>
      <xdr:rowOff>0</xdr:rowOff>
    </xdr:from>
    <xdr:ext cx="3256276" cy="485919"/>
    <xdr:sp>
      <xdr:nvSpPr>
        <xdr:cNvPr id="18" name="文本框 17"/>
        <xdr:cNvSpPr txBox="1"/>
      </xdr:nvSpPr>
      <xdr:spPr>
        <a:xfrm>
          <a:off x="12708255" y="1628775"/>
          <a:ext cx="3255645" cy="4857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更新监控项的时间间隔。</a:t>
          </a:r>
          <a:endParaRPr lang="en-US" altLang="zh-CN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格式为有后缀的时间单位（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30s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1m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2h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1d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）。</a:t>
          </a:r>
          <a:endParaRPr lang="zh-CN" altLang="en-US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0</xdr:colOff>
      <xdr:row>0</xdr:row>
      <xdr:rowOff>7620</xdr:rowOff>
    </xdr:from>
    <xdr:ext cx="5222875" cy="1323975"/>
    <xdr:sp>
      <xdr:nvSpPr>
        <xdr:cNvPr id="2" name="文本框 1"/>
        <xdr:cNvSpPr txBox="1"/>
      </xdr:nvSpPr>
      <xdr:spPr>
        <a:xfrm>
          <a:off x="5011420" y="7620"/>
          <a:ext cx="5222875" cy="13239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模板更新监控项标签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</a:t>
          </a:r>
          <a:r>
            <a:rPr lang="zh-CN" altLang="en-US">
              <a:sym typeface="+mn-ea"/>
            </a:rPr>
            <a:t>对多</a:t>
          </a:r>
          <a:r>
            <a:rPr lang="en-US" altLang="zh-CN">
              <a:sym typeface="+mn-ea"/>
            </a:rPr>
            <a:t>BCD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>
              <a:effectLst/>
              <a:sym typeface="+mn-ea"/>
            </a:rPr>
            <a:t>venv\Scripts\python.exe zabbix_api_base.py </a:t>
          </a:r>
          <a:r>
            <a:rPr lang="en-US" altLang="zh-CN" sz="1100"/>
            <a:t>-update_template_item_tags</a:t>
          </a:r>
          <a:endParaRPr lang="en-US" altLang="zh-CN" sz="1100"/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移除监控项标签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</a:t>
          </a:r>
          <a:r>
            <a:rPr lang="zh-CN" altLang="en-US">
              <a:sym typeface="+mn-ea"/>
            </a:rPr>
            <a:t>对多</a:t>
          </a:r>
          <a:r>
            <a:rPr lang="en-US" altLang="zh-CN">
              <a:sym typeface="+mn-ea"/>
            </a:rPr>
            <a:t>BC</a:t>
          </a:r>
          <a:endParaRPr lang="zh-CN" altLang="zh-CN">
            <a:effectLst/>
          </a:endParaRPr>
        </a:p>
        <a:p>
          <a:r>
            <a:rPr lang="en-US" altLang="zh-CN">
              <a:effectLst/>
              <a:sym typeface="+mn-ea"/>
            </a:rPr>
            <a:t>venv\Scripts\python.exe zabbix_api_base.py </a:t>
          </a:r>
          <a:r>
            <a:rPr lang="en-US" altLang="zh-CN">
              <a:sym typeface="+mn-ea"/>
            </a:rPr>
            <a:t>-delete_template_item_tags</a:t>
          </a:r>
          <a:endParaRPr lang="en-US" altLang="zh-CN" sz="1100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657225</xdr:colOff>
      <xdr:row>6</xdr:row>
      <xdr:rowOff>180975</xdr:rowOff>
    </xdr:from>
    <xdr:ext cx="1489831" cy="1673027"/>
    <xdr:sp>
      <xdr:nvSpPr>
        <xdr:cNvPr id="3" name="文本框 2"/>
        <xdr:cNvSpPr txBox="1"/>
      </xdr:nvSpPr>
      <xdr:spPr>
        <a:xfrm>
          <a:off x="9146540" y="1266825"/>
          <a:ext cx="1489710" cy="16725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触发器的严重性级别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zh-CN" altLang="en-US"/>
          </a:b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有效的值为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0 - </a:t>
          </a:r>
          <a:r>
            <a:rPr lang="en-US" altLang="zh-CN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CN" altLang="en-US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默认</a:t>
          </a:r>
          <a:r>
            <a:rPr lang="en-US" altLang="zh-CN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未分类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;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1 - 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信息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;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2 - 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警告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;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3 - 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一般严重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;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4 - 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严重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;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5 - 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灾难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zh-CN" altLang="en-US" sz="1100"/>
        </a:p>
      </xdr:txBody>
    </xdr:sp>
    <xdr:clientData/>
  </xdr:oneCellAnchor>
  <xdr:oneCellAnchor>
    <xdr:from>
      <xdr:col>5</xdr:col>
      <xdr:colOff>314325</xdr:colOff>
      <xdr:row>16</xdr:row>
      <xdr:rowOff>10160</xdr:rowOff>
    </xdr:from>
    <xdr:ext cx="5457190" cy="1507490"/>
    <xdr:sp>
      <xdr:nvSpPr>
        <xdr:cNvPr id="4" name="文本框 3"/>
        <xdr:cNvSpPr txBox="1"/>
      </xdr:nvSpPr>
      <xdr:spPr>
        <a:xfrm>
          <a:off x="7432040" y="2905760"/>
          <a:ext cx="5457190" cy="15074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模板创建触发器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A:D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>
              <a:effectLst/>
              <a:sym typeface="+mn-ea"/>
            </a:rPr>
            <a:t>venv\Scripts\python.exe zabbix_api_base.py </a:t>
          </a:r>
          <a:r>
            <a:rPr lang="en-US" altLang="zh-CN">
              <a:sym typeface="+mn-ea"/>
            </a:rPr>
            <a:t>-create_template_trigger</a:t>
          </a:r>
          <a:endParaRPr lang="en-US" altLang="zh-CN" sz="1100"/>
        </a:p>
        <a:p>
          <a:r>
            <a:rPr lang="zh-CN" altLang="en-US" sz="1100"/>
            <a:t>模板删除触发器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E</a:t>
          </a:r>
          <a:r>
            <a:rPr lang="zh-CN" altLang="en-US">
              <a:sym typeface="+mn-ea"/>
            </a:rPr>
            <a:t>对多</a:t>
          </a:r>
          <a:r>
            <a:rPr lang="en-US" altLang="zh-CN">
              <a:sym typeface="+mn-ea"/>
            </a:rPr>
            <a:t>A</a:t>
          </a:r>
          <a:endParaRPr lang="en-US" altLang="zh-CN" sz="1100"/>
        </a:p>
        <a:p>
          <a:r>
            <a:rPr lang="en-US" altLang="zh-CN">
              <a:effectLst/>
              <a:sym typeface="+mn-ea"/>
            </a:rPr>
            <a:t>venv\Scripts\python.exe zabbix_api_base.py </a:t>
          </a:r>
          <a:r>
            <a:rPr lang="en-US" altLang="zh-CN">
              <a:sym typeface="+mn-ea"/>
            </a:rPr>
            <a:t>-delete_template_trigger</a:t>
          </a:r>
          <a:endParaRPr lang="en-US" altLang="zh-CN" sz="1100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0</xdr:colOff>
      <xdr:row>0</xdr:row>
      <xdr:rowOff>9525</xdr:rowOff>
    </xdr:from>
    <xdr:ext cx="5205730" cy="1621790"/>
    <xdr:sp>
      <xdr:nvSpPr>
        <xdr:cNvPr id="2" name="文本框 1"/>
        <xdr:cNvSpPr txBox="1"/>
      </xdr:nvSpPr>
      <xdr:spPr>
        <a:xfrm>
          <a:off x="4117340" y="9525"/>
          <a:ext cx="5205730" cy="1621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模板更新触发器标签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</a:t>
          </a:r>
          <a:r>
            <a:rPr lang="zh-CN" altLang="en-US">
              <a:sym typeface="+mn-ea"/>
            </a:rPr>
            <a:t>对多</a:t>
          </a:r>
          <a:r>
            <a:rPr lang="en-US" altLang="zh-CN">
              <a:sym typeface="+mn-ea"/>
            </a:rPr>
            <a:t>BC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>
              <a:effectLst/>
              <a:sym typeface="+mn-ea"/>
            </a:rPr>
            <a:t>venv\Scripts\python.exe zabbix_api_base.py </a:t>
          </a:r>
          <a:r>
            <a:rPr lang="en-US" altLang="zh-CN">
              <a:sym typeface="+mn-ea"/>
            </a:rPr>
            <a:t>-update_template_trigger_tags</a:t>
          </a:r>
          <a:endParaRPr lang="en-US" altLang="zh-CN" sz="1100"/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移除触发器标签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</a:t>
          </a:r>
          <a:r>
            <a:rPr lang="zh-CN" altLang="en-US">
              <a:sym typeface="+mn-ea"/>
            </a:rPr>
            <a:t>对多</a:t>
          </a:r>
          <a:r>
            <a:rPr lang="en-US" altLang="zh-CN">
              <a:sym typeface="+mn-ea"/>
            </a:rPr>
            <a:t>BC</a:t>
          </a:r>
          <a:endParaRPr lang="zh-CN" altLang="zh-CN">
            <a:effectLst/>
          </a:endParaRPr>
        </a:p>
        <a:p>
          <a:r>
            <a:rPr lang="en-US" altLang="zh-CN">
              <a:effectLst/>
              <a:sym typeface="+mn-ea"/>
            </a:rPr>
            <a:t>venv\Scripts\python.exe zabbix_api_base.py </a:t>
          </a:r>
          <a:r>
            <a:rPr lang="en-US" altLang="zh-CN">
              <a:sym typeface="+mn-ea"/>
            </a:rPr>
            <a:t>-delete_template_trigger_tags</a:t>
          </a:r>
          <a:endParaRPr lang="en-US" altLang="zh-CN" sz="1100"/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21</xdr:col>
      <xdr:colOff>196850</xdr:colOff>
      <xdr:row>0</xdr:row>
      <xdr:rowOff>76835</xdr:rowOff>
    </xdr:from>
    <xdr:ext cx="927754" cy="2483362"/>
    <xdr:sp>
      <xdr:nvSpPr>
        <xdr:cNvPr id="3" name="文本框 2"/>
        <xdr:cNvSpPr txBox="1"/>
      </xdr:nvSpPr>
      <xdr:spPr>
        <a:xfrm>
          <a:off x="23307040" y="76835"/>
          <a:ext cx="927735" cy="2482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接口类型。</a:t>
          </a:r>
          <a:br>
            <a:rPr lang="zh-CN" altLang="en-US"/>
          </a:b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可能的值有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1 - agent;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2 - SNMP;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3 - IPMI;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4 - JMX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zh-CN" altLang="en-US" sz="1100"/>
        </a:p>
      </xdr:txBody>
    </xdr:sp>
    <xdr:clientData/>
  </xdr:oneCellAnchor>
  <xdr:oneCellAnchor>
    <xdr:from>
      <xdr:col>28</xdr:col>
      <xdr:colOff>0</xdr:colOff>
      <xdr:row>59</xdr:row>
      <xdr:rowOff>0</xdr:rowOff>
    </xdr:from>
    <xdr:ext cx="1374607" cy="2477295"/>
    <xdr:sp>
      <xdr:nvSpPr>
        <xdr:cNvPr id="28" name="文本框 27"/>
        <xdr:cNvSpPr txBox="1"/>
      </xdr:nvSpPr>
      <xdr:spPr>
        <a:xfrm>
          <a:off x="27910790" y="10677525"/>
          <a:ext cx="1374140" cy="24771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>
              <a:effectLst/>
            </a:rPr>
            <a:t>SNMPv3</a:t>
          </a:r>
          <a:r>
            <a:rPr lang="zh-CN" altLang="en-US">
              <a:effectLst/>
            </a:rPr>
            <a:t>隐私协议。</a:t>
          </a:r>
          <a:endParaRPr lang="en-US" altLang="zh-CN">
            <a:effectLst/>
          </a:endParaRPr>
        </a:p>
        <a:p>
          <a:r>
            <a:rPr lang="zh-CN" altLang="en-US">
              <a:effectLst/>
            </a:rPr>
            <a:t>可能的值有</a:t>
          </a:r>
          <a:r>
            <a:rPr lang="en-US" altLang="zh-CN">
              <a:effectLst/>
            </a:rPr>
            <a:t>: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0 - (</a:t>
          </a:r>
          <a:r>
            <a:rPr lang="zh-CN" altLang="en-US">
              <a:effectLst/>
            </a:rPr>
            <a:t>默认</a:t>
          </a:r>
          <a:r>
            <a:rPr lang="en-US" altLang="zh-CN">
              <a:effectLst/>
            </a:rPr>
            <a:t>) - DES;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1 - AES128;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2 - AES192;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3 - AES256;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4 - AES192C;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5 - AES256C.</a:t>
          </a:r>
          <a:endParaRPr lang="zh-CN" altLang="en-US" sz="1100"/>
        </a:p>
      </xdr:txBody>
    </xdr:sp>
    <xdr:clientData/>
  </xdr:oneCellAnchor>
  <xdr:oneCellAnchor>
    <xdr:from>
      <xdr:col>25</xdr:col>
      <xdr:colOff>0</xdr:colOff>
      <xdr:row>59</xdr:row>
      <xdr:rowOff>0</xdr:rowOff>
    </xdr:from>
    <xdr:ext cx="1656736" cy="2477295"/>
    <xdr:sp>
      <xdr:nvSpPr>
        <xdr:cNvPr id="29" name="文本框 28"/>
        <xdr:cNvSpPr txBox="1"/>
      </xdr:nvSpPr>
      <xdr:spPr>
        <a:xfrm>
          <a:off x="25853390" y="10677525"/>
          <a:ext cx="1656715" cy="24771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SNMPv3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身份认证协议。</a:t>
          </a:r>
          <a:endParaRPr lang="en-US" altLang="zh-CN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可能的值有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0 - (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默认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- MD5;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1 - SHA1;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2 - SHA224;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3 - SHA256;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4 - SHA384;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5 - SHA512.</a:t>
          </a:r>
          <a:endParaRPr lang="zh-CN" altLang="en-US" sz="1100"/>
        </a:p>
      </xdr:txBody>
    </xdr:sp>
    <xdr:clientData/>
  </xdr:oneCellAnchor>
  <xdr:oneCellAnchor>
    <xdr:from>
      <xdr:col>22</xdr:col>
      <xdr:colOff>0</xdr:colOff>
      <xdr:row>59</xdr:row>
      <xdr:rowOff>0</xdr:rowOff>
    </xdr:from>
    <xdr:ext cx="1684757" cy="1943470"/>
    <xdr:sp>
      <xdr:nvSpPr>
        <xdr:cNvPr id="30" name="文本框 29"/>
        <xdr:cNvSpPr txBox="1"/>
      </xdr:nvSpPr>
      <xdr:spPr>
        <a:xfrm>
          <a:off x="23795990" y="10677525"/>
          <a:ext cx="1684655" cy="1943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>
              <a:effectLst/>
            </a:rPr>
            <a:t>SNMPv3</a:t>
          </a:r>
          <a:r>
            <a:rPr lang="zh-CN" altLang="en-US">
              <a:effectLst/>
            </a:rPr>
            <a:t>安全级别。 </a:t>
          </a:r>
          <a:endParaRPr lang="en-US" altLang="zh-CN">
            <a:effectLst/>
          </a:endParaRPr>
        </a:p>
        <a:p>
          <a:r>
            <a:rPr lang="zh-CN" altLang="en-US">
              <a:effectLst/>
            </a:rPr>
            <a:t>可能的值有</a:t>
          </a:r>
          <a:r>
            <a:rPr lang="en-US" altLang="zh-CN">
              <a:effectLst/>
            </a:rPr>
            <a:t>: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0 - (</a:t>
          </a:r>
          <a:r>
            <a:rPr lang="zh-CN" altLang="en-US">
              <a:effectLst/>
            </a:rPr>
            <a:t>默认</a:t>
          </a:r>
          <a:r>
            <a:rPr lang="en-US" altLang="zh-CN">
              <a:effectLst/>
            </a:rPr>
            <a:t>) - noAuthNoPriv;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1 - authNoPriv;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2 - authPriv.</a:t>
          </a:r>
          <a:endParaRPr lang="zh-CN" altLang="en-US" sz="1100"/>
        </a:p>
      </xdr:txBody>
    </xdr:sp>
    <xdr:clientData/>
  </xdr:oneCellAnchor>
  <xdr:oneCellAnchor>
    <xdr:from>
      <xdr:col>20</xdr:col>
      <xdr:colOff>0</xdr:colOff>
      <xdr:row>59</xdr:row>
      <xdr:rowOff>0</xdr:rowOff>
    </xdr:from>
    <xdr:ext cx="1239378" cy="1924619"/>
    <xdr:sp>
      <xdr:nvSpPr>
        <xdr:cNvPr id="31" name="文本框 30"/>
        <xdr:cNvSpPr txBox="1"/>
      </xdr:nvSpPr>
      <xdr:spPr>
        <a:xfrm>
          <a:off x="22424390" y="10677525"/>
          <a:ext cx="1238885" cy="19240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SNMP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接口版本。</a:t>
          </a:r>
          <a:br>
            <a:rPr lang="zh-CN" altLang="en-US"/>
          </a:b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可能的值有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1 - SNMPv1;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2 - SNMPv2c;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3 - SNMPv3</a:t>
          </a:r>
          <a:endParaRPr lang="zh-CN" altLang="en-US" sz="1100"/>
        </a:p>
      </xdr:txBody>
    </xdr:sp>
    <xdr:clientData/>
  </xdr:oneCellAnchor>
  <xdr:oneCellAnchor>
    <xdr:from>
      <xdr:col>23</xdr:col>
      <xdr:colOff>0</xdr:colOff>
      <xdr:row>0</xdr:row>
      <xdr:rowOff>9525</xdr:rowOff>
    </xdr:from>
    <xdr:ext cx="5231130" cy="2985135"/>
    <xdr:sp>
      <xdr:nvSpPr>
        <xdr:cNvPr id="32" name="文本框 31"/>
        <xdr:cNvSpPr txBox="1"/>
      </xdr:nvSpPr>
      <xdr:spPr>
        <a:xfrm>
          <a:off x="24481790" y="9525"/>
          <a:ext cx="5231130" cy="29851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创建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agent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主机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A:F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>
              <a:effectLst/>
              <a:sym typeface="+mn-ea"/>
            </a:rPr>
            <a:t>.venv\Scripts\python.exe zabbix_api_base.py </a:t>
          </a:r>
          <a:r>
            <a:rPr lang="en-US" altLang="zh-CN" sz="1100"/>
            <a:t>-</a:t>
          </a:r>
          <a:r>
            <a:rPr lang="zh-CN" altLang="en-US" sz="1100"/>
            <a:t>create_host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创建</a:t>
          </a:r>
          <a:r>
            <a:rPr lang="en-US" altLang="zh-CN" sz="1100"/>
            <a:t>SNMP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主机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 A:J</a:t>
          </a:r>
          <a:endParaRPr lang="en-US" altLang="zh-CN" sz="1100"/>
        </a:p>
        <a:p>
          <a:r>
            <a:rPr lang="en-US" altLang="zh-CN">
              <a:effectLst/>
              <a:sym typeface="+mn-ea"/>
            </a:rPr>
            <a:t>.venv\Scripts\python.exe zabbix_api_base.py </a:t>
          </a:r>
          <a:r>
            <a:rPr lang="en-US" altLang="zh-CN">
              <a:sym typeface="+mn-ea"/>
            </a:rPr>
            <a:t>-</a:t>
          </a:r>
          <a:r>
            <a:rPr lang="zh-CN" altLang="en-US">
              <a:sym typeface="+mn-ea"/>
            </a:rPr>
            <a:t>create_host</a:t>
          </a:r>
          <a:endParaRPr lang="en-US" altLang="zh-CN" sz="1100"/>
        </a:p>
        <a:p>
          <a:r>
            <a:rPr lang="zh-CN" altLang="en-US" sz="1100"/>
            <a:t>删除主机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</a:t>
          </a:r>
          <a:endParaRPr lang="en-US" altLang="zh-CN" sz="1100"/>
        </a:p>
        <a:p>
          <a:r>
            <a:rPr lang="en-US" altLang="zh-CN">
              <a:effectLst/>
              <a:sym typeface="+mn-ea"/>
            </a:rPr>
            <a:t>.venv\Scripts\python.exe zabbix_api_base.py </a:t>
          </a:r>
          <a:r>
            <a:rPr lang="en-US" altLang="zh-CN">
              <a:sym typeface="+mn-ea"/>
            </a:rPr>
            <a:t>-</a:t>
          </a:r>
          <a:r>
            <a:rPr lang="en-US" altLang="zh-CN" sz="1100"/>
            <a:t>delete_host</a:t>
          </a:r>
          <a:endParaRPr lang="en-US" altLang="zh-CN" sz="1100"/>
        </a:p>
      </xdr:txBody>
    </xdr:sp>
    <xdr:clientData/>
  </xdr:oneCellAnchor>
  <xdr:oneCellAnchor>
    <xdr:from>
      <xdr:col>20</xdr:col>
      <xdr:colOff>0</xdr:colOff>
      <xdr:row>65</xdr:row>
      <xdr:rowOff>0</xdr:rowOff>
    </xdr:from>
    <xdr:ext cx="1252331" cy="1750362"/>
    <xdr:sp>
      <xdr:nvSpPr>
        <xdr:cNvPr id="11" name="文本框 10"/>
        <xdr:cNvSpPr txBox="1"/>
      </xdr:nvSpPr>
      <xdr:spPr>
        <a:xfrm>
          <a:off x="22424390" y="11763375"/>
          <a:ext cx="1252220" cy="1750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IPMI 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验证算法。</a:t>
          </a:r>
          <a:br>
            <a:rPr lang="zh-CN" altLang="en-US"/>
          </a:b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可能的值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-1 - </a:t>
          </a:r>
          <a:r>
            <a:rPr lang="en-US" altLang="zh-CN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CN" altLang="en-US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默认</a:t>
          </a:r>
          <a:r>
            <a:rPr lang="en-US" altLang="zh-CN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default;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0 - none;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1 - MD2;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2 - MD5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4 - straight;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5 - OEM;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6 - RMCP+.</a:t>
          </a:r>
          <a:endParaRPr lang="zh-CN" altLang="en-US" sz="1100"/>
        </a:p>
      </xdr:txBody>
    </xdr:sp>
    <xdr:clientData/>
  </xdr:oneCellAnchor>
  <xdr:oneCellAnchor>
    <xdr:from>
      <xdr:col>22</xdr:col>
      <xdr:colOff>0</xdr:colOff>
      <xdr:row>65</xdr:row>
      <xdr:rowOff>0</xdr:rowOff>
    </xdr:from>
    <xdr:ext cx="1186415" cy="1394478"/>
    <xdr:sp>
      <xdr:nvSpPr>
        <xdr:cNvPr id="12" name="文本框 11"/>
        <xdr:cNvSpPr txBox="1"/>
      </xdr:nvSpPr>
      <xdr:spPr>
        <a:xfrm>
          <a:off x="23795990" y="11763375"/>
          <a:ext cx="1186180" cy="13944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IPMI 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权限等级。</a:t>
          </a:r>
          <a:br>
            <a:rPr lang="zh-CN" altLang="en-US"/>
          </a:b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可能的值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1 - callback;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2 - </a:t>
          </a:r>
          <a:r>
            <a:rPr lang="en-US" altLang="zh-CN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CN" altLang="en-US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默认</a:t>
          </a:r>
          <a:r>
            <a:rPr lang="en-US" altLang="zh-CN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user;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3 - operator;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4 - admin;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5 - OEM.</a:t>
          </a:r>
          <a:endParaRPr lang="zh-CN" altLang="en-US" sz="1100"/>
        </a:p>
      </xdr:txBody>
    </xdr:sp>
    <xdr:clientData/>
  </xdr:oneCellAnchor>
  <xdr:oneCellAnchor>
    <xdr:from>
      <xdr:col>21</xdr:col>
      <xdr:colOff>219075</xdr:colOff>
      <xdr:row>7</xdr:row>
      <xdr:rowOff>104775</xdr:rowOff>
    </xdr:from>
    <xdr:ext cx="1365885" cy="1918335"/>
    <xdr:sp>
      <xdr:nvSpPr>
        <xdr:cNvPr id="2" name="文本框 1"/>
        <xdr:cNvSpPr txBox="1"/>
      </xdr:nvSpPr>
      <xdr:spPr>
        <a:xfrm>
          <a:off x="23329265" y="1371600"/>
          <a:ext cx="1365885" cy="19183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IPMI 认证算法。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zh-CN" altLang="en-US" sz="1100"/>
            <a:t>Possible values:</a:t>
          </a:r>
          <a:endParaRPr lang="zh-CN" altLang="en-US" sz="1100"/>
        </a:p>
        <a:p>
          <a:pPr algn="l"/>
          <a:r>
            <a:rPr lang="zh-CN" altLang="en-US" sz="1100"/>
            <a:t>-1 - (default) default;</a:t>
          </a:r>
          <a:endParaRPr lang="zh-CN" altLang="en-US" sz="1100"/>
        </a:p>
        <a:p>
          <a:pPr algn="l"/>
          <a:r>
            <a:rPr lang="zh-CN" altLang="en-US" sz="1100"/>
            <a:t>0 - none;</a:t>
          </a:r>
          <a:endParaRPr lang="zh-CN" altLang="en-US" sz="1100"/>
        </a:p>
        <a:p>
          <a:pPr algn="l"/>
          <a:r>
            <a:rPr lang="zh-CN" altLang="en-US" sz="1100"/>
            <a:t>1 - MD2;</a:t>
          </a:r>
          <a:endParaRPr lang="zh-CN" altLang="en-US" sz="1100"/>
        </a:p>
        <a:p>
          <a:pPr algn="l"/>
          <a:r>
            <a:rPr lang="zh-CN" altLang="en-US" sz="1100"/>
            <a:t>2 - MD5</a:t>
          </a:r>
          <a:endParaRPr lang="zh-CN" altLang="en-US" sz="1100"/>
        </a:p>
        <a:p>
          <a:pPr algn="l"/>
          <a:r>
            <a:rPr lang="zh-CN" altLang="en-US" sz="1100"/>
            <a:t>4 - straight;</a:t>
          </a:r>
          <a:endParaRPr lang="zh-CN" altLang="en-US" sz="1100"/>
        </a:p>
        <a:p>
          <a:pPr algn="l"/>
          <a:r>
            <a:rPr lang="zh-CN" altLang="en-US" sz="1100"/>
            <a:t>5 - OEM;</a:t>
          </a:r>
          <a:endParaRPr lang="zh-CN" altLang="en-US" sz="1100"/>
        </a:p>
        <a:p>
          <a:pPr algn="l"/>
          <a:r>
            <a:rPr lang="zh-CN" altLang="en-US" sz="1100"/>
            <a:t>6 - RMCP+.</a:t>
          </a:r>
          <a:endParaRPr lang="zh-CN" altLang="en-US" sz="1100"/>
        </a:p>
      </xdr:txBody>
    </xdr:sp>
    <xdr:clientData/>
  </xdr:oneCellAnchor>
  <xdr:oneCellAnchor>
    <xdr:from>
      <xdr:col>23</xdr:col>
      <xdr:colOff>609600</xdr:colOff>
      <xdr:row>9</xdr:row>
      <xdr:rowOff>38100</xdr:rowOff>
    </xdr:from>
    <xdr:ext cx="1174750" cy="1553210"/>
    <xdr:sp>
      <xdr:nvSpPr>
        <xdr:cNvPr id="4" name="文本框 3"/>
        <xdr:cNvSpPr txBox="1"/>
      </xdr:nvSpPr>
      <xdr:spPr>
        <a:xfrm>
          <a:off x="25091390" y="1666875"/>
          <a:ext cx="1174750" cy="155321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IPMI 权限级别。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zh-CN" altLang="en-US" sz="1100"/>
            <a:t>Possible values:</a:t>
          </a:r>
          <a:endParaRPr lang="zh-CN" altLang="en-US" sz="1100"/>
        </a:p>
        <a:p>
          <a:pPr algn="l"/>
          <a:r>
            <a:rPr lang="zh-CN" altLang="en-US" sz="1100"/>
            <a:t>1 - callback;</a:t>
          </a:r>
          <a:endParaRPr lang="zh-CN" altLang="en-US" sz="1100"/>
        </a:p>
        <a:p>
          <a:pPr algn="l"/>
          <a:r>
            <a:rPr lang="zh-CN" altLang="en-US" sz="1100"/>
            <a:t>2 - (default) user;</a:t>
          </a:r>
          <a:endParaRPr lang="zh-CN" altLang="en-US" sz="1100"/>
        </a:p>
        <a:p>
          <a:pPr algn="l"/>
          <a:r>
            <a:rPr lang="zh-CN" altLang="en-US" sz="1100"/>
            <a:t>3 - operator;</a:t>
          </a:r>
          <a:endParaRPr lang="zh-CN" altLang="en-US" sz="1100"/>
        </a:p>
        <a:p>
          <a:pPr algn="l"/>
          <a:r>
            <a:rPr lang="zh-CN" altLang="en-US" sz="1100"/>
            <a:t>4 - admin;</a:t>
          </a:r>
          <a:endParaRPr lang="zh-CN" altLang="en-US" sz="1100"/>
        </a:p>
        <a:p>
          <a:pPr algn="l"/>
          <a:r>
            <a:rPr lang="zh-CN" altLang="en-US" sz="1100"/>
            <a:t>5 - OEM.</a:t>
          </a:r>
          <a:endParaRPr lang="zh-CN" altLang="en-US" sz="1100"/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0</xdr:colOff>
      <xdr:row>11</xdr:row>
      <xdr:rowOff>0</xdr:rowOff>
    </xdr:from>
    <xdr:ext cx="1238885" cy="1350645"/>
    <xdr:sp>
      <xdr:nvSpPr>
        <xdr:cNvPr id="3" name="文本框 2"/>
        <xdr:cNvSpPr txBox="1"/>
      </xdr:nvSpPr>
      <xdr:spPr>
        <a:xfrm>
          <a:off x="9345295" y="1990725"/>
          <a:ext cx="1238885" cy="13506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SNMP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接口版本。</a:t>
          </a:r>
          <a:br>
            <a:rPr lang="zh-CN" altLang="en-US"/>
          </a:b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可能的值有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1 - SNMPv1;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2 - SNMPv2c;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3 - SNMPv3</a:t>
          </a:r>
          <a:endParaRPr lang="zh-CN" altLang="en-US" sz="1100"/>
        </a:p>
      </xdr:txBody>
    </xdr:sp>
    <xdr:clientData/>
  </xdr:oneCellAnchor>
  <xdr:oneCellAnchor>
    <xdr:from>
      <xdr:col>12</xdr:col>
      <xdr:colOff>175260</xdr:colOff>
      <xdr:row>0</xdr:row>
      <xdr:rowOff>635</xdr:rowOff>
    </xdr:from>
    <xdr:ext cx="927754" cy="1216537"/>
    <xdr:sp>
      <xdr:nvSpPr>
        <xdr:cNvPr id="4" name="文本框 3"/>
        <xdr:cNvSpPr txBox="1"/>
      </xdr:nvSpPr>
      <xdr:spPr>
        <a:xfrm>
          <a:off x="10409555" y="635"/>
          <a:ext cx="927735" cy="12160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接口类型。</a:t>
          </a:r>
          <a:br>
            <a:rPr lang="zh-CN" altLang="en-US"/>
          </a:b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可能的值有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1 - agent;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2 - SNMP;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3 - IPMI;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4 - JMX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zh-CN" altLang="en-US" sz="1100"/>
        </a:p>
      </xdr:txBody>
    </xdr:sp>
    <xdr:clientData/>
  </xdr:oneCellAnchor>
  <xdr:oneCellAnchor>
    <xdr:from>
      <xdr:col>14</xdr:col>
      <xdr:colOff>0</xdr:colOff>
      <xdr:row>0</xdr:row>
      <xdr:rowOff>9525</xdr:rowOff>
    </xdr:from>
    <xdr:ext cx="4777105" cy="1649730"/>
    <xdr:sp>
      <xdr:nvSpPr>
        <xdr:cNvPr id="5" name="文本框 4"/>
        <xdr:cNvSpPr txBox="1"/>
      </xdr:nvSpPr>
      <xdr:spPr>
        <a:xfrm>
          <a:off x="11605895" y="9525"/>
          <a:ext cx="4777105" cy="1649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主机创建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agent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接口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A:D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>
              <a:effectLst/>
              <a:sym typeface="+mn-ea"/>
            </a:rPr>
            <a:t>venv\Scripts\python.exe zabbix_api_base.py </a:t>
          </a:r>
          <a:r>
            <a:rPr lang="en-US" altLang="zh-CN" sz="1100"/>
            <a:t>-massadd_host_interface</a:t>
          </a:r>
          <a:endParaRPr lang="en-US" altLang="zh-CN" sz="1100"/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主机创建</a:t>
          </a:r>
          <a:r>
            <a:rPr lang="en-US" altLang="zh-CN" sz="1100"/>
            <a:t>SNMP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接口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 A:H</a:t>
          </a:r>
          <a:endParaRPr lang="en-US" altLang="zh-CN" sz="1100"/>
        </a:p>
        <a:p>
          <a:r>
            <a:rPr lang="en-US" altLang="zh-CN">
              <a:effectLst/>
              <a:sym typeface="+mn-ea"/>
            </a:rPr>
            <a:t>venv\Scripts\python.exe zabbix_api_base.py </a:t>
          </a:r>
          <a:r>
            <a:rPr lang="en-US" altLang="zh-CN">
              <a:sym typeface="+mn-ea"/>
            </a:rPr>
            <a:t>-massremove_host_interface</a:t>
          </a:r>
          <a:endParaRPr lang="en-US" altLang="zh-CN" sz="1100"/>
        </a:p>
        <a:p>
          <a:r>
            <a:rPr lang="zh-CN" altLang="en-US" sz="1100"/>
            <a:t>删除主机接口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A:D</a:t>
          </a:r>
          <a:endParaRPr lang="en-US" altLang="zh-CN" sz="1100"/>
        </a:p>
        <a:p>
          <a:r>
            <a:rPr lang="en-US" altLang="zh-CN" sz="1100"/>
            <a:t>-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mdhi</a:t>
          </a:r>
          <a:endParaRPr lang="en-US" altLang="zh-CN" sz="1100"/>
        </a:p>
      </xdr:txBody>
    </xdr:sp>
    <xdr:clientData/>
  </xdr:oneCellAnchor>
  <xdr:oneCellAnchor>
    <xdr:from>
      <xdr:col>13</xdr:col>
      <xdr:colOff>0</xdr:colOff>
      <xdr:row>11</xdr:row>
      <xdr:rowOff>0</xdr:rowOff>
    </xdr:from>
    <xdr:ext cx="1684655" cy="1331595"/>
    <xdr:sp>
      <xdr:nvSpPr>
        <xdr:cNvPr id="8" name="文本框 7"/>
        <xdr:cNvSpPr txBox="1"/>
      </xdr:nvSpPr>
      <xdr:spPr>
        <a:xfrm>
          <a:off x="10920095" y="1990725"/>
          <a:ext cx="1684655" cy="13315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en-US" altLang="zh-CN">
              <a:effectLst/>
            </a:rPr>
            <a:t>SNMPv3</a:t>
          </a:r>
          <a:r>
            <a:rPr lang="zh-CN" altLang="en-US">
              <a:effectLst/>
            </a:rPr>
            <a:t>安全级别。 </a:t>
          </a:r>
          <a:endParaRPr lang="en-US" altLang="zh-CN">
            <a:effectLst/>
          </a:endParaRPr>
        </a:p>
        <a:p>
          <a:r>
            <a:rPr lang="zh-CN" altLang="en-US">
              <a:effectLst/>
            </a:rPr>
            <a:t>可能的值有</a:t>
          </a:r>
          <a:r>
            <a:rPr lang="en-US" altLang="zh-CN">
              <a:effectLst/>
            </a:rPr>
            <a:t>: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0 - (</a:t>
          </a:r>
          <a:r>
            <a:rPr lang="zh-CN" altLang="en-US">
              <a:effectLst/>
            </a:rPr>
            <a:t>默认</a:t>
          </a:r>
          <a:r>
            <a:rPr lang="en-US" altLang="zh-CN">
              <a:effectLst/>
            </a:rPr>
            <a:t>) - noAuthNoPriv;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1 - authNoPriv;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2 - authPriv.</a:t>
          </a:r>
          <a:endParaRPr lang="zh-CN" altLang="en-US" sz="1100"/>
        </a:p>
      </xdr:txBody>
    </xdr:sp>
    <xdr:clientData/>
  </xdr:oneCellAnchor>
  <xdr:oneCellAnchor>
    <xdr:from>
      <xdr:col>16</xdr:col>
      <xdr:colOff>0</xdr:colOff>
      <xdr:row>11</xdr:row>
      <xdr:rowOff>0</xdr:rowOff>
    </xdr:from>
    <xdr:ext cx="1656715" cy="1857375"/>
    <xdr:sp>
      <xdr:nvSpPr>
        <xdr:cNvPr id="9" name="文本框 8"/>
        <xdr:cNvSpPr txBox="1"/>
      </xdr:nvSpPr>
      <xdr:spPr>
        <a:xfrm>
          <a:off x="12977495" y="1990725"/>
          <a:ext cx="1656715" cy="1857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SNMPv3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身份认证协议。</a:t>
          </a:r>
          <a:endParaRPr lang="en-US" altLang="zh-CN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可能的值有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0 - (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默认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- MD5;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1 - SHA1;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2 - SHA224;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3 - SHA256;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4 - SHA384;</a:t>
          </a:r>
          <a:br>
            <a:rPr lang="en-US" altLang="zh-CN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5 - SHA512.</a:t>
          </a:r>
          <a:endParaRPr lang="zh-CN" altLang="en-US" sz="1100"/>
        </a:p>
      </xdr:txBody>
    </xdr:sp>
    <xdr:clientData/>
  </xdr:oneCellAnchor>
  <xdr:oneCellAnchor>
    <xdr:from>
      <xdr:col>19</xdr:col>
      <xdr:colOff>0</xdr:colOff>
      <xdr:row>11</xdr:row>
      <xdr:rowOff>0</xdr:rowOff>
    </xdr:from>
    <xdr:ext cx="1374140" cy="2015490"/>
    <xdr:sp>
      <xdr:nvSpPr>
        <xdr:cNvPr id="10" name="文本框 9"/>
        <xdr:cNvSpPr txBox="1"/>
      </xdr:nvSpPr>
      <xdr:spPr>
        <a:xfrm>
          <a:off x="15034895" y="1990725"/>
          <a:ext cx="1374140" cy="20154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en-US" altLang="zh-CN">
              <a:effectLst/>
            </a:rPr>
            <a:t>SNMPv3</a:t>
          </a:r>
          <a:r>
            <a:rPr lang="zh-CN" altLang="en-US">
              <a:effectLst/>
            </a:rPr>
            <a:t>隐私协议。</a:t>
          </a:r>
          <a:endParaRPr lang="en-US" altLang="zh-CN">
            <a:effectLst/>
          </a:endParaRPr>
        </a:p>
        <a:p>
          <a:r>
            <a:rPr lang="zh-CN" altLang="en-US">
              <a:effectLst/>
            </a:rPr>
            <a:t>可能的值有</a:t>
          </a:r>
          <a:r>
            <a:rPr lang="en-US" altLang="zh-CN">
              <a:effectLst/>
            </a:rPr>
            <a:t>: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0 - (</a:t>
          </a:r>
          <a:r>
            <a:rPr lang="zh-CN" altLang="en-US">
              <a:effectLst/>
            </a:rPr>
            <a:t>默认</a:t>
          </a:r>
          <a:r>
            <a:rPr lang="en-US" altLang="zh-CN">
              <a:effectLst/>
            </a:rPr>
            <a:t>) - DES;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1 - AES128;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2 - AES192;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3 - AES256;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4 - AES192C;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5 - AES256C.</a:t>
          </a:r>
          <a:endParaRPr lang="zh-CN" altLang="en-US" sz="1100"/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0</xdr:colOff>
      <xdr:row>0</xdr:row>
      <xdr:rowOff>9525</xdr:rowOff>
    </xdr:from>
    <xdr:ext cx="6116955" cy="2120900"/>
    <xdr:sp>
      <xdr:nvSpPr>
        <xdr:cNvPr id="2" name="文本框 1"/>
        <xdr:cNvSpPr txBox="1"/>
      </xdr:nvSpPr>
      <xdr:spPr>
        <a:xfrm>
          <a:off x="5866765" y="9525"/>
          <a:ext cx="6116955" cy="2120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主机关联模板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</a:t>
          </a:r>
          <a:r>
            <a:rPr lang="zh-CN" altLang="en-US">
              <a:sym typeface="+mn-ea"/>
            </a:rPr>
            <a:t>对多</a:t>
          </a:r>
          <a:r>
            <a:rPr lang="en-US" altLang="zh-CN">
              <a:sym typeface="+mn-ea"/>
            </a:rPr>
            <a:t>B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>
              <a:effectLst/>
              <a:sym typeface="+mn-ea"/>
            </a:rPr>
            <a:t>venv\Scripts\python.exe zabbix_api_base.py </a:t>
          </a:r>
          <a:r>
            <a:rPr lang="en-US" altLang="zh-CN" sz="1100"/>
            <a:t>-</a:t>
          </a:r>
          <a:r>
            <a:rPr lang="zh-CN" altLang="en-US">
              <a:sym typeface="+mn-ea"/>
            </a:rPr>
            <a:t>massadd_host_template</a:t>
          </a:r>
          <a:endParaRPr lang="en-US" altLang="zh-CN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主机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脱离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保留监控项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</a:t>
          </a:r>
          <a:r>
            <a:rPr lang="zh-CN" altLang="en-US">
              <a:sym typeface="+mn-ea"/>
            </a:rPr>
            <a:t>对多</a:t>
          </a:r>
          <a:r>
            <a:rPr lang="en-US" altLang="zh-CN">
              <a:sym typeface="+mn-ea"/>
            </a:rPr>
            <a:t>B</a:t>
          </a:r>
          <a:endParaRPr lang="zh-CN" altLang="zh-CN">
            <a:effectLst/>
          </a:endParaRPr>
        </a:p>
        <a:p>
          <a:r>
            <a:rPr lang="en-US" altLang="zh-CN">
              <a:effectLst/>
              <a:sym typeface="+mn-ea"/>
            </a:rPr>
            <a:t>venv\Scripts\python.exe zabbix_api_base.py </a:t>
          </a:r>
          <a:r>
            <a:rPr lang="en-US" altLang="zh-CN" sz="1100"/>
            <a:t>-massremove_host_templateids</a:t>
          </a:r>
          <a:endParaRPr lang="en-US" altLang="zh-CN" sz="1100"/>
        </a:p>
        <a:p>
          <a:r>
            <a:rPr lang="zh-CN" altLang="en-US" sz="1100"/>
            <a:t>主机脱离模板删除监控项</a:t>
          </a:r>
          <a:r>
            <a:rPr lang="en-US" altLang="zh-CN">
              <a:effectLst/>
              <a:sym typeface="+mn-ea"/>
            </a:rPr>
            <a:t>: </a:t>
          </a:r>
          <a:r>
            <a:rPr lang="zh-CN" altLang="zh-CN">
              <a:effectLst/>
              <a:sym typeface="+mn-ea"/>
            </a:rPr>
            <a:t>一</a:t>
          </a:r>
          <a:r>
            <a:rPr lang="en-US" altLang="zh-CN">
              <a:effectLst/>
              <a:sym typeface="+mn-ea"/>
            </a:rPr>
            <a:t>A</a:t>
          </a:r>
          <a:r>
            <a:rPr lang="zh-CN" altLang="zh-CN">
              <a:effectLst/>
              <a:sym typeface="+mn-ea"/>
            </a:rPr>
            <a:t>对多</a:t>
          </a:r>
          <a:r>
            <a:rPr lang="en-US" altLang="zh-CN">
              <a:effectLst/>
              <a:sym typeface="+mn-ea"/>
            </a:rPr>
            <a:t>B</a:t>
          </a:r>
          <a:endParaRPr lang="en-US" altLang="zh-CN" sz="1100"/>
        </a:p>
        <a:p>
          <a:r>
            <a:rPr lang="en-US" altLang="zh-CN">
              <a:effectLst/>
              <a:sym typeface="+mn-ea"/>
            </a:rPr>
            <a:t>venv\Scripts\python.exe zabbix_api_base.py </a:t>
          </a:r>
          <a:r>
            <a:rPr lang="en-US" altLang="zh-CN" sz="1100"/>
            <a:t>-massremove_host_templateids_clear</a:t>
          </a:r>
          <a:endParaRPr lang="en-US" altLang="zh-CN" sz="1100"/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0</xdr:colOff>
      <xdr:row>0</xdr:row>
      <xdr:rowOff>9525</xdr:rowOff>
    </xdr:from>
    <xdr:ext cx="6424295" cy="1784350"/>
    <xdr:sp>
      <xdr:nvSpPr>
        <xdr:cNvPr id="2" name="文本框 1"/>
        <xdr:cNvSpPr txBox="1"/>
      </xdr:nvSpPr>
      <xdr:spPr>
        <a:xfrm>
          <a:off x="4758055" y="9525"/>
          <a:ext cx="6424295" cy="17843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主机关联主机组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</a:t>
          </a:r>
          <a:r>
            <a:rPr lang="zh-CN" altLang="en-US">
              <a:sym typeface="+mn-ea"/>
            </a:rPr>
            <a:t>对多</a:t>
          </a:r>
          <a:r>
            <a:rPr lang="en-US" altLang="zh-CN">
              <a:sym typeface="+mn-ea"/>
            </a:rPr>
            <a:t>B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>
              <a:effectLst/>
              <a:sym typeface="+mn-ea"/>
            </a:rPr>
            <a:t>venv\Scripts\python.exe zabbix_api_base.py </a:t>
          </a:r>
          <a:r>
            <a:rPr lang="en-US" altLang="zh-CN" sz="1100"/>
            <a:t>-massadd_host_groups</a:t>
          </a:r>
          <a:endParaRPr lang="en-US" altLang="zh-CN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主机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脱离主机组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</a:t>
          </a:r>
          <a:r>
            <a:rPr lang="zh-CN" altLang="en-US">
              <a:sym typeface="+mn-ea"/>
            </a:rPr>
            <a:t>对多</a:t>
          </a:r>
          <a:r>
            <a:rPr lang="en-US" altLang="zh-CN">
              <a:sym typeface="+mn-ea"/>
            </a:rPr>
            <a:t>B</a:t>
          </a:r>
          <a:endParaRPr lang="zh-CN" altLang="zh-CN">
            <a:effectLst/>
          </a:endParaRPr>
        </a:p>
        <a:p>
          <a:r>
            <a:rPr lang="en-US" altLang="zh-CN">
              <a:effectLst/>
              <a:sym typeface="+mn-ea"/>
            </a:rPr>
            <a:t>venv\Scripts\python.exe zabbix_api_base.py </a:t>
          </a:r>
          <a:r>
            <a:rPr lang="en-US" altLang="zh-CN" sz="1100"/>
            <a:t>-massremove_host_group</a:t>
          </a:r>
          <a:endParaRPr lang="en-US" altLang="zh-CN" sz="1100"/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93345</xdr:colOff>
      <xdr:row>27</xdr:row>
      <xdr:rowOff>50165</xdr:rowOff>
    </xdr:from>
    <xdr:ext cx="1877437" cy="1676202"/>
    <xdr:sp>
      <xdr:nvSpPr>
        <xdr:cNvPr id="4" name="文本框 3"/>
        <xdr:cNvSpPr txBox="1"/>
      </xdr:nvSpPr>
      <xdr:spPr>
        <a:xfrm>
          <a:off x="7498715" y="4936490"/>
          <a:ext cx="1877060" cy="167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要返回的历史对象的类型。</a:t>
          </a:r>
          <a:br>
            <a:rPr lang="zh-CN" altLang="en-US"/>
          </a:b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可能的取值：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0 - 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浮点数；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1 - 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字符；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2 - 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日志；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3 - 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无符号数；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4 - 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文本。</a:t>
          </a:r>
          <a:br>
            <a:rPr lang="zh-CN" altLang="en-US"/>
          </a:b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默认： 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</a:t>
          </a:r>
          <a:endParaRPr lang="zh-CN" altLang="en-US" sz="1100"/>
        </a:p>
      </xdr:txBody>
    </xdr:sp>
    <xdr:clientData/>
  </xdr:oneCellAnchor>
  <xdr:oneCellAnchor>
    <xdr:from>
      <xdr:col>9</xdr:col>
      <xdr:colOff>184785</xdr:colOff>
      <xdr:row>44</xdr:row>
      <xdr:rowOff>26670</xdr:rowOff>
    </xdr:from>
    <xdr:ext cx="4756785" cy="669290"/>
    <xdr:sp>
      <xdr:nvSpPr>
        <xdr:cNvPr id="6" name="文本框 5"/>
        <xdr:cNvSpPr txBox="1"/>
      </xdr:nvSpPr>
      <xdr:spPr>
        <a:xfrm>
          <a:off x="9900920" y="7989570"/>
          <a:ext cx="4756785" cy="6692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按主机批量计算历史值</a:t>
          </a:r>
          <a:r>
            <a:rPr lang="en-US" altLang="zh-CN">
              <a:effectLst/>
              <a:sym typeface="+mn-ea"/>
            </a:rPr>
            <a:t>: </a:t>
          </a:r>
          <a:r>
            <a:rPr lang="zh-CN" altLang="zh-CN">
              <a:effectLst/>
              <a:sym typeface="+mn-ea"/>
            </a:rPr>
            <a:t>一</a:t>
          </a:r>
          <a:r>
            <a:rPr lang="en-US" altLang="zh-CN">
              <a:effectLst/>
              <a:sym typeface="+mn-ea"/>
            </a:rPr>
            <a:t>A:E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.venv\Scripts\python.exe zabbix_api_extend.py -get_item_history</a:t>
          </a:r>
          <a:endParaRPr lang="zh-CN" altLang="zh-CN">
            <a:effectLst/>
          </a:endParaRP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0</xdr:colOff>
      <xdr:row>0</xdr:row>
      <xdr:rowOff>0</xdr:rowOff>
    </xdr:from>
    <xdr:ext cx="1877437" cy="1681917"/>
    <xdr:sp>
      <xdr:nvSpPr>
        <xdr:cNvPr id="3" name="文本框 2"/>
        <xdr:cNvSpPr txBox="1"/>
      </xdr:nvSpPr>
      <xdr:spPr>
        <a:xfrm>
          <a:off x="10213340" y="0"/>
          <a:ext cx="1877060" cy="16814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要返回的历史对象的类型。</a:t>
          </a:r>
          <a:br>
            <a:rPr lang="zh-CN" altLang="en-US"/>
          </a:b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可能的取值：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0 - 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浮点数；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1 - 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字符；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2 - 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日志；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3 - 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无符号数；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4 - 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文本。</a:t>
          </a:r>
          <a:br>
            <a:rPr lang="zh-CN" altLang="en-US"/>
          </a:b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默认： 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</a:t>
          </a:r>
          <a:endParaRPr lang="zh-CN" altLang="en-US" sz="1100"/>
        </a:p>
      </xdr:txBody>
    </xdr:sp>
    <xdr:clientData/>
  </xdr:oneCellAnchor>
  <xdr:oneCellAnchor>
    <xdr:from>
      <xdr:col>6</xdr:col>
      <xdr:colOff>194310</xdr:colOff>
      <xdr:row>10</xdr:row>
      <xdr:rowOff>99060</xdr:rowOff>
    </xdr:from>
    <xdr:ext cx="6368415" cy="1435100"/>
    <xdr:sp>
      <xdr:nvSpPr>
        <xdr:cNvPr id="4" name="文本框 3"/>
        <xdr:cNvSpPr txBox="1"/>
      </xdr:nvSpPr>
      <xdr:spPr>
        <a:xfrm>
          <a:off x="7495540" y="1908810"/>
          <a:ext cx="6368415" cy="1435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按主机批量导出历史数据</a:t>
          </a:r>
          <a:r>
            <a:rPr lang="en-US" altLang="zh-CN">
              <a:effectLst/>
              <a:sym typeface="+mn-ea"/>
            </a:rPr>
            <a:t>: </a:t>
          </a:r>
          <a:r>
            <a:rPr lang="zh-CN" altLang="zh-CN">
              <a:effectLst/>
              <a:sym typeface="+mn-ea"/>
            </a:rPr>
            <a:t>一</a:t>
          </a:r>
          <a:r>
            <a:rPr lang="en-US" altLang="zh-CN">
              <a:effectLst/>
              <a:sym typeface="+mn-ea"/>
            </a:rPr>
            <a:t>A:E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>
              <a:effectLst/>
              <a:sym typeface="+mn-ea"/>
            </a:rPr>
            <a:t>venv\Scripts\python.exe zabbix_api_extend.py 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-get_all_history</a:t>
          </a:r>
          <a:endParaRPr lang="zh-CN" altLang="zh-CN">
            <a:effectLst/>
          </a:endParaRP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0</xdr:row>
      <xdr:rowOff>9525</xdr:rowOff>
    </xdr:from>
    <xdr:ext cx="7948930" cy="1017905"/>
    <xdr:sp>
      <xdr:nvSpPr>
        <xdr:cNvPr id="2" name="文本框 1"/>
        <xdr:cNvSpPr txBox="1"/>
      </xdr:nvSpPr>
      <xdr:spPr>
        <a:xfrm>
          <a:off x="4351655" y="9525"/>
          <a:ext cx="7948930" cy="10179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按主机组导出主机</a:t>
          </a:r>
          <a:r>
            <a:rPr lang="en-US" altLang="zh-CN">
              <a:effectLst/>
              <a:sym typeface="+mn-ea"/>
            </a:rPr>
            <a:t>: </a:t>
          </a:r>
          <a:r>
            <a:rPr lang="zh-CN" altLang="zh-CN">
              <a:effectLst/>
              <a:sym typeface="+mn-ea"/>
            </a:rPr>
            <a:t>一</a:t>
          </a:r>
          <a:r>
            <a:rPr lang="en-US" altLang="zh-CN">
              <a:effectLst/>
              <a:sym typeface="+mn-ea"/>
            </a:rPr>
            <a:t>A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>
              <a:effectLst/>
              <a:sym typeface="+mn-ea"/>
            </a:rPr>
            <a:t>venv\Scripts\python.exe zabbix_api_extend.py -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get_hostgroup_host</a:t>
          </a:r>
          <a:endParaRPr lang="zh-CN" altLang="zh-CN">
            <a:effectLst/>
          </a:endParaRP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0</xdr:row>
      <xdr:rowOff>0</xdr:rowOff>
    </xdr:from>
    <xdr:ext cx="1489831" cy="1681917"/>
    <xdr:sp>
      <xdr:nvSpPr>
        <xdr:cNvPr id="3" name="文本框 2"/>
        <xdr:cNvSpPr txBox="1"/>
      </xdr:nvSpPr>
      <xdr:spPr>
        <a:xfrm>
          <a:off x="5579110" y="0"/>
          <a:ext cx="1489710" cy="16814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>
              <a:effectLst/>
            </a:rPr>
            <a:t>触发器的严重性级别</a:t>
          </a:r>
          <a:r>
            <a:rPr lang="en-US" altLang="zh-CN">
              <a:effectLst/>
            </a:rPr>
            <a:t>.</a:t>
          </a:r>
          <a:br>
            <a:rPr lang="en-US" altLang="zh-CN">
              <a:effectLst/>
            </a:rPr>
          </a:br>
          <a:r>
            <a:rPr lang="zh-CN" altLang="en-US">
              <a:effectLst/>
            </a:rPr>
            <a:t>有效的值为</a:t>
          </a:r>
          <a:r>
            <a:rPr lang="en-US" altLang="zh-CN">
              <a:effectLst/>
            </a:rPr>
            <a:t>: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0 - </a:t>
          </a:r>
          <a:r>
            <a:rPr lang="en-US" altLang="zh-CN" i="1">
              <a:effectLst/>
            </a:rPr>
            <a:t>(</a:t>
          </a:r>
          <a:r>
            <a:rPr lang="zh-CN" altLang="en-US" i="1">
              <a:effectLst/>
            </a:rPr>
            <a:t>默认</a:t>
          </a:r>
          <a:r>
            <a:rPr lang="en-US" altLang="zh-CN" i="1">
              <a:effectLst/>
            </a:rPr>
            <a:t>)</a:t>
          </a:r>
          <a:r>
            <a:rPr lang="zh-CN" altLang="en-US">
              <a:effectLst/>
            </a:rPr>
            <a:t> 未分类</a:t>
          </a:r>
          <a:r>
            <a:rPr lang="en-US" altLang="zh-CN">
              <a:effectLst/>
            </a:rPr>
            <a:t>;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1 - </a:t>
          </a:r>
          <a:r>
            <a:rPr lang="zh-CN" altLang="en-US">
              <a:effectLst/>
            </a:rPr>
            <a:t>信息</a:t>
          </a:r>
          <a:r>
            <a:rPr lang="en-US" altLang="zh-CN">
              <a:effectLst/>
            </a:rPr>
            <a:t>;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2 - </a:t>
          </a:r>
          <a:r>
            <a:rPr lang="zh-CN" altLang="en-US">
              <a:effectLst/>
            </a:rPr>
            <a:t>警告</a:t>
          </a:r>
          <a:r>
            <a:rPr lang="en-US" altLang="zh-CN">
              <a:effectLst/>
            </a:rPr>
            <a:t>;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3 - </a:t>
          </a:r>
          <a:r>
            <a:rPr lang="zh-CN" altLang="en-US">
              <a:effectLst/>
            </a:rPr>
            <a:t>一般严重</a:t>
          </a:r>
          <a:r>
            <a:rPr lang="en-US" altLang="zh-CN">
              <a:effectLst/>
            </a:rPr>
            <a:t>;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4 - </a:t>
          </a:r>
          <a:r>
            <a:rPr lang="zh-CN" altLang="en-US">
              <a:effectLst/>
            </a:rPr>
            <a:t>严重</a:t>
          </a:r>
          <a:r>
            <a:rPr lang="en-US" altLang="zh-CN">
              <a:effectLst/>
            </a:rPr>
            <a:t>;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5 - </a:t>
          </a:r>
          <a:r>
            <a:rPr lang="zh-CN" altLang="en-US">
              <a:effectLst/>
            </a:rPr>
            <a:t>灾难</a:t>
          </a:r>
          <a:r>
            <a:rPr lang="en-US" altLang="zh-CN">
              <a:effectLst/>
            </a:rPr>
            <a:t>.</a:t>
          </a:r>
          <a:endParaRPr lang="zh-CN" altLang="en-US" sz="1100"/>
        </a:p>
      </xdr:txBody>
    </xdr:sp>
    <xdr:clientData/>
  </xdr:oneCellAnchor>
  <xdr:oneCellAnchor>
    <xdr:from>
      <xdr:col>12</xdr:col>
      <xdr:colOff>0</xdr:colOff>
      <xdr:row>0</xdr:row>
      <xdr:rowOff>9525</xdr:rowOff>
    </xdr:from>
    <xdr:ext cx="2588895" cy="822325"/>
    <xdr:sp>
      <xdr:nvSpPr>
        <xdr:cNvPr id="4" name="文本框 3"/>
        <xdr:cNvSpPr txBox="1"/>
      </xdr:nvSpPr>
      <xdr:spPr>
        <a:xfrm>
          <a:off x="9008110" y="9525"/>
          <a:ext cx="2588895" cy="822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>
              <a:effectLst/>
              <a:sym typeface="+mn-ea"/>
            </a:rPr>
            <a:t>批量停止已启用触发器: </a:t>
          </a:r>
          <a:r>
            <a:rPr lang="zh-CN" altLang="zh-CN">
              <a:effectLst/>
              <a:sym typeface="+mn-ea"/>
            </a:rPr>
            <a:t>一</a:t>
          </a:r>
          <a:r>
            <a:rPr lang="en-US" altLang="zh-CN">
              <a:effectLst/>
              <a:sym typeface="+mn-ea"/>
            </a:rPr>
            <a:t>A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-stoptrigger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批量启用</a:t>
          </a:r>
          <a:r>
            <a:rPr lang="en-US" altLang="zh-CN">
              <a:effectLst/>
              <a:sym typeface="+mn-ea"/>
            </a:rPr>
            <a:t>已停止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触发器</a:t>
          </a:r>
          <a:r>
            <a:rPr lang="en-US" altLang="zh-CN">
              <a:effectLst/>
              <a:sym typeface="+mn-ea"/>
            </a:rPr>
            <a:t>: </a:t>
          </a:r>
          <a:r>
            <a:rPr lang="zh-CN" altLang="zh-CN">
              <a:effectLst/>
              <a:sym typeface="+mn-ea"/>
            </a:rPr>
            <a:t>一</a:t>
          </a:r>
          <a:r>
            <a:rPr lang="en-US" altLang="zh-CN">
              <a:effectLst/>
              <a:sym typeface="+mn-ea"/>
            </a:rPr>
            <a:t>A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-starttrigger</a:t>
          </a:r>
          <a:endParaRPr lang="zh-CN" altLang="zh-CN">
            <a:effectLst/>
          </a:endParaRP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0</xdr:colOff>
      <xdr:row>0</xdr:row>
      <xdr:rowOff>0</xdr:rowOff>
    </xdr:from>
    <xdr:ext cx="1877437" cy="2143573"/>
    <xdr:sp>
      <xdr:nvSpPr>
        <xdr:cNvPr id="2" name="文本框 1"/>
        <xdr:cNvSpPr txBox="1"/>
      </xdr:nvSpPr>
      <xdr:spPr>
        <a:xfrm>
          <a:off x="11790680" y="0"/>
          <a:ext cx="1877060" cy="2143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 b="0" i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要返回的历史对象的类型。</a:t>
          </a:r>
          <a:br>
            <a:rPr lang="zh-CN" altLang="en-US">
              <a:latin typeface="微软雅黑" panose="020B0503020204020204" pitchFamily="34" charset="-122"/>
              <a:ea typeface="微软雅黑" panose="020B0503020204020204" pitchFamily="34" charset="-122"/>
            </a:rPr>
          </a:br>
          <a:r>
            <a:rPr lang="zh-CN" altLang="en-US" sz="1100" b="0" i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可能的取值：</a:t>
          </a:r>
          <a:br>
            <a:rPr lang="zh-CN" altLang="en-US">
              <a:latin typeface="微软雅黑" panose="020B0503020204020204" pitchFamily="34" charset="-122"/>
              <a:ea typeface="微软雅黑" panose="020B0503020204020204" pitchFamily="34" charset="-122"/>
            </a:rPr>
          </a:br>
          <a:r>
            <a:rPr lang="en-US" altLang="zh-CN" sz="1100" b="0" i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0 - </a:t>
          </a:r>
          <a:r>
            <a:rPr lang="zh-CN" altLang="en-US" sz="1100" b="0" i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浮点数；</a:t>
          </a:r>
          <a:br>
            <a:rPr lang="zh-CN" altLang="en-US">
              <a:latin typeface="微软雅黑" panose="020B0503020204020204" pitchFamily="34" charset="-122"/>
              <a:ea typeface="微软雅黑" panose="020B0503020204020204" pitchFamily="34" charset="-122"/>
            </a:rPr>
          </a:br>
          <a:r>
            <a:rPr lang="en-US" altLang="zh-CN" sz="1100" b="0" i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1 - </a:t>
          </a:r>
          <a:r>
            <a:rPr lang="zh-CN" altLang="en-US" sz="1100" b="0" i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字符；</a:t>
          </a:r>
          <a:br>
            <a:rPr lang="zh-CN" altLang="en-US">
              <a:latin typeface="微软雅黑" panose="020B0503020204020204" pitchFamily="34" charset="-122"/>
              <a:ea typeface="微软雅黑" panose="020B0503020204020204" pitchFamily="34" charset="-122"/>
            </a:rPr>
          </a:br>
          <a:r>
            <a:rPr lang="en-US" altLang="zh-CN" sz="1100" b="0" i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2 - </a:t>
          </a:r>
          <a:r>
            <a:rPr lang="zh-CN" altLang="en-US" sz="1100" b="0" i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日志；</a:t>
          </a:r>
          <a:br>
            <a:rPr lang="zh-CN" altLang="en-US">
              <a:latin typeface="微软雅黑" panose="020B0503020204020204" pitchFamily="34" charset="-122"/>
              <a:ea typeface="微软雅黑" panose="020B0503020204020204" pitchFamily="34" charset="-122"/>
            </a:rPr>
          </a:br>
          <a:r>
            <a:rPr lang="en-US" altLang="zh-CN" sz="1100" b="0" i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3 - </a:t>
          </a:r>
          <a:r>
            <a:rPr lang="zh-CN" altLang="en-US" sz="1100" b="0" i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无符号数；</a:t>
          </a:r>
          <a:br>
            <a:rPr lang="zh-CN" altLang="en-US">
              <a:latin typeface="微软雅黑" panose="020B0503020204020204" pitchFamily="34" charset="-122"/>
              <a:ea typeface="微软雅黑" panose="020B0503020204020204" pitchFamily="34" charset="-122"/>
            </a:rPr>
          </a:br>
          <a:r>
            <a:rPr lang="en-US" altLang="zh-CN" sz="1100" b="0" i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4 - </a:t>
          </a:r>
          <a:r>
            <a:rPr lang="zh-CN" altLang="en-US" sz="1100" b="0" i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文本。</a:t>
          </a:r>
          <a:br>
            <a:rPr lang="zh-CN" altLang="en-US">
              <a:latin typeface="微软雅黑" panose="020B0503020204020204" pitchFamily="34" charset="-122"/>
              <a:ea typeface="微软雅黑" panose="020B0503020204020204" pitchFamily="34" charset="-122"/>
            </a:rPr>
          </a:br>
          <a:r>
            <a:rPr lang="zh-CN" altLang="en-US" sz="1100" b="0" i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默认： </a:t>
          </a:r>
          <a:r>
            <a:rPr lang="en-US" altLang="zh-CN" sz="1100" b="0" i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3.</a:t>
          </a:r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oneCellAnchor>
  <xdr:oneCellAnchor>
    <xdr:from>
      <xdr:col>11</xdr:col>
      <xdr:colOff>19685</xdr:colOff>
      <xdr:row>8</xdr:row>
      <xdr:rowOff>48260</xdr:rowOff>
    </xdr:from>
    <xdr:ext cx="2582758" cy="1239397"/>
    <xdr:sp>
      <xdr:nvSpPr>
        <xdr:cNvPr id="8" name="文本框 7"/>
        <xdr:cNvSpPr txBox="1"/>
      </xdr:nvSpPr>
      <xdr:spPr>
        <a:xfrm>
          <a:off x="11810365" y="1724660"/>
          <a:ext cx="2582545" cy="1238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主机组下所有主机附加模板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-mahgt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主机组下所有主机更新模板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-muhgt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主机组下所有主机脱离模板清理监控项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-mdhgt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0</xdr:colOff>
      <xdr:row>0</xdr:row>
      <xdr:rowOff>7620</xdr:rowOff>
    </xdr:from>
    <xdr:ext cx="2300605" cy="1028065"/>
    <xdr:sp>
      <xdr:nvSpPr>
        <xdr:cNvPr id="4" name="文本框 3"/>
        <xdr:cNvSpPr txBox="1"/>
      </xdr:nvSpPr>
      <xdr:spPr>
        <a:xfrm>
          <a:off x="6858000" y="7620"/>
          <a:ext cx="2300605" cy="10280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所有模板下监控项名称翻译成中文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CN"/>
            <a:t>talltie2c19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模板下监控项名称翻译成中文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CN"/>
            <a:t>ttie2c19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0</xdr:row>
      <xdr:rowOff>1270</xdr:rowOff>
    </xdr:from>
    <xdr:ext cx="1998980" cy="467995"/>
    <xdr:sp>
      <xdr:nvSpPr>
        <xdr:cNvPr id="3" name="文本框 2"/>
        <xdr:cNvSpPr txBox="1"/>
      </xdr:nvSpPr>
      <xdr:spPr>
        <a:xfrm>
          <a:off x="7026910" y="1270"/>
          <a:ext cx="1998980" cy="4679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模板下监控项名称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还原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成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英文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CN"/>
            <a:t>rtie2c20</a:t>
          </a:r>
          <a:endParaRPr lang="zh-CN" altLang="zh-CN">
            <a:effectLst/>
          </a:endParaRP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0</xdr:colOff>
      <xdr:row>0</xdr:row>
      <xdr:rowOff>2540</xdr:rowOff>
    </xdr:from>
    <xdr:ext cx="2278380" cy="845185"/>
    <xdr:sp>
      <xdr:nvSpPr>
        <xdr:cNvPr id="2" name="文本框 1"/>
        <xdr:cNvSpPr txBox="1"/>
      </xdr:nvSpPr>
      <xdr:spPr>
        <a:xfrm>
          <a:off x="6858000" y="2540"/>
          <a:ext cx="2278380" cy="845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所有模板下触发器名称翻译成中文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CN"/>
            <a:t>talltte2c21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模板下触发器名称翻译成中文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CN"/>
            <a:t>ttte2c21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0</xdr:row>
      <xdr:rowOff>1270</xdr:rowOff>
    </xdr:from>
    <xdr:ext cx="1998980" cy="467995"/>
    <xdr:sp>
      <xdr:nvSpPr>
        <xdr:cNvPr id="2" name="文本框 1"/>
        <xdr:cNvSpPr txBox="1"/>
      </xdr:nvSpPr>
      <xdr:spPr>
        <a:xfrm>
          <a:off x="8246110" y="1270"/>
          <a:ext cx="1998980" cy="4679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模板下触发器名称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还原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成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英文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CN"/>
            <a:t>rtte2c22</a:t>
          </a:r>
          <a:endParaRPr lang="zh-CN" altLang="zh-CN">
            <a:effectLst/>
          </a:endParaRPr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0</xdr:colOff>
      <xdr:row>0</xdr:row>
      <xdr:rowOff>2540</xdr:rowOff>
    </xdr:from>
    <xdr:ext cx="2138680" cy="845185"/>
    <xdr:sp>
      <xdr:nvSpPr>
        <xdr:cNvPr id="2" name="文本框 1"/>
        <xdr:cNvSpPr txBox="1"/>
      </xdr:nvSpPr>
      <xdr:spPr>
        <a:xfrm>
          <a:off x="6858000" y="2540"/>
          <a:ext cx="2138680" cy="845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所有模板下图形名称翻译成中文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CN"/>
            <a:t>talltge2c23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模板下图形名称翻译成中文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CN"/>
            <a:t>ttge2c23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0</xdr:row>
      <xdr:rowOff>1270</xdr:rowOff>
    </xdr:from>
    <xdr:ext cx="2278380" cy="467995"/>
    <xdr:sp>
      <xdr:nvSpPr>
        <xdr:cNvPr id="2" name="文本框 1"/>
        <xdr:cNvSpPr txBox="1"/>
      </xdr:nvSpPr>
      <xdr:spPr>
        <a:xfrm>
          <a:off x="7026910" y="1270"/>
          <a:ext cx="2278380" cy="4679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模板下监控项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图形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名称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还原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成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英文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CN"/>
            <a:t>rtge2c24</a:t>
          </a:r>
          <a:endParaRPr lang="zh-CN" altLang="zh-CN">
            <a:effectLst/>
          </a:endParaRPr>
        </a:p>
      </xdr:txBody>
    </xdr:sp>
    <xdr:clientData/>
  </xdr:one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0</xdr:colOff>
      <xdr:row>0</xdr:row>
      <xdr:rowOff>2540</xdr:rowOff>
    </xdr:from>
    <xdr:ext cx="2557780" cy="845185"/>
    <xdr:sp>
      <xdr:nvSpPr>
        <xdr:cNvPr id="2" name="文本框 1"/>
        <xdr:cNvSpPr txBox="1"/>
      </xdr:nvSpPr>
      <xdr:spPr>
        <a:xfrm>
          <a:off x="6858000" y="2540"/>
          <a:ext cx="2557780" cy="845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所有模板下监控项原型名称翻译成中文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CN"/>
            <a:t>talltipe2c25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模板下监控项原型名称翻译成中文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CN"/>
            <a:t>ttipe2c25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0</xdr:row>
      <xdr:rowOff>1270</xdr:rowOff>
    </xdr:from>
    <xdr:ext cx="2278380" cy="467995"/>
    <xdr:sp>
      <xdr:nvSpPr>
        <xdr:cNvPr id="2" name="文本框 1"/>
        <xdr:cNvSpPr txBox="1"/>
      </xdr:nvSpPr>
      <xdr:spPr>
        <a:xfrm>
          <a:off x="7026910" y="1270"/>
          <a:ext cx="2278380" cy="4679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模板下监控项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原型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名称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还原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成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英文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CN"/>
            <a:t>rtipe2c26</a:t>
          </a:r>
          <a:endParaRPr lang="zh-CN" altLang="zh-CN">
            <a:effectLst/>
          </a:endParaRPr>
        </a:p>
      </xdr:txBody>
    </xdr:sp>
    <xdr:clientData/>
  </xdr:one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0</xdr:colOff>
      <xdr:row>0</xdr:row>
      <xdr:rowOff>2540</xdr:rowOff>
    </xdr:from>
    <xdr:ext cx="2557780" cy="845185"/>
    <xdr:sp>
      <xdr:nvSpPr>
        <xdr:cNvPr id="2" name="文本框 1"/>
        <xdr:cNvSpPr txBox="1"/>
      </xdr:nvSpPr>
      <xdr:spPr>
        <a:xfrm>
          <a:off x="6858000" y="2540"/>
          <a:ext cx="2557780" cy="845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所有模板下触发器类型名称翻译成中文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CN"/>
            <a:t>tallttpe2c27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模板下触发器类型名称翻译成中文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CN"/>
            <a:t>tttpe2c27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0</xdr:row>
      <xdr:rowOff>1270</xdr:rowOff>
    </xdr:from>
    <xdr:ext cx="2278380" cy="467995"/>
    <xdr:sp>
      <xdr:nvSpPr>
        <xdr:cNvPr id="2" name="文本框 1"/>
        <xdr:cNvSpPr txBox="1"/>
      </xdr:nvSpPr>
      <xdr:spPr>
        <a:xfrm>
          <a:off x="8246110" y="1270"/>
          <a:ext cx="2278380" cy="4679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模板下触发器类型名称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还原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成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英文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CN"/>
            <a:t>rttpe2c28</a:t>
          </a:r>
          <a:endParaRPr lang="zh-CN" altLang="zh-CN">
            <a:effectLst/>
          </a:endParaRPr>
        </a:p>
      </xdr:txBody>
    </xdr:sp>
    <xdr:clientData/>
  </xdr:one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0</xdr:colOff>
      <xdr:row>0</xdr:row>
      <xdr:rowOff>2540</xdr:rowOff>
    </xdr:from>
    <xdr:ext cx="2418080" cy="845185"/>
    <xdr:sp>
      <xdr:nvSpPr>
        <xdr:cNvPr id="2" name="文本框 1"/>
        <xdr:cNvSpPr txBox="1"/>
      </xdr:nvSpPr>
      <xdr:spPr>
        <a:xfrm>
          <a:off x="6858000" y="2540"/>
          <a:ext cx="2418080" cy="845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所有模板下图形原型名称翻译成中文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CN"/>
            <a:t>talltgpe2c29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模板下图形原型名称翻译成中文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CN"/>
            <a:t>ttgpe2c29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0</xdr:row>
      <xdr:rowOff>1270</xdr:rowOff>
    </xdr:from>
    <xdr:ext cx="2557780" cy="467995"/>
    <xdr:sp>
      <xdr:nvSpPr>
        <xdr:cNvPr id="2" name="文本框 1"/>
        <xdr:cNvSpPr txBox="1"/>
      </xdr:nvSpPr>
      <xdr:spPr>
        <a:xfrm>
          <a:off x="7026910" y="1270"/>
          <a:ext cx="2557780" cy="4679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模板下监控项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图形原型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名称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还原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成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英文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CN"/>
            <a:t>rtgpe2c30</a:t>
          </a:r>
          <a:endParaRPr lang="zh-CN" altLang="zh-CN">
            <a:effectLst/>
          </a:endParaRPr>
        </a:p>
      </xdr:txBody>
    </xdr:sp>
    <xdr:clientData/>
  </xdr:one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0</xdr:colOff>
      <xdr:row>0</xdr:row>
      <xdr:rowOff>1905</xdr:rowOff>
    </xdr:from>
    <xdr:ext cx="1621790" cy="3489325"/>
    <xdr:sp>
      <xdr:nvSpPr>
        <xdr:cNvPr id="2" name="文本框 1"/>
        <xdr:cNvSpPr txBox="1"/>
      </xdr:nvSpPr>
      <xdr:spPr>
        <a:xfrm>
          <a:off x="7559675" y="1905"/>
          <a:ext cx="1621790" cy="3489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LLD规则类型。</a:t>
          </a:r>
          <a:endParaRPr lang="zh-CN" altLang="en-US" sz="1100"/>
        </a:p>
        <a:p>
          <a:endParaRPr lang="zh-CN" altLang="en-US" sz="1100"/>
        </a:p>
        <a:p>
          <a:r>
            <a:rPr lang="zh-CN" altLang="en-US" sz="1100"/>
            <a:t>可用值：</a:t>
          </a:r>
          <a:endParaRPr lang="zh-CN" altLang="en-US" sz="1100"/>
        </a:p>
        <a:p>
          <a:r>
            <a:rPr lang="zh-CN" altLang="en-US" sz="1100"/>
            <a:t>0 - Zabbix agent；</a:t>
          </a:r>
          <a:endParaRPr lang="zh-CN" altLang="en-US" sz="1100"/>
        </a:p>
        <a:p>
          <a:r>
            <a:rPr lang="zh-CN" altLang="en-US" sz="1100"/>
            <a:t>2 - Zabbix 采集器；</a:t>
          </a:r>
          <a:endParaRPr lang="zh-CN" altLang="en-US" sz="1100"/>
        </a:p>
        <a:p>
          <a:r>
            <a:rPr lang="zh-CN" altLang="en-US" sz="1100"/>
            <a:t>3 - 简单检查；</a:t>
          </a:r>
          <a:endParaRPr lang="zh-CN" altLang="en-US" sz="1100"/>
        </a:p>
        <a:p>
          <a:r>
            <a:rPr lang="zh-CN" altLang="en-US" sz="1100"/>
            <a:t>5 - Zabbix 内部检查；</a:t>
          </a:r>
          <a:endParaRPr lang="zh-CN" altLang="en-US" sz="1100"/>
        </a:p>
        <a:p>
          <a:r>
            <a:rPr lang="zh-CN" altLang="en-US" sz="1100"/>
            <a:t>7 - Zabbix agent (主动)；</a:t>
          </a:r>
          <a:endParaRPr lang="zh-CN" altLang="en-US" sz="1100"/>
        </a:p>
        <a:p>
          <a:r>
            <a:rPr lang="zh-CN" altLang="en-US" sz="1100"/>
            <a:t>10 - 外部检查；</a:t>
          </a:r>
          <a:endParaRPr lang="zh-CN" altLang="en-US" sz="1100"/>
        </a:p>
        <a:p>
          <a:r>
            <a:rPr lang="zh-CN" altLang="en-US" sz="1100"/>
            <a:t>11 - 数据库监控；</a:t>
          </a:r>
          <a:endParaRPr lang="zh-CN" altLang="en-US" sz="1100"/>
        </a:p>
        <a:p>
          <a:r>
            <a:rPr lang="zh-CN" altLang="en-US" sz="1100"/>
            <a:t>12 - IPMI agent；</a:t>
          </a:r>
          <a:endParaRPr lang="zh-CN" altLang="en-US" sz="1100"/>
        </a:p>
        <a:p>
          <a:r>
            <a:rPr lang="zh-CN" altLang="en-US" sz="1100"/>
            <a:t>13 - SSH agent；</a:t>
          </a:r>
          <a:endParaRPr lang="zh-CN" altLang="en-US" sz="1100"/>
        </a:p>
        <a:p>
          <a:r>
            <a:rPr lang="zh-CN" altLang="en-US" sz="1100"/>
            <a:t>14 - TELNET agent；</a:t>
          </a:r>
          <a:endParaRPr lang="zh-CN" altLang="en-US" sz="1100"/>
        </a:p>
        <a:p>
          <a:r>
            <a:rPr lang="zh-CN" altLang="en-US" sz="1100"/>
            <a:t>16 - JMX agent；</a:t>
          </a:r>
          <a:endParaRPr lang="zh-CN" altLang="en-US" sz="1100"/>
        </a:p>
        <a:p>
          <a:r>
            <a:rPr lang="zh-CN" altLang="en-US" sz="1100"/>
            <a:t>18 - 相关项；</a:t>
          </a:r>
          <a:endParaRPr lang="zh-CN" altLang="en-US" sz="1100"/>
        </a:p>
        <a:p>
          <a:r>
            <a:rPr lang="zh-CN" altLang="en-US" sz="1100"/>
            <a:t>19 - HTTP agent；</a:t>
          </a:r>
          <a:endParaRPr lang="zh-CN" altLang="en-US" sz="1100"/>
        </a:p>
        <a:p>
          <a:r>
            <a:rPr lang="zh-CN" altLang="en-US" sz="1100"/>
            <a:t>20 - SNMP agent；</a:t>
          </a:r>
          <a:endParaRPr lang="zh-CN" altLang="en-US" sz="1100"/>
        </a:p>
        <a:p>
          <a:r>
            <a:rPr lang="zh-CN" altLang="en-US" sz="1100"/>
            <a:t>21 - 脚本。</a:t>
          </a:r>
          <a:endParaRPr lang="zh-CN" altLang="en-US" sz="1100"/>
        </a:p>
      </xdr:txBody>
    </xdr:sp>
    <xdr:clientData/>
  </xdr:oneCellAnchor>
  <xdr:oneCellAnchor>
    <xdr:from>
      <xdr:col>13</xdr:col>
      <xdr:colOff>0</xdr:colOff>
      <xdr:row>0</xdr:row>
      <xdr:rowOff>9525</xdr:rowOff>
    </xdr:from>
    <xdr:ext cx="3157855" cy="822325"/>
    <xdr:sp>
      <xdr:nvSpPr>
        <xdr:cNvPr id="3" name="文本框 2"/>
        <xdr:cNvSpPr txBox="1"/>
      </xdr:nvSpPr>
      <xdr:spPr>
        <a:xfrm>
          <a:off x="9617075" y="9525"/>
          <a:ext cx="3157855" cy="822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创建模板发现规则</a:t>
          </a:r>
          <a:r>
            <a:rPr lang="en-US" altLang="zh-CN">
              <a:effectLst/>
              <a:sym typeface="+mn-ea"/>
            </a:rPr>
            <a:t>:</a:t>
          </a:r>
          <a:r>
            <a:rPr lang="zh-CN" altLang="en-US">
              <a:effectLst/>
              <a:sym typeface="+mn-ea"/>
            </a:rPr>
            <a:t>一</a:t>
          </a:r>
          <a:r>
            <a:rPr lang="en-US" altLang="zh-CN">
              <a:effectLst/>
              <a:sym typeface="+mn-ea"/>
            </a:rPr>
            <a:t>A</a:t>
          </a:r>
          <a:r>
            <a:rPr lang="zh-CN" altLang="en-US">
              <a:effectLst/>
              <a:sym typeface="+mn-ea"/>
            </a:rPr>
            <a:t>对一</a:t>
          </a:r>
          <a:r>
            <a:rPr lang="en-US" altLang="zh-CN">
              <a:effectLst/>
              <a:sym typeface="+mn-ea"/>
            </a:rPr>
            <a:t>BCD</a:t>
          </a:r>
          <a:endParaRPr lang="zh-CN" alt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-cdr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>
              <a:effectLst/>
            </a:rPr>
            <a:t>删除模板发现规则</a:t>
          </a:r>
          <a:r>
            <a:rPr lang="en-US" altLang="zh-CN">
              <a:effectLst/>
              <a:sym typeface="+mn-ea"/>
            </a:rPr>
            <a:t>:</a:t>
          </a:r>
          <a:r>
            <a:rPr lang="zh-CN" altLang="en-US">
              <a:effectLst/>
              <a:sym typeface="+mn-ea"/>
            </a:rPr>
            <a:t>一</a:t>
          </a:r>
          <a:r>
            <a:rPr lang="en-US" altLang="zh-CN">
              <a:effectLst/>
              <a:sym typeface="+mn-ea"/>
            </a:rPr>
            <a:t>A</a:t>
          </a:r>
          <a:r>
            <a:rPr lang="zh-CN" altLang="en-US">
              <a:effectLst/>
              <a:sym typeface="+mn-ea"/>
            </a:rPr>
            <a:t>对一</a:t>
          </a:r>
          <a:r>
            <a:rPr lang="en-US" altLang="zh-CN">
              <a:effectLst/>
              <a:sym typeface="+mn-ea"/>
            </a:rPr>
            <a:t>B</a:t>
          </a:r>
          <a:endParaRPr lang="zh-CN" altLang="en-US">
            <a:effectLst/>
          </a:endParaRPr>
        </a:p>
        <a:p>
          <a:r>
            <a:rPr lang="en-US" altLang="zh-CN">
              <a:effectLst/>
            </a:rPr>
            <a:t>-ddr</a:t>
          </a:r>
          <a:endParaRPr lang="en-US" altLang="zh-CN">
            <a:effectLst/>
          </a:endParaRPr>
        </a:p>
      </xdr:txBody>
    </xdr:sp>
    <xdr:clientData/>
  </xdr:one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0</xdr:colOff>
      <xdr:row>0</xdr:row>
      <xdr:rowOff>0</xdr:rowOff>
    </xdr:from>
    <xdr:ext cx="3307316" cy="4039622"/>
    <xdr:sp>
      <xdr:nvSpPr>
        <xdr:cNvPr id="2" name="文本框 1"/>
        <xdr:cNvSpPr txBox="1"/>
      </xdr:nvSpPr>
      <xdr:spPr>
        <a:xfrm>
          <a:off x="10615295" y="0"/>
          <a:ext cx="3307080" cy="40392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>
              <a:effectLst/>
            </a:rPr>
            <a:t>监控项类型。</a:t>
          </a:r>
          <a:br>
            <a:rPr lang="zh-CN" altLang="en-US">
              <a:effectLst/>
            </a:rPr>
          </a:br>
          <a:r>
            <a:rPr lang="zh-CN" altLang="en-US">
              <a:effectLst/>
            </a:rPr>
            <a:t>可用值：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0 - Zabbix agent</a:t>
          </a:r>
          <a:r>
            <a:rPr lang="zh-CN" altLang="en-US">
              <a:effectLst/>
            </a:rPr>
            <a:t>（</a:t>
          </a:r>
          <a:r>
            <a:rPr lang="en-US" altLang="zh-CN">
              <a:effectLst/>
            </a:rPr>
            <a:t>zabbix </a:t>
          </a:r>
          <a:r>
            <a:rPr lang="zh-CN" altLang="en-US">
              <a:effectLst/>
            </a:rPr>
            <a:t>代理）；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2 - Zabbix trapper</a:t>
          </a:r>
          <a:r>
            <a:rPr lang="zh-CN" altLang="en-US">
              <a:effectLst/>
            </a:rPr>
            <a:t>（</a:t>
          </a:r>
          <a:r>
            <a:rPr lang="en-US" altLang="zh-CN">
              <a:effectLst/>
            </a:rPr>
            <a:t>zabbix </a:t>
          </a:r>
          <a:r>
            <a:rPr lang="zh-CN" altLang="en-US">
              <a:effectLst/>
            </a:rPr>
            <a:t>捕获器）；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3 - Simple check</a:t>
          </a:r>
          <a:r>
            <a:rPr lang="zh-CN" altLang="en-US">
              <a:effectLst/>
            </a:rPr>
            <a:t>（通用检查）；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5 - Zabbix internal</a:t>
          </a:r>
          <a:r>
            <a:rPr lang="zh-CN" altLang="en-US">
              <a:effectLst/>
            </a:rPr>
            <a:t>（</a:t>
          </a:r>
          <a:r>
            <a:rPr lang="en-US" altLang="zh-CN">
              <a:effectLst/>
            </a:rPr>
            <a:t>zabbix </a:t>
          </a:r>
          <a:r>
            <a:rPr lang="zh-CN" altLang="en-US">
              <a:effectLst/>
            </a:rPr>
            <a:t>内部）；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7 - Zabbix agent (active)</a:t>
          </a:r>
          <a:r>
            <a:rPr lang="zh-CN" altLang="en-US">
              <a:effectLst/>
            </a:rPr>
            <a:t>（</a:t>
          </a:r>
          <a:r>
            <a:rPr lang="en-US" altLang="zh-CN">
              <a:effectLst/>
            </a:rPr>
            <a:t>zabbix agent-</a:t>
          </a:r>
          <a:r>
            <a:rPr lang="zh-CN" altLang="en-US">
              <a:effectLst/>
            </a:rPr>
            <a:t>工作状态）；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9 - Web item</a:t>
          </a:r>
          <a:r>
            <a:rPr lang="zh-CN" altLang="en-US">
              <a:effectLst/>
            </a:rPr>
            <a:t>（</a:t>
          </a:r>
          <a:r>
            <a:rPr lang="en-US" altLang="zh-CN">
              <a:effectLst/>
            </a:rPr>
            <a:t>web </a:t>
          </a:r>
          <a:r>
            <a:rPr lang="zh-CN" altLang="en-US">
              <a:effectLst/>
            </a:rPr>
            <a:t>监控项）；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10 - External check</a:t>
          </a:r>
          <a:r>
            <a:rPr lang="zh-CN" altLang="en-US">
              <a:effectLst/>
            </a:rPr>
            <a:t>（外部检查）；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11 - Database monitor</a:t>
          </a:r>
          <a:r>
            <a:rPr lang="zh-CN" altLang="en-US">
              <a:effectLst/>
            </a:rPr>
            <a:t>（数据库监控）；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12 - IPMI agent</a:t>
          </a:r>
          <a:r>
            <a:rPr lang="zh-CN" altLang="en-US">
              <a:effectLst/>
            </a:rPr>
            <a:t>（</a:t>
          </a:r>
          <a:r>
            <a:rPr lang="en-US" altLang="zh-CN">
              <a:effectLst/>
            </a:rPr>
            <a:t>IPMI </a:t>
          </a:r>
          <a:r>
            <a:rPr lang="zh-CN" altLang="en-US">
              <a:effectLst/>
            </a:rPr>
            <a:t>代理）；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13 - SSH agent</a:t>
          </a:r>
          <a:r>
            <a:rPr lang="zh-CN" altLang="en-US">
              <a:effectLst/>
            </a:rPr>
            <a:t>（</a:t>
          </a:r>
          <a:r>
            <a:rPr lang="en-US" altLang="zh-CN">
              <a:effectLst/>
            </a:rPr>
            <a:t>SSH </a:t>
          </a:r>
          <a:r>
            <a:rPr lang="zh-CN" altLang="en-US">
              <a:effectLst/>
            </a:rPr>
            <a:t>代理）；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14 - Telnet agent</a:t>
          </a:r>
          <a:r>
            <a:rPr lang="zh-CN" altLang="en-US">
              <a:effectLst/>
            </a:rPr>
            <a:t>（</a:t>
          </a:r>
          <a:r>
            <a:rPr lang="en-US" altLang="zh-CN">
              <a:effectLst/>
            </a:rPr>
            <a:t>Telnet</a:t>
          </a:r>
          <a:r>
            <a:rPr lang="zh-CN" altLang="en-US">
              <a:effectLst/>
            </a:rPr>
            <a:t>代理）；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15 - Calculated</a:t>
          </a:r>
          <a:r>
            <a:rPr lang="zh-CN" altLang="en-US">
              <a:effectLst/>
            </a:rPr>
            <a:t>（计算值）；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16 - JMX agent</a:t>
          </a:r>
          <a:r>
            <a:rPr lang="zh-CN" altLang="en-US">
              <a:effectLst/>
            </a:rPr>
            <a:t>（</a:t>
          </a:r>
          <a:r>
            <a:rPr lang="en-US" altLang="zh-CN">
              <a:effectLst/>
            </a:rPr>
            <a:t>JMX </a:t>
          </a:r>
          <a:r>
            <a:rPr lang="zh-CN" altLang="en-US">
              <a:effectLst/>
            </a:rPr>
            <a:t>代理）；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17 - SNMP trap</a:t>
          </a:r>
          <a:r>
            <a:rPr lang="zh-CN" altLang="en-US">
              <a:effectLst/>
            </a:rPr>
            <a:t>（</a:t>
          </a:r>
          <a:r>
            <a:rPr lang="en-US" altLang="zh-CN">
              <a:effectLst/>
            </a:rPr>
            <a:t>SNMP </a:t>
          </a:r>
          <a:r>
            <a:rPr lang="zh-CN" altLang="en-US">
              <a:effectLst/>
            </a:rPr>
            <a:t>捕获）；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18 - Dependent item</a:t>
          </a:r>
          <a:r>
            <a:rPr lang="zh-CN" altLang="en-US">
              <a:effectLst/>
            </a:rPr>
            <a:t>（依赖监控项）；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19 - HTTP agent</a:t>
          </a:r>
          <a:r>
            <a:rPr lang="zh-CN" altLang="en-US">
              <a:effectLst/>
            </a:rPr>
            <a:t>（</a:t>
          </a:r>
          <a:r>
            <a:rPr lang="en-US" altLang="zh-CN">
              <a:effectLst/>
            </a:rPr>
            <a:t>HTTP </a:t>
          </a:r>
          <a:r>
            <a:rPr lang="zh-CN" altLang="en-US">
              <a:effectLst/>
            </a:rPr>
            <a:t>代理）；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20 - SNMP agent</a:t>
          </a:r>
          <a:r>
            <a:rPr lang="zh-CN" altLang="en-US">
              <a:effectLst/>
            </a:rPr>
            <a:t>（</a:t>
          </a:r>
          <a:r>
            <a:rPr lang="en-US" altLang="zh-CN">
              <a:effectLst/>
            </a:rPr>
            <a:t>SNMP </a:t>
          </a:r>
          <a:r>
            <a:rPr lang="zh-CN" altLang="en-US">
              <a:effectLst/>
            </a:rPr>
            <a:t>代理）；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21 - Script</a:t>
          </a:r>
          <a:r>
            <a:rPr lang="zh-CN" altLang="en-US">
              <a:effectLst/>
            </a:rPr>
            <a:t>（脚本）。</a:t>
          </a:r>
          <a:endParaRPr lang="zh-CN" altLang="en-US" sz="1100"/>
        </a:p>
      </xdr:txBody>
    </xdr:sp>
    <xdr:clientData/>
  </xdr:oneCellAnchor>
  <xdr:oneCellAnchor>
    <xdr:from>
      <xdr:col>16</xdr:col>
      <xdr:colOff>0</xdr:colOff>
      <xdr:row>0</xdr:row>
      <xdr:rowOff>0</xdr:rowOff>
    </xdr:from>
    <xdr:ext cx="2260427" cy="1475599"/>
    <xdr:sp>
      <xdr:nvSpPr>
        <xdr:cNvPr id="3" name="文本框 2"/>
        <xdr:cNvSpPr txBox="1"/>
      </xdr:nvSpPr>
      <xdr:spPr>
        <a:xfrm>
          <a:off x="14044295" y="0"/>
          <a:ext cx="2259965" cy="14751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>
              <a:effectLst/>
            </a:rPr>
            <a:t>监控项数据类型</a:t>
          </a:r>
          <a:br>
            <a:rPr lang="zh-CN" altLang="en-US">
              <a:effectLst/>
            </a:rPr>
          </a:br>
          <a:r>
            <a:rPr lang="zh-CN" altLang="en-US">
              <a:effectLst/>
            </a:rPr>
            <a:t>可用值：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0 - numeric float</a:t>
          </a:r>
          <a:r>
            <a:rPr lang="zh-CN" altLang="en-US">
              <a:effectLst/>
            </a:rPr>
            <a:t>（数字浮点型）；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1 - character</a:t>
          </a:r>
          <a:r>
            <a:rPr lang="zh-CN" altLang="en-US">
              <a:effectLst/>
            </a:rPr>
            <a:t>（字符）；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2 - log</a:t>
          </a:r>
          <a:r>
            <a:rPr lang="zh-CN" altLang="en-US">
              <a:effectLst/>
            </a:rPr>
            <a:t>（日志）；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3 - numeric unsigned</a:t>
          </a:r>
          <a:r>
            <a:rPr lang="zh-CN" altLang="en-US">
              <a:effectLst/>
            </a:rPr>
            <a:t>（正数）；</a:t>
          </a:r>
          <a:br>
            <a:rPr lang="zh-CN" altLang="en-US">
              <a:effectLst/>
            </a:rPr>
          </a:br>
          <a:r>
            <a:rPr lang="en-US" altLang="zh-CN">
              <a:effectLst/>
            </a:rPr>
            <a:t>4 - text</a:t>
          </a:r>
          <a:r>
            <a:rPr lang="zh-CN" altLang="en-US">
              <a:effectLst/>
            </a:rPr>
            <a:t>（文本）。</a:t>
          </a:r>
          <a:endParaRPr lang="zh-CN" altLang="en-US" sz="1100"/>
        </a:p>
      </xdr:txBody>
    </xdr:sp>
    <xdr:clientData/>
  </xdr:oneCellAnchor>
  <xdr:oneCellAnchor>
    <xdr:from>
      <xdr:col>16</xdr:col>
      <xdr:colOff>0</xdr:colOff>
      <xdr:row>13</xdr:row>
      <xdr:rowOff>0</xdr:rowOff>
    </xdr:from>
    <xdr:ext cx="2677795" cy="822325"/>
    <xdr:sp>
      <xdr:nvSpPr>
        <xdr:cNvPr id="4" name="文本框 3"/>
        <xdr:cNvSpPr txBox="1"/>
      </xdr:nvSpPr>
      <xdr:spPr>
        <a:xfrm>
          <a:off x="14044295" y="2352675"/>
          <a:ext cx="2677795" cy="822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模板创建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agent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监控项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</a:t>
          </a:r>
          <a:r>
            <a:rPr lang="zh-CN" altLang="en-US">
              <a:sym typeface="+mn-ea"/>
            </a:rPr>
            <a:t>对多</a:t>
          </a:r>
          <a:r>
            <a:rPr lang="en-US" altLang="zh-CN">
              <a:sym typeface="+mn-ea"/>
            </a:rPr>
            <a:t>B:F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/>
            <a:t>-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cti</a:t>
          </a:r>
          <a:endParaRPr lang="en-US" altLang="zh-CN" sz="1100"/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模板创建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SNMP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监控项</a:t>
          </a:r>
          <a:r>
            <a:rPr lang="en-US" altLang="zh-CN">
              <a:effectLst/>
              <a:sym typeface="+mn-ea"/>
            </a:rPr>
            <a:t>: </a:t>
          </a:r>
          <a:r>
            <a:rPr lang="zh-CN" altLang="zh-CN">
              <a:effectLst/>
              <a:sym typeface="+mn-ea"/>
            </a:rPr>
            <a:t>一</a:t>
          </a:r>
          <a:r>
            <a:rPr lang="en-US" altLang="zh-CN">
              <a:effectLst/>
              <a:sym typeface="+mn-ea"/>
            </a:rPr>
            <a:t>A</a:t>
          </a:r>
          <a:r>
            <a:rPr lang="zh-CN" altLang="zh-CN">
              <a:effectLst/>
              <a:sym typeface="+mn-ea"/>
            </a:rPr>
            <a:t>对多</a:t>
          </a:r>
          <a:r>
            <a:rPr lang="en-US" altLang="zh-CN">
              <a:effectLst/>
              <a:sym typeface="+mn-ea"/>
            </a:rPr>
            <a:t>B:G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-cti</a:t>
          </a:r>
          <a:endParaRPr lang="en-US" altLang="zh-CN" sz="1100"/>
        </a:p>
      </xdr:txBody>
    </xdr:sp>
    <xdr:clientData/>
  </xdr:oneCellAnchor>
  <xdr:oneCellAnchor>
    <xdr:from>
      <xdr:col>16</xdr:col>
      <xdr:colOff>0</xdr:colOff>
      <xdr:row>9</xdr:row>
      <xdr:rowOff>0</xdr:rowOff>
    </xdr:from>
    <xdr:ext cx="3256276" cy="485919"/>
    <xdr:sp>
      <xdr:nvSpPr>
        <xdr:cNvPr id="5" name="文本框 4"/>
        <xdr:cNvSpPr txBox="1"/>
      </xdr:nvSpPr>
      <xdr:spPr>
        <a:xfrm>
          <a:off x="14044295" y="1628775"/>
          <a:ext cx="3255645" cy="4857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更新监控项的时间间隔。</a:t>
          </a:r>
          <a:endParaRPr lang="en-US" altLang="zh-CN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格式为有后缀的时间单位（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30s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1m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2h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1d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）。</a:t>
          </a:r>
          <a:endParaRPr lang="zh-CN" altLang="en-US" sz="1100"/>
        </a:p>
      </xdr:txBody>
    </xdr:sp>
    <xdr:clientData/>
  </xdr:one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0</xdr:row>
      <xdr:rowOff>0</xdr:rowOff>
    </xdr:from>
    <xdr:ext cx="1489831" cy="1681917"/>
    <xdr:sp>
      <xdr:nvSpPr>
        <xdr:cNvPr id="2" name="文本框 1"/>
        <xdr:cNvSpPr txBox="1"/>
      </xdr:nvSpPr>
      <xdr:spPr>
        <a:xfrm>
          <a:off x="8432165" y="0"/>
          <a:ext cx="1489710" cy="16814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触发器的严重性级别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zh-CN" altLang="en-US"/>
          </a:b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有效的值为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0 - </a:t>
          </a:r>
          <a:r>
            <a:rPr lang="en-US" altLang="zh-CN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CN" altLang="en-US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默认</a:t>
          </a:r>
          <a:r>
            <a:rPr lang="en-US" altLang="zh-CN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未分类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;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1 - 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信息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;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2 - 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警告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;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3 - 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一般严重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;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4 - 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严重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;</a:t>
          </a:r>
          <a:br>
            <a:rPr lang="zh-CN" altLang="en-US"/>
          </a:b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5 - 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灾难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zh-CN" altLang="en-US" sz="1100"/>
        </a:p>
      </xdr:txBody>
    </xdr:sp>
    <xdr:clientData/>
  </xdr:oneCellAnchor>
  <xdr:oneCellAnchor>
    <xdr:from>
      <xdr:col>10</xdr:col>
      <xdr:colOff>0</xdr:colOff>
      <xdr:row>0</xdr:row>
      <xdr:rowOff>9525</xdr:rowOff>
    </xdr:from>
    <xdr:ext cx="2600325" cy="822325"/>
    <xdr:sp>
      <xdr:nvSpPr>
        <xdr:cNvPr id="3" name="文本框 2"/>
        <xdr:cNvSpPr txBox="1"/>
      </xdr:nvSpPr>
      <xdr:spPr>
        <a:xfrm>
          <a:off x="10489565" y="9525"/>
          <a:ext cx="2600325" cy="822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模板创建触发器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A:D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/>
            <a:t>-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ctg</a:t>
          </a:r>
          <a:endParaRPr lang="en-US" altLang="zh-CN" sz="1100"/>
        </a:p>
        <a:p>
          <a:r>
            <a:rPr lang="zh-CN" altLang="en-US" sz="1100"/>
            <a:t>模板删除触发器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</a:t>
          </a:r>
          <a:endParaRPr lang="en-US" altLang="zh-CN" sz="1100"/>
        </a:p>
        <a:p>
          <a:r>
            <a:rPr lang="en-US" altLang="zh-CN" sz="1100"/>
            <a:t>-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dtg</a:t>
          </a:r>
          <a:endParaRPr lang="en-US" altLang="zh-CN" sz="1100"/>
        </a:p>
      </xdr:txBody>
    </xdr:sp>
    <xdr:clientData/>
  </xdr:one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0</xdr:colOff>
      <xdr:row>0</xdr:row>
      <xdr:rowOff>9525</xdr:rowOff>
    </xdr:from>
    <xdr:ext cx="5986145" cy="1284605"/>
    <xdr:sp>
      <xdr:nvSpPr>
        <xdr:cNvPr id="3" name="文本框 2"/>
        <xdr:cNvSpPr txBox="1"/>
      </xdr:nvSpPr>
      <xdr:spPr>
        <a:xfrm>
          <a:off x="10167620" y="9525"/>
          <a:ext cx="5986145" cy="12846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zh-CN">
              <a:effectLst/>
            </a:rPr>
            <a:t>获取所有告警信息</a:t>
          </a:r>
          <a:endParaRPr lang="zh-CN" altLang="zh-CN">
            <a:effectLst/>
          </a:endParaRPr>
        </a:p>
        <a:p>
          <a:r>
            <a:rPr lang="zh-CN" altLang="zh-CN">
              <a:effectLst/>
            </a:rPr>
            <a:t>venv\Scripts\python.exe zabbix_api_extend.py -get_all_alert: 一A:B</a:t>
          </a:r>
          <a:endParaRPr lang="zh-CN" altLang="zh-CN">
            <a:effectLst/>
          </a:endParaRPr>
        </a:p>
      </xdr:txBody>
    </xdr:sp>
    <xdr:clientData/>
  </xdr:one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0</xdr:row>
      <xdr:rowOff>0</xdr:rowOff>
    </xdr:from>
    <xdr:ext cx="1489831" cy="1681917"/>
    <xdr:sp>
      <xdr:nvSpPr>
        <xdr:cNvPr id="2" name="文本框 1"/>
        <xdr:cNvSpPr txBox="1"/>
      </xdr:nvSpPr>
      <xdr:spPr>
        <a:xfrm>
          <a:off x="5579110" y="0"/>
          <a:ext cx="1489710" cy="16814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>
              <a:effectLst/>
            </a:rPr>
            <a:t>触发器的严重性级别</a:t>
          </a:r>
          <a:r>
            <a:rPr lang="en-US" altLang="zh-CN">
              <a:effectLst/>
            </a:rPr>
            <a:t>.</a:t>
          </a:r>
          <a:br>
            <a:rPr lang="en-US" altLang="zh-CN">
              <a:effectLst/>
            </a:rPr>
          </a:br>
          <a:r>
            <a:rPr lang="zh-CN" altLang="en-US">
              <a:effectLst/>
            </a:rPr>
            <a:t>有效的值为</a:t>
          </a:r>
          <a:r>
            <a:rPr lang="en-US" altLang="zh-CN">
              <a:effectLst/>
            </a:rPr>
            <a:t>: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0 - </a:t>
          </a:r>
          <a:r>
            <a:rPr lang="en-US" altLang="zh-CN" i="1">
              <a:effectLst/>
            </a:rPr>
            <a:t>(</a:t>
          </a:r>
          <a:r>
            <a:rPr lang="zh-CN" altLang="en-US" i="1">
              <a:effectLst/>
            </a:rPr>
            <a:t>默认</a:t>
          </a:r>
          <a:r>
            <a:rPr lang="en-US" altLang="zh-CN" i="1">
              <a:effectLst/>
            </a:rPr>
            <a:t>)</a:t>
          </a:r>
          <a:r>
            <a:rPr lang="zh-CN" altLang="en-US">
              <a:effectLst/>
            </a:rPr>
            <a:t> 未分类</a:t>
          </a:r>
          <a:r>
            <a:rPr lang="en-US" altLang="zh-CN">
              <a:effectLst/>
            </a:rPr>
            <a:t>;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1 - </a:t>
          </a:r>
          <a:r>
            <a:rPr lang="zh-CN" altLang="en-US">
              <a:effectLst/>
            </a:rPr>
            <a:t>信息</a:t>
          </a:r>
          <a:r>
            <a:rPr lang="en-US" altLang="zh-CN">
              <a:effectLst/>
            </a:rPr>
            <a:t>;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2 - </a:t>
          </a:r>
          <a:r>
            <a:rPr lang="zh-CN" altLang="en-US">
              <a:effectLst/>
            </a:rPr>
            <a:t>警告</a:t>
          </a:r>
          <a:r>
            <a:rPr lang="en-US" altLang="zh-CN">
              <a:effectLst/>
            </a:rPr>
            <a:t>;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3 - </a:t>
          </a:r>
          <a:r>
            <a:rPr lang="zh-CN" altLang="en-US">
              <a:effectLst/>
            </a:rPr>
            <a:t>一般严重</a:t>
          </a:r>
          <a:r>
            <a:rPr lang="en-US" altLang="zh-CN">
              <a:effectLst/>
            </a:rPr>
            <a:t>;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4 - </a:t>
          </a:r>
          <a:r>
            <a:rPr lang="zh-CN" altLang="en-US">
              <a:effectLst/>
            </a:rPr>
            <a:t>严重</a:t>
          </a:r>
          <a:r>
            <a:rPr lang="en-US" altLang="zh-CN">
              <a:effectLst/>
            </a:rPr>
            <a:t>;</a:t>
          </a:r>
          <a:br>
            <a:rPr lang="en-US" altLang="zh-CN">
              <a:effectLst/>
            </a:rPr>
          </a:br>
          <a:r>
            <a:rPr lang="en-US" altLang="zh-CN">
              <a:effectLst/>
            </a:rPr>
            <a:t>5 - </a:t>
          </a:r>
          <a:r>
            <a:rPr lang="zh-CN" altLang="en-US">
              <a:effectLst/>
            </a:rPr>
            <a:t>灾难</a:t>
          </a:r>
          <a:r>
            <a:rPr lang="en-US" altLang="zh-CN">
              <a:effectLst/>
            </a:rPr>
            <a:t>.</a:t>
          </a:r>
          <a:endParaRPr lang="zh-CN" altLang="en-US" sz="1100"/>
        </a:p>
      </xdr:txBody>
    </xdr:sp>
    <xdr:clientData/>
  </xdr:oneCellAnchor>
  <xdr:oneCellAnchor>
    <xdr:from>
      <xdr:col>12</xdr:col>
      <xdr:colOff>0</xdr:colOff>
      <xdr:row>0</xdr:row>
      <xdr:rowOff>0</xdr:rowOff>
    </xdr:from>
    <xdr:ext cx="1313180" cy="682712"/>
    <xdr:sp>
      <xdr:nvSpPr>
        <xdr:cNvPr id="3" name="文本框 2"/>
        <xdr:cNvSpPr txBox="1"/>
      </xdr:nvSpPr>
      <xdr:spPr>
        <a:xfrm>
          <a:off x="9008110" y="0"/>
          <a:ext cx="1313180" cy="6826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按主机组导出主机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-stoptrigger:</a:t>
          </a:r>
          <a:r>
            <a:rPr lang="en-US" altLang="zh-C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一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-starttrigger:</a:t>
          </a:r>
          <a:r>
            <a:rPr lang="en-US" altLang="zh-C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一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</a:t>
          </a:r>
          <a:endParaRPr lang="zh-CN" altLang="zh-CN">
            <a:effectLst/>
          </a:endParaRPr>
        </a:p>
      </xdr:txBody>
    </xdr:sp>
    <xdr:clientData/>
  </xdr:one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194310</xdr:colOff>
      <xdr:row>9</xdr:row>
      <xdr:rowOff>99060</xdr:rowOff>
    </xdr:from>
    <xdr:ext cx="6368415" cy="1435100"/>
    <xdr:sp>
      <xdr:nvSpPr>
        <xdr:cNvPr id="3" name="文本框 2"/>
        <xdr:cNvSpPr txBox="1"/>
      </xdr:nvSpPr>
      <xdr:spPr>
        <a:xfrm>
          <a:off x="7495540" y="1727835"/>
          <a:ext cx="6368415" cy="1435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按主机批量导出历史数据</a:t>
          </a:r>
          <a:r>
            <a:rPr lang="en-US" altLang="zh-CN">
              <a:effectLst/>
              <a:sym typeface="+mn-ea"/>
            </a:rPr>
            <a:t>: </a:t>
          </a:r>
          <a:r>
            <a:rPr lang="zh-CN" altLang="zh-CN">
              <a:effectLst/>
              <a:sym typeface="+mn-ea"/>
            </a:rPr>
            <a:t>一</a:t>
          </a:r>
          <a:r>
            <a:rPr lang="en-US" altLang="zh-CN">
              <a:effectLst/>
              <a:sym typeface="+mn-ea"/>
            </a:rPr>
            <a:t>A:E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>
              <a:effectLst/>
              <a:sym typeface="+mn-ea"/>
            </a:rPr>
            <a:t>venv\Scripts\python.exe zabbix_api_extend.py 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-get_hostgroup_item</a:t>
          </a:r>
          <a:endParaRPr lang="zh-CN" altLang="zh-CN">
            <a:effectLst/>
          </a:endParaRPr>
        </a:p>
      </xdr:txBody>
    </xdr:sp>
    <xdr:clientData/>
  </xdr:one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1</xdr:row>
      <xdr:rowOff>0</xdr:rowOff>
    </xdr:from>
    <xdr:ext cx="6368415" cy="1435100"/>
    <xdr:sp>
      <xdr:nvSpPr>
        <xdr:cNvPr id="2" name="文本框 1"/>
        <xdr:cNvSpPr txBox="1"/>
      </xdr:nvSpPr>
      <xdr:spPr>
        <a:xfrm>
          <a:off x="4800600" y="180975"/>
          <a:ext cx="6368415" cy="1435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按主机批量导出历史数据</a:t>
          </a:r>
          <a:r>
            <a:rPr lang="en-US" altLang="zh-CN">
              <a:effectLst/>
              <a:sym typeface="+mn-ea"/>
            </a:rPr>
            <a:t>: </a:t>
          </a:r>
          <a:r>
            <a:rPr lang="zh-CN" altLang="zh-CN">
              <a:effectLst/>
              <a:sym typeface="+mn-ea"/>
            </a:rPr>
            <a:t>一</a:t>
          </a:r>
          <a:r>
            <a:rPr lang="en-US" altLang="zh-CN">
              <a:effectLst/>
              <a:sym typeface="+mn-ea"/>
            </a:rPr>
            <a:t>A:E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>
              <a:effectLst/>
              <a:sym typeface="+mn-ea"/>
            </a:rPr>
            <a:t>venv\Scripts\python.exe zabbix_api_extend.py 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-get_host_key_item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>
              <a:effectLst/>
              <a:sym typeface="+mn-ea"/>
            </a:rPr>
            <a:t>venv\Scripts\python.exe zabbix_api_extend.py -get_host_key_systemname</a:t>
          </a:r>
          <a:endParaRPr lang="zh-CN" altLang="zh-CN">
            <a:effectLst/>
          </a:endParaRPr>
        </a:p>
      </xdr:txBody>
    </xdr:sp>
    <xdr:clientData/>
  </xdr:one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0</xdr:row>
      <xdr:rowOff>7620</xdr:rowOff>
    </xdr:from>
    <xdr:ext cx="4098290" cy="1331595"/>
    <xdr:sp>
      <xdr:nvSpPr>
        <xdr:cNvPr id="2" name="文本框 1"/>
        <xdr:cNvSpPr txBox="1"/>
      </xdr:nvSpPr>
      <xdr:spPr>
        <a:xfrm>
          <a:off x="5327015" y="7620"/>
          <a:ext cx="4098290" cy="13315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创建</a:t>
          </a:r>
          <a:r>
            <a:rPr lang="en-US" altLang="zh-CN" sz="1100"/>
            <a:t>Proxy</a:t>
          </a:r>
          <a:r>
            <a:rPr lang="zh-CN" altLang="en-US" sz="1100"/>
            <a:t>组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</a:t>
          </a:r>
          <a:endParaRPr lang="en-US" altLang="zh-CN" sz="1100"/>
        </a:p>
        <a:p>
          <a:r>
            <a:rPr lang="zh-CN" altLang="en-US" sz="1100" baseline="0"/>
            <a:t>venv\Scripts\python.exe zabbix_api_base.py </a:t>
          </a:r>
          <a:r>
            <a:rPr lang="en-US" altLang="zh-CN" sz="1100"/>
            <a:t>-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create_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proxy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group</a:t>
          </a:r>
          <a:endParaRPr lang="zh-CN" alt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删除</a:t>
          </a:r>
          <a:r>
            <a:rPr lang="en-US" altLang="zh-CN">
              <a:sym typeface="+mn-ea"/>
            </a:rPr>
            <a:t>Proxy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组</a:t>
          </a:r>
          <a:r>
            <a:rPr lang="en-US" altLang="zh-CN">
              <a:sym typeface="+mn-ea"/>
            </a:rPr>
            <a:t>: </a:t>
          </a:r>
          <a:r>
            <a:rPr lang="zh-CN" altLang="zh-CN">
              <a:effectLst/>
              <a:sym typeface="+mn-ea"/>
            </a:rPr>
            <a:t>一</a:t>
          </a:r>
          <a:r>
            <a:rPr lang="en-US" altLang="zh-CN">
              <a:effectLst/>
              <a:sym typeface="+mn-ea"/>
            </a:rPr>
            <a:t>A</a:t>
          </a:r>
          <a:endParaRPr lang="en-US" altLang="zh-CN" sz="1100"/>
        </a:p>
        <a:p>
          <a:r>
            <a:rPr lang="en-US" altLang="zh-CN" sz="1100"/>
            <a:t>venv\Scripts\python.exe zabbix_api_base.py -delete_</a:t>
          </a:r>
          <a:r>
            <a:rPr lang="en-US" altLang="zh-CN">
              <a:effectLst/>
              <a:sym typeface="+mn-ea"/>
            </a:rPr>
            <a:t>proxy</a:t>
          </a:r>
          <a:r>
            <a:rPr lang="en-US" altLang="zh-CN" sz="1100"/>
            <a:t>group</a:t>
          </a:r>
          <a:endParaRPr lang="zh-CN" altLang="en-US" sz="1100"/>
        </a:p>
      </xdr:txBody>
    </xdr:sp>
    <xdr:clientData/>
  </xdr:oneCellAnchor>
  <xdr:oneCellAnchor>
    <xdr:from>
      <xdr:col>5</xdr:col>
      <xdr:colOff>28575</xdr:colOff>
      <xdr:row>7</xdr:row>
      <xdr:rowOff>9525</xdr:rowOff>
    </xdr:from>
    <xdr:ext cx="3768725" cy="1004570"/>
    <xdr:sp>
      <xdr:nvSpPr>
        <xdr:cNvPr id="3" name="文本框 2"/>
        <xdr:cNvSpPr txBox="1"/>
      </xdr:nvSpPr>
      <xdr:spPr>
        <a:xfrm>
          <a:off x="5355590" y="1276350"/>
          <a:ext cx="3768725" cy="100457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组中每个Proxy的故障转移周期，使其处于在线/离线状态。</a:t>
          </a:r>
          <a:endParaRPr lang="zh-CN" altLang="en-US" sz="1100"/>
        </a:p>
        <a:p>
          <a:pPr algn="l"/>
          <a:r>
            <a:rPr lang="zh-CN" altLang="en-US" sz="1100"/>
            <a:t>支持时间后缀，例如 30</a:t>
          </a:r>
          <a:r>
            <a:rPr lang="en-US" altLang="zh-CN" sz="1100"/>
            <a:t>s</a:t>
          </a:r>
          <a:r>
            <a:rPr lang="zh-CN" altLang="en-US" sz="1100"/>
            <a:t>、1</a:t>
          </a:r>
          <a:r>
            <a:rPr lang="en-US" altLang="zh-CN" sz="1100"/>
            <a:t>m</a:t>
          </a:r>
          <a:r>
            <a:rPr lang="zh-CN" altLang="en-US" sz="1100"/>
            <a:t>。</a:t>
          </a:r>
          <a:endParaRPr lang="zh-CN" altLang="en-US" sz="1100"/>
        </a:p>
        <a:p>
          <a:pPr algn="l"/>
          <a:r>
            <a:rPr lang="zh-CN" altLang="en-US" sz="1100"/>
            <a:t>支持用户宏。</a:t>
          </a:r>
          <a:endParaRPr lang="zh-CN" altLang="en-US" sz="1100"/>
        </a:p>
        <a:p>
          <a:pPr algn="l"/>
          <a:r>
            <a:rPr lang="zh-CN" altLang="en-US" sz="1100"/>
            <a:t>可能的值：10s-15m</a:t>
          </a:r>
          <a:endParaRPr lang="zh-CN" altLang="en-US" sz="1100"/>
        </a:p>
        <a:p>
          <a:pPr algn="l"/>
          <a:r>
            <a:rPr lang="zh-CN" altLang="en-US" sz="1100"/>
            <a:t>默认值：1</a:t>
          </a:r>
          <a:r>
            <a:rPr lang="zh-CN" altLang="en-US">
              <a:sym typeface="+mn-ea"/>
            </a:rPr>
            <a:t>m</a:t>
          </a:r>
          <a:r>
            <a:rPr lang="zh-CN" altLang="en-US" sz="1100"/>
            <a:t>。</a:t>
          </a:r>
          <a:endParaRPr lang="zh-CN" altLang="en-US" sz="1100"/>
        </a:p>
      </xdr:txBody>
    </xdr:sp>
    <xdr:clientData/>
  </xdr:oneCellAnchor>
  <xdr:oneCellAnchor>
    <xdr:from>
      <xdr:col>5</xdr:col>
      <xdr:colOff>190500</xdr:colOff>
      <xdr:row>13</xdr:row>
      <xdr:rowOff>171450</xdr:rowOff>
    </xdr:from>
    <xdr:ext cx="2278380" cy="822325"/>
    <xdr:sp>
      <xdr:nvSpPr>
        <xdr:cNvPr id="4" name="文本框 3"/>
        <xdr:cNvSpPr txBox="1"/>
      </xdr:nvSpPr>
      <xdr:spPr>
        <a:xfrm>
          <a:off x="5517515" y="2524125"/>
          <a:ext cx="2278380" cy="8223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组在线所需的最小在线代理数量。</a:t>
          </a:r>
          <a:endParaRPr lang="zh-CN" altLang="en-US" sz="1100"/>
        </a:p>
        <a:p>
          <a:pPr algn="l"/>
          <a:r>
            <a:rPr lang="zh-CN" altLang="en-US" sz="1100"/>
            <a:t>支持用户宏。</a:t>
          </a:r>
          <a:endParaRPr lang="zh-CN" altLang="en-US" sz="1100"/>
        </a:p>
        <a:p>
          <a:pPr algn="l"/>
          <a:r>
            <a:rPr lang="zh-CN" altLang="en-US" sz="1100"/>
            <a:t>可能的值范围：1-1000。</a:t>
          </a:r>
          <a:endParaRPr lang="zh-CN" altLang="en-US" sz="1100"/>
        </a:p>
        <a:p>
          <a:pPr algn="l"/>
          <a:r>
            <a:rPr lang="zh-CN" altLang="en-US" sz="1100"/>
            <a:t>默认值：1。</a:t>
          </a:r>
          <a:endParaRPr lang="zh-CN" altLang="en-US" sz="1100"/>
        </a:p>
      </xdr:txBody>
    </xdr:sp>
    <xdr:clientData/>
  </xdr:one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13</xdr:col>
      <xdr:colOff>228600</xdr:colOff>
      <xdr:row>1</xdr:row>
      <xdr:rowOff>93980</xdr:rowOff>
    </xdr:from>
    <xdr:ext cx="4098290" cy="1331595"/>
    <xdr:sp>
      <xdr:nvSpPr>
        <xdr:cNvPr id="2" name="文本框 1"/>
        <xdr:cNvSpPr txBox="1"/>
      </xdr:nvSpPr>
      <xdr:spPr>
        <a:xfrm>
          <a:off x="11509375" y="274955"/>
          <a:ext cx="4098290" cy="13315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创建</a:t>
          </a:r>
          <a:r>
            <a:rPr lang="en-US" altLang="zh-CN" sz="1100"/>
            <a:t>Proxy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</a:t>
          </a:r>
          <a:endParaRPr lang="en-US" altLang="zh-CN" sz="1100"/>
        </a:p>
        <a:p>
          <a:r>
            <a:rPr lang="zh-CN" altLang="en-US" sz="1100" baseline="0"/>
            <a:t>venv\Scripts\python.exe zabbix_api_base.py </a:t>
          </a:r>
          <a:r>
            <a:rPr lang="en-US" altLang="zh-CN" sz="1100"/>
            <a:t>-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create_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proxy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group</a:t>
          </a:r>
          <a:endParaRPr lang="zh-CN" alt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删除</a:t>
          </a:r>
          <a:r>
            <a:rPr lang="en-US" altLang="zh-CN">
              <a:sym typeface="+mn-ea"/>
            </a:rPr>
            <a:t>Proxy: </a:t>
          </a:r>
          <a:r>
            <a:rPr lang="zh-CN" altLang="zh-CN">
              <a:effectLst/>
              <a:sym typeface="+mn-ea"/>
            </a:rPr>
            <a:t>一</a:t>
          </a:r>
          <a:r>
            <a:rPr lang="en-US" altLang="zh-CN">
              <a:effectLst/>
              <a:sym typeface="+mn-ea"/>
            </a:rPr>
            <a:t>A</a:t>
          </a:r>
          <a:endParaRPr lang="en-US" altLang="zh-CN" sz="1100"/>
        </a:p>
        <a:p>
          <a:r>
            <a:rPr lang="en-US" altLang="zh-CN" sz="1100"/>
            <a:t>venv\Scripts\python.exe zabbix_api_base.py -delete_</a:t>
          </a:r>
          <a:r>
            <a:rPr lang="en-US" altLang="zh-CN">
              <a:effectLst/>
              <a:sym typeface="+mn-ea"/>
            </a:rPr>
            <a:t>proxy</a:t>
          </a:r>
          <a:r>
            <a:rPr lang="en-US" altLang="zh-CN" sz="1100"/>
            <a:t>group</a:t>
          </a:r>
          <a:endParaRPr lang="zh-CN" alt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2778125" cy="822325"/>
    <xdr:sp>
      <xdr:nvSpPr>
        <xdr:cNvPr id="9" name="文本框 8"/>
        <xdr:cNvSpPr txBox="1"/>
      </xdr:nvSpPr>
      <xdr:spPr>
        <a:xfrm>
          <a:off x="8537575" y="180975"/>
          <a:ext cx="2778125" cy="8223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active agents地址， IP 地址或 DNS 名称。</a:t>
          </a:r>
          <a:endParaRPr lang="zh-CN" altLang="en-US" sz="1100"/>
        </a:p>
        <a:p>
          <a:pPr algn="l"/>
          <a:r>
            <a:rPr lang="zh-CN" altLang="en-US" sz="1100"/>
            <a:t>通常指</a:t>
          </a:r>
          <a:r>
            <a:rPr lang="en-US" altLang="zh-CN" sz="1100"/>
            <a:t>Proxy</a:t>
          </a:r>
          <a:r>
            <a:rPr lang="zh-CN" altLang="en-US" sz="1100"/>
            <a:t>组负载均衡器 VIP 或主 Proxy IP</a:t>
          </a:r>
          <a:endParaRPr lang="zh-CN" altLang="en-US" sz="1100"/>
        </a:p>
        <a:p>
          <a:pPr algn="l"/>
          <a:r>
            <a:rPr lang="zh-CN" altLang="en-US" sz="1100"/>
            <a:t>属性行为:</a:t>
          </a:r>
          <a:endParaRPr lang="zh-CN" altLang="en-US" sz="1100"/>
        </a:p>
        <a:p>
          <a:pPr algn="l"/>
          <a:r>
            <a:rPr lang="zh-CN" altLang="en-US" sz="1100"/>
            <a:t>- 如果 proxy_groupid 不为 0，则为 必需</a:t>
          </a:r>
          <a:endParaRPr lang="zh-CN" alt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2700020" cy="1187450"/>
    <xdr:sp>
      <xdr:nvSpPr>
        <xdr:cNvPr id="14" name="文本框 13"/>
        <xdr:cNvSpPr txBox="1"/>
      </xdr:nvSpPr>
      <xdr:spPr>
        <a:xfrm>
          <a:off x="8537575" y="1085850"/>
          <a:ext cx="2700020" cy="11874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active agents端口号。</a:t>
          </a:r>
          <a:endParaRPr lang="zh-CN" altLang="en-US" sz="1100"/>
        </a:p>
        <a:p>
          <a:pPr algn="l"/>
          <a:r>
            <a:rPr lang="zh-CN" altLang="en-US" sz="1100"/>
            <a:t>通常指</a:t>
          </a:r>
          <a:r>
            <a:rPr lang="en-US" altLang="zh-CN">
              <a:sym typeface="+mn-ea"/>
            </a:rPr>
            <a:t>Proxy</a:t>
          </a:r>
          <a:r>
            <a:rPr lang="zh-CN" altLang="en-US">
              <a:sym typeface="+mn-ea"/>
            </a:rPr>
            <a:t>组</a:t>
          </a:r>
          <a:r>
            <a:rPr lang="zh-CN" altLang="en-US" sz="1100"/>
            <a:t>负载均衡端口或 Proxy 端口</a:t>
          </a:r>
          <a:endParaRPr lang="zh-CN" altLang="en-US" sz="1100"/>
        </a:p>
        <a:p>
          <a:pPr algn="l"/>
          <a:r>
            <a:rPr lang="zh-CN" altLang="en-US" sz="1100"/>
            <a:t>支持用户宏。</a:t>
          </a:r>
          <a:endParaRPr lang="zh-CN" altLang="en-US" sz="1100"/>
        </a:p>
        <a:p>
          <a:pPr algn="l"/>
          <a:r>
            <a:rPr lang="zh-CN" altLang="en-US" sz="1100"/>
            <a:t>默认值：10051。</a:t>
          </a:r>
          <a:endParaRPr lang="zh-CN" altLang="en-US" sz="1100"/>
        </a:p>
        <a:p>
          <a:pPr algn="l"/>
          <a:r>
            <a:rPr lang="zh-CN" altLang="en-US" sz="1100"/>
            <a:t>属性行为:</a:t>
          </a:r>
          <a:endParaRPr lang="zh-CN" altLang="en-US" sz="1100"/>
        </a:p>
        <a:p>
          <a:pPr algn="l"/>
          <a:r>
            <a:rPr lang="zh-CN" altLang="en-US" sz="1100"/>
            <a:t>- 如果 proxy_groupid 不为 0，则为 支持</a:t>
          </a:r>
          <a:endParaRPr lang="zh-CN" alt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1235075" cy="1187450"/>
    <xdr:sp>
      <xdr:nvSpPr>
        <xdr:cNvPr id="17" name="文本框 16"/>
        <xdr:cNvSpPr txBox="1"/>
      </xdr:nvSpPr>
      <xdr:spPr>
        <a:xfrm>
          <a:off x="8537575" y="2352675"/>
          <a:ext cx="1235075" cy="11874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Proxy模式。</a:t>
          </a:r>
          <a:endParaRPr lang="zh-CN" altLang="en-US" sz="1100"/>
        </a:p>
        <a:p>
          <a:pPr algn="l"/>
          <a:r>
            <a:rPr lang="zh-CN" altLang="en-US" sz="1100"/>
            <a:t>可能的值：</a:t>
          </a:r>
          <a:endParaRPr lang="zh-CN" altLang="en-US" sz="1100"/>
        </a:p>
        <a:p>
          <a:pPr algn="l"/>
          <a:r>
            <a:rPr lang="zh-CN" altLang="en-US" sz="1100"/>
            <a:t>0 - 主动Proxy；</a:t>
          </a:r>
          <a:endParaRPr lang="zh-CN" altLang="en-US" sz="1100"/>
        </a:p>
        <a:p>
          <a:pPr algn="l"/>
          <a:r>
            <a:rPr lang="zh-CN" altLang="en-US" sz="1100"/>
            <a:t>1 - 被动Proxy。</a:t>
          </a:r>
          <a:endParaRPr lang="zh-CN" altLang="en-US" sz="1100"/>
        </a:p>
        <a:p>
          <a:pPr algn="l"/>
          <a:r>
            <a:rPr lang="zh-CN" altLang="en-US" sz="1100"/>
            <a:t>属性行为:</a:t>
          </a:r>
          <a:endParaRPr lang="zh-CN" altLang="en-US" sz="1100"/>
        </a:p>
        <a:p>
          <a:pPr algn="l"/>
          <a:r>
            <a:rPr lang="zh-CN" altLang="en-US" sz="1100"/>
            <a:t>- 创建操作时必需</a:t>
          </a:r>
          <a:endParaRPr lang="zh-CN" alt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2827020" cy="822325"/>
    <xdr:sp>
      <xdr:nvSpPr>
        <xdr:cNvPr id="18" name="文本框 17"/>
        <xdr:cNvSpPr txBox="1"/>
      </xdr:nvSpPr>
      <xdr:spPr>
        <a:xfrm>
          <a:off x="8537575" y="3619500"/>
          <a:ext cx="2827020" cy="8223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接口地址或 DNS 名称。</a:t>
          </a:r>
          <a:endParaRPr lang="zh-CN" altLang="en-US" sz="1100"/>
        </a:p>
        <a:p>
          <a:pPr algn="l"/>
          <a:r>
            <a:rPr lang="zh-CN" altLang="en-US" sz="1100"/>
            <a:t>支持用户宏。</a:t>
          </a:r>
          <a:endParaRPr lang="zh-CN" altLang="en-US" sz="1100"/>
        </a:p>
        <a:p>
          <a:pPr algn="l"/>
          <a:r>
            <a:rPr lang="zh-CN" altLang="en-US" sz="1100"/>
            <a:t>属性行为:</a:t>
          </a:r>
          <a:endParaRPr lang="zh-CN" altLang="en-US" sz="1100"/>
        </a:p>
        <a:p>
          <a:pPr algn="l"/>
          <a:r>
            <a:rPr lang="zh-CN" altLang="en-US" sz="1100"/>
            <a:t>- 如果 Zabbix Proxy操作模式为被动，则必需</a:t>
          </a:r>
          <a:endParaRPr lang="zh-CN" alt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3106420" cy="1004570"/>
    <xdr:sp>
      <xdr:nvSpPr>
        <xdr:cNvPr id="19" name="文本框 18"/>
        <xdr:cNvSpPr txBox="1"/>
      </xdr:nvSpPr>
      <xdr:spPr>
        <a:xfrm>
          <a:off x="8537575" y="4524375"/>
          <a:ext cx="3106420" cy="100457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接口端口。</a:t>
          </a:r>
          <a:endParaRPr lang="zh-CN" altLang="en-US" sz="1100"/>
        </a:p>
        <a:p>
          <a:pPr algn="l"/>
          <a:r>
            <a:rPr lang="zh-CN" altLang="en-US" sz="1100"/>
            <a:t>支持用户宏。</a:t>
          </a:r>
          <a:endParaRPr lang="zh-CN" altLang="en-US" sz="1100"/>
        </a:p>
        <a:p>
          <a:pPr algn="l"/>
          <a:r>
            <a:rPr lang="zh-CN" altLang="en-US" sz="1100"/>
            <a:t>默认值：10051。</a:t>
          </a:r>
          <a:endParaRPr lang="zh-CN" altLang="en-US" sz="1100"/>
        </a:p>
        <a:p>
          <a:pPr algn="l"/>
          <a:r>
            <a:rPr lang="zh-CN" altLang="en-US" sz="1100"/>
            <a:t>属性行为：</a:t>
          </a:r>
          <a:endParaRPr lang="zh-CN" altLang="en-US" sz="1100"/>
        </a:p>
        <a:p>
          <a:pPr algn="l"/>
          <a:r>
            <a:rPr lang="zh-CN" altLang="en-US" sz="1100"/>
            <a:t>- 如果 Zabbix Proxy操作模式为被动模式，则支持</a:t>
          </a:r>
          <a:endParaRPr lang="zh-CN" altLang="en-US" sz="1100"/>
        </a:p>
      </xdr:txBody>
    </xdr:sp>
    <xdr:clientData/>
  </xdr:oneCellAnchor>
  <xdr:oneCellAnchor>
    <xdr:from>
      <xdr:col>14</xdr:col>
      <xdr:colOff>0</xdr:colOff>
      <xdr:row>20</xdr:row>
      <xdr:rowOff>0</xdr:rowOff>
    </xdr:from>
    <xdr:ext cx="4809490" cy="1004570"/>
    <xdr:sp>
      <xdr:nvSpPr>
        <xdr:cNvPr id="21" name="文本框 20"/>
        <xdr:cNvSpPr txBox="1"/>
      </xdr:nvSpPr>
      <xdr:spPr>
        <a:xfrm>
          <a:off x="11966575" y="3619500"/>
          <a:ext cx="4809490" cy="100457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Proxy代理地址</a:t>
          </a:r>
          <a:endParaRPr lang="zh-CN" altLang="en-US" sz="1100"/>
        </a:p>
        <a:p>
          <a:pPr algn="l"/>
          <a:r>
            <a:rPr lang="zh-CN" altLang="en-US" sz="1100"/>
            <a:t>如果 Server 和 Proxy 在同一内网，填内网 IP（更安全）。</a:t>
          </a:r>
          <a:endParaRPr lang="zh-CN" altLang="en-US" sz="1100"/>
        </a:p>
        <a:p>
          <a:pPr algn="l"/>
          <a:r>
            <a:rPr lang="zh-CN" altLang="en-US" sz="1100"/>
            <a:t>如果 Proxy 在云端或跨网络，填公网 IP（需确保安全组/防火墙允许访问）。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zh-CN" altLang="en-US" sz="1100"/>
            <a:t>活动 Zabbix Proxy的逗号分隔的 IP 地址或 DNS 名称。</a:t>
          </a:r>
          <a:endParaRPr lang="zh-CN" altLang="en-US" sz="1100"/>
        </a:p>
      </xdr:txBody>
    </xdr:sp>
    <xdr:clientData/>
  </xdr:oneCellAnchor>
  <xdr:oneCellAnchor>
    <xdr:from>
      <xdr:col>13</xdr:col>
      <xdr:colOff>276225</xdr:colOff>
      <xdr:row>8</xdr:row>
      <xdr:rowOff>133350</xdr:rowOff>
    </xdr:from>
    <xdr:ext cx="1894840" cy="1187450"/>
    <xdr:sp>
      <xdr:nvSpPr>
        <xdr:cNvPr id="22" name="文本框 21"/>
        <xdr:cNvSpPr txBox="1"/>
      </xdr:nvSpPr>
      <xdr:spPr>
        <a:xfrm>
          <a:off x="11557000" y="1581150"/>
          <a:ext cx="1894840" cy="11874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受</a:t>
          </a:r>
          <a:r>
            <a:rPr lang="en-US" altLang="zh-CN" sz="1100"/>
            <a:t>E</a:t>
          </a:r>
          <a:r>
            <a:rPr lang="zh-CN" altLang="en-US" sz="1100"/>
            <a:t>列</a:t>
          </a:r>
          <a:r>
            <a:rPr lang="en-US" altLang="zh-CN" sz="1100"/>
            <a:t>Proxy模式</a:t>
          </a:r>
          <a:r>
            <a:rPr lang="zh-CN" altLang="en-US" sz="1100"/>
            <a:t>主被动影响</a:t>
          </a:r>
          <a:endParaRPr lang="en-US" altLang="zh-CN" sz="1100"/>
        </a:p>
        <a:p>
          <a:pPr algn="l"/>
          <a:r>
            <a:rPr lang="en-US" altLang="zh-CN" sz="1100"/>
            <a:t>F</a:t>
          </a:r>
          <a:r>
            <a:rPr lang="zh-CN" altLang="en-US" sz="1100"/>
            <a:t>列Proxy代理地址</a:t>
          </a:r>
          <a:endParaRPr lang="zh-CN" altLang="en-US" sz="1100"/>
        </a:p>
        <a:p>
          <a:pPr algn="l"/>
          <a:r>
            <a:rPr lang="zh-CN" altLang="en-US" sz="1100"/>
            <a:t>和</a:t>
          </a:r>
          <a:r>
            <a:rPr lang="en-US" altLang="zh-CN" sz="1100"/>
            <a:t>G</a:t>
          </a:r>
          <a:r>
            <a:rPr lang="en-US" altLang="zh-CN">
              <a:sym typeface="+mn-ea"/>
            </a:rPr>
            <a:t>H</a:t>
          </a:r>
          <a:r>
            <a:rPr lang="zh-CN" altLang="en-US">
              <a:sym typeface="+mn-ea"/>
            </a:rPr>
            <a:t>列</a:t>
          </a:r>
          <a:r>
            <a:rPr lang="en-US" altLang="zh-CN" sz="1100"/>
            <a:t>接口地址</a:t>
          </a:r>
          <a:r>
            <a:rPr lang="zh-CN" altLang="en-US" sz="1100"/>
            <a:t>、接口端口</a:t>
          </a:r>
          <a:endParaRPr lang="zh-CN" altLang="en-US" sz="1100"/>
        </a:p>
        <a:p>
          <a:pPr algn="l"/>
          <a:r>
            <a:rPr lang="zh-CN" altLang="en-US" sz="1100"/>
            <a:t>不能同时共存是互斥关系</a:t>
          </a:r>
          <a:endParaRPr lang="zh-CN" altLang="en-US" sz="1100"/>
        </a:p>
        <a:p>
          <a:pPr algn="l"/>
          <a:r>
            <a:rPr lang="en-US" altLang="zh-CN" sz="1100"/>
            <a:t>1</a:t>
          </a:r>
          <a:r>
            <a:rPr lang="zh-CN" altLang="en-US" sz="1100"/>
            <a:t>对应</a:t>
          </a:r>
          <a:r>
            <a:rPr lang="en-US" altLang="zh-CN" sz="1100"/>
            <a:t>GH</a:t>
          </a:r>
          <a:endParaRPr lang="en-US" altLang="zh-CN" sz="1100"/>
        </a:p>
        <a:p>
          <a:pPr algn="l"/>
          <a:r>
            <a:rPr lang="en-US" altLang="zh-CN" sz="1100"/>
            <a:t>0</a:t>
          </a:r>
          <a:r>
            <a:rPr lang="zh-CN" altLang="en-US" sz="1100"/>
            <a:t>对应</a:t>
          </a:r>
          <a:r>
            <a:rPr lang="en-US" altLang="zh-CN" sz="1100"/>
            <a:t>F</a:t>
          </a:r>
          <a:endParaRPr lang="en-US" altLang="zh-CN" sz="1100"/>
        </a:p>
      </xdr:txBody>
    </xdr:sp>
    <xdr:clientData/>
  </xdr:one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0</xdr:colOff>
      <xdr:row>2</xdr:row>
      <xdr:rowOff>0</xdr:rowOff>
    </xdr:from>
    <xdr:ext cx="4098290" cy="1331595"/>
    <xdr:sp>
      <xdr:nvSpPr>
        <xdr:cNvPr id="2" name="文本框 1"/>
        <xdr:cNvSpPr txBox="1"/>
      </xdr:nvSpPr>
      <xdr:spPr>
        <a:xfrm>
          <a:off x="4114800" y="361950"/>
          <a:ext cx="4098290" cy="13315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主机更新可见名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AB</a:t>
          </a:r>
          <a:endParaRPr lang="en-US" altLang="zh-CN" sz="1100"/>
        </a:p>
        <a:p>
          <a:r>
            <a:rPr lang="zh-CN" altLang="en-US" sz="1100" baseline="0"/>
            <a:t>venv\Scripts\python.exe zabbix_api_extend.py </a:t>
          </a:r>
          <a:r>
            <a:rPr lang="en-US" altLang="zh-CN" sz="1100"/>
            <a:t>-update_host_name</a:t>
          </a:r>
          <a:endParaRPr lang="zh-CN" altLang="en-US" sz="1100"/>
        </a:p>
      </xdr:txBody>
    </xdr:sp>
    <xdr:clientData/>
  </xdr:one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0</xdr:row>
      <xdr:rowOff>7620</xdr:rowOff>
    </xdr:from>
    <xdr:ext cx="4098290" cy="1331595"/>
    <xdr:sp>
      <xdr:nvSpPr>
        <xdr:cNvPr id="2" name="文本框 1"/>
        <xdr:cNvSpPr txBox="1"/>
      </xdr:nvSpPr>
      <xdr:spPr>
        <a:xfrm>
          <a:off x="4707255" y="7620"/>
          <a:ext cx="4098290" cy="13315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创建</a:t>
          </a:r>
          <a:r>
            <a:rPr lang="zh-CN" altLang="en-US">
              <a:effectLst/>
              <a:sym typeface="+mn-ea"/>
            </a:rPr>
            <a:t>模板组</a:t>
          </a:r>
          <a:r>
            <a:rPr lang="en-US" altLang="zh-CN">
              <a:sym typeface="+mn-ea"/>
            </a:rPr>
            <a:t>: </a:t>
          </a:r>
          <a:r>
            <a:rPr lang="zh-CN" altLang="en-US">
              <a:sym typeface="+mn-ea"/>
            </a:rPr>
            <a:t>一</a:t>
          </a:r>
          <a:r>
            <a:rPr lang="en-US" altLang="zh-CN">
              <a:sym typeface="+mn-ea"/>
            </a:rPr>
            <a:t>A</a:t>
          </a:r>
          <a:endParaRPr lang="en-US" altLang="zh-CN" sz="1100"/>
        </a:p>
        <a:p>
          <a:r>
            <a:rPr lang="zh-CN" altLang="en-US" sz="1100" baseline="0"/>
            <a:t>venv\Scripts\python.exe zabbix_api_base.py </a:t>
          </a:r>
          <a:r>
            <a:rPr lang="en-US" altLang="zh-CN" sz="1100"/>
            <a:t>-create_templategroup</a:t>
          </a:r>
          <a:endParaRPr lang="zh-CN" alt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删除模板组</a:t>
          </a:r>
          <a:r>
            <a:rPr lang="en-US" altLang="zh-CN">
              <a:sym typeface="+mn-ea"/>
            </a:rPr>
            <a:t>: </a:t>
          </a:r>
          <a:r>
            <a:rPr lang="zh-CN" altLang="zh-CN">
              <a:effectLst/>
              <a:sym typeface="+mn-ea"/>
            </a:rPr>
            <a:t>一</a:t>
          </a:r>
          <a:r>
            <a:rPr lang="en-US" altLang="zh-CN">
              <a:effectLst/>
              <a:sym typeface="+mn-ea"/>
            </a:rPr>
            <a:t>A</a:t>
          </a:r>
          <a:endParaRPr lang="en-US" altLang="zh-CN" sz="1100"/>
        </a:p>
        <a:p>
          <a:r>
            <a:rPr lang="en-US" altLang="zh-CN" sz="1100"/>
            <a:t>venv\Scripts\python.exe zabbix_api_base.py -delete_templategroup</a:t>
          </a:r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3"/>
  <sheetViews>
    <sheetView workbookViewId="0">
      <selection activeCell="B24" sqref="B24"/>
    </sheetView>
  </sheetViews>
  <sheetFormatPr defaultColWidth="9" defaultRowHeight="14.25" outlineLevelRow="2"/>
  <cols>
    <col min="1" max="1" width="11.6666666666667" customWidth="1"/>
    <col min="2" max="2" width="23.1083333333333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2"/>
  <sheetViews>
    <sheetView workbookViewId="0">
      <selection activeCell="C14" sqref="C14"/>
    </sheetView>
  </sheetViews>
  <sheetFormatPr defaultColWidth="9" defaultRowHeight="14.25" outlineLevelRow="1" outlineLevelCol="1"/>
  <cols>
    <col min="1" max="1" width="15.1083333333333" customWidth="1"/>
    <col min="2" max="2" width="11.6666666666667" customWidth="1"/>
  </cols>
  <sheetData>
    <row r="1" spans="1:2">
      <c r="A1" t="s">
        <v>3</v>
      </c>
      <c r="B1" t="s">
        <v>4</v>
      </c>
    </row>
    <row r="2" spans="1:2">
      <c r="A2" t="s">
        <v>5</v>
      </c>
      <c r="B2" t="s">
        <v>1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1"/>
  <sheetViews>
    <sheetView workbookViewId="0">
      <selection activeCell="B15" sqref="B15"/>
    </sheetView>
  </sheetViews>
  <sheetFormatPr defaultColWidth="9" defaultRowHeight="14.25" outlineLevelCol="2"/>
  <cols>
    <col min="1" max="1" width="11.2166666666667" customWidth="1"/>
    <col min="2" max="2" width="24.1333333333333" customWidth="1"/>
    <col min="3" max="3" width="11.6666666666667" customWidth="1"/>
  </cols>
  <sheetData>
    <row r="1" spans="1:3">
      <c r="A1" t="s">
        <v>3</v>
      </c>
      <c r="B1" t="s">
        <v>6</v>
      </c>
      <c r="C1" t="s">
        <v>7</v>
      </c>
    </row>
    <row r="2" spans="1:2">
      <c r="A2" t="s">
        <v>8</v>
      </c>
      <c r="B2" s="3" t="s">
        <v>9</v>
      </c>
    </row>
    <row r="3" spans="1:2">
      <c r="A3" t="s">
        <v>8</v>
      </c>
      <c r="B3" s="3" t="s">
        <v>10</v>
      </c>
    </row>
    <row r="4" spans="1:2">
      <c r="A4" t="s">
        <v>8</v>
      </c>
      <c r="B4" s="3" t="s">
        <v>11</v>
      </c>
    </row>
    <row r="5" spans="1:2">
      <c r="A5" t="s">
        <v>8</v>
      </c>
      <c r="B5" s="3" t="s">
        <v>12</v>
      </c>
    </row>
    <row r="6" spans="1:2">
      <c r="A6" t="s">
        <v>13</v>
      </c>
      <c r="B6" s="3" t="s">
        <v>9</v>
      </c>
    </row>
    <row r="7" spans="1:2">
      <c r="A7" t="s">
        <v>13</v>
      </c>
      <c r="B7" s="3" t="s">
        <v>10</v>
      </c>
    </row>
    <row r="8" spans="1:2">
      <c r="A8" t="s">
        <v>13</v>
      </c>
      <c r="B8" s="3" t="s">
        <v>11</v>
      </c>
    </row>
    <row r="9" spans="1:2">
      <c r="A9" t="s">
        <v>13</v>
      </c>
      <c r="B9" s="3" t="s">
        <v>12</v>
      </c>
    </row>
    <row r="10" spans="2:2">
      <c r="B10" s="3"/>
    </row>
    <row r="11" spans="2:2">
      <c r="B11" s="3"/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11"/>
  <sheetViews>
    <sheetView workbookViewId="0">
      <selection activeCell="A1" sqref="A1:B1"/>
    </sheetView>
  </sheetViews>
  <sheetFormatPr defaultColWidth="9" defaultRowHeight="14.25" outlineLevelCol="1"/>
  <cols>
    <col min="1" max="1" width="14.5" customWidth="1"/>
    <col min="2" max="2" width="11.6666666666667" customWidth="1"/>
  </cols>
  <sheetData>
    <row r="1" spans="1:2">
      <c r="A1" t="s">
        <v>3</v>
      </c>
      <c r="B1" t="s">
        <v>3</v>
      </c>
    </row>
    <row r="2" spans="1:2">
      <c r="A2" t="s">
        <v>8</v>
      </c>
      <c r="B2" t="s">
        <v>14</v>
      </c>
    </row>
    <row r="3" spans="1:2">
      <c r="A3" t="s">
        <v>13</v>
      </c>
      <c r="B3" t="s">
        <v>14</v>
      </c>
    </row>
    <row r="4" spans="1:2">
      <c r="A4" t="s">
        <v>15</v>
      </c>
      <c r="B4" t="s">
        <v>14</v>
      </c>
    </row>
    <row r="5" spans="1:2">
      <c r="A5" t="s">
        <v>16</v>
      </c>
      <c r="B5" t="s">
        <v>14</v>
      </c>
    </row>
    <row r="6" spans="1:2">
      <c r="A6" t="s">
        <v>17</v>
      </c>
      <c r="B6" t="s">
        <v>14</v>
      </c>
    </row>
    <row r="7" spans="1:2">
      <c r="A7" t="s">
        <v>18</v>
      </c>
      <c r="B7" t="s">
        <v>14</v>
      </c>
    </row>
    <row r="8" spans="1:2">
      <c r="A8" t="s">
        <v>18</v>
      </c>
      <c r="B8" t="s">
        <v>14</v>
      </c>
    </row>
    <row r="9" spans="1:2">
      <c r="A9" t="s">
        <v>19</v>
      </c>
      <c r="B9" t="s">
        <v>14</v>
      </c>
    </row>
    <row r="10" spans="1:2">
      <c r="A10" t="s">
        <v>20</v>
      </c>
      <c r="B10" t="s">
        <v>14</v>
      </c>
    </row>
    <row r="11" spans="1:2">
      <c r="A11" t="s">
        <v>21</v>
      </c>
      <c r="B11" t="s">
        <v>14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C11"/>
  <sheetViews>
    <sheetView workbookViewId="0">
      <selection activeCell="E24" sqref="E24"/>
    </sheetView>
  </sheetViews>
  <sheetFormatPr defaultColWidth="9" defaultRowHeight="14.25" outlineLevelCol="2"/>
  <cols>
    <col min="1" max="1" width="14.5" customWidth="1"/>
    <col min="2" max="2" width="14" customWidth="1"/>
    <col min="3" max="3" width="11.6666666666667" customWidth="1"/>
  </cols>
  <sheetData>
    <row r="1" spans="1:3">
      <c r="A1" t="s">
        <v>3</v>
      </c>
      <c r="B1" t="s">
        <v>22</v>
      </c>
      <c r="C1" t="s">
        <v>23</v>
      </c>
    </row>
    <row r="2" spans="1:3">
      <c r="A2" t="s">
        <v>8</v>
      </c>
      <c r="B2" s="3" t="s">
        <v>24</v>
      </c>
      <c r="C2" t="s">
        <v>25</v>
      </c>
    </row>
    <row r="3" spans="1:3">
      <c r="A3" t="s">
        <v>13</v>
      </c>
      <c r="B3" s="3" t="s">
        <v>26</v>
      </c>
      <c r="C3" t="s">
        <v>27</v>
      </c>
    </row>
    <row r="4" spans="1:3">
      <c r="A4" t="s">
        <v>15</v>
      </c>
      <c r="B4" s="3" t="s">
        <v>28</v>
      </c>
      <c r="C4" t="s">
        <v>29</v>
      </c>
    </row>
    <row r="5" spans="1:3">
      <c r="A5" t="s">
        <v>16</v>
      </c>
      <c r="B5" s="3" t="s">
        <v>30</v>
      </c>
      <c r="C5" t="s">
        <v>31</v>
      </c>
    </row>
    <row r="6" spans="1:3">
      <c r="A6" t="s">
        <v>17</v>
      </c>
      <c r="B6" s="3" t="s">
        <v>32</v>
      </c>
      <c r="C6" t="s">
        <v>33</v>
      </c>
    </row>
    <row r="7" spans="1:3">
      <c r="A7" t="s">
        <v>18</v>
      </c>
      <c r="B7" s="3" t="s">
        <v>34</v>
      </c>
      <c r="C7" t="s">
        <v>35</v>
      </c>
    </row>
    <row r="8" spans="1:3">
      <c r="A8" t="s">
        <v>18</v>
      </c>
      <c r="B8" s="3" t="s">
        <v>36</v>
      </c>
      <c r="C8" t="s">
        <v>37</v>
      </c>
    </row>
    <row r="9" spans="1:3">
      <c r="A9" t="s">
        <v>19</v>
      </c>
      <c r="B9" s="3" t="s">
        <v>36</v>
      </c>
      <c r="C9" t="s">
        <v>37</v>
      </c>
    </row>
    <row r="10" spans="1:3">
      <c r="A10" t="s">
        <v>20</v>
      </c>
      <c r="B10" s="3" t="s">
        <v>38</v>
      </c>
      <c r="C10" t="s">
        <v>39</v>
      </c>
    </row>
    <row r="11" spans="1:3">
      <c r="A11" t="s">
        <v>21</v>
      </c>
      <c r="B11" s="3" t="s">
        <v>40</v>
      </c>
      <c r="C11" t="s">
        <v>41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G11"/>
  <sheetViews>
    <sheetView workbookViewId="0">
      <selection activeCell="E26" sqref="E26"/>
    </sheetView>
  </sheetViews>
  <sheetFormatPr defaultColWidth="9" defaultRowHeight="14.25" outlineLevelCol="6"/>
  <cols>
    <col min="1" max="1" width="14" customWidth="1"/>
    <col min="2" max="2" width="15.5583333333333" customWidth="1"/>
    <col min="3" max="3" width="11.8916666666667" customWidth="1"/>
    <col min="4" max="4" width="13.8833333333333" customWidth="1"/>
    <col min="5" max="5" width="16.1083333333333" customWidth="1"/>
    <col min="6" max="6" width="22.6666666666667" customWidth="1"/>
    <col min="7" max="7" width="9.66666666666667" customWidth="1"/>
  </cols>
  <sheetData>
    <row r="1" spans="1:7">
      <c r="A1" t="s">
        <v>3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 spans="1:6">
      <c r="A2" t="s">
        <v>8</v>
      </c>
      <c r="B2" s="3" t="s">
        <v>48</v>
      </c>
      <c r="C2">
        <v>10</v>
      </c>
      <c r="D2" t="s">
        <v>49</v>
      </c>
      <c r="E2">
        <v>0</v>
      </c>
      <c r="F2" t="s">
        <v>50</v>
      </c>
    </row>
    <row r="3" spans="1:6">
      <c r="A3" t="s">
        <v>13</v>
      </c>
      <c r="B3" s="3" t="s">
        <v>48</v>
      </c>
      <c r="C3">
        <v>10</v>
      </c>
      <c r="D3" t="s">
        <v>49</v>
      </c>
      <c r="E3">
        <v>0</v>
      </c>
      <c r="F3" t="s">
        <v>51</v>
      </c>
    </row>
    <row r="4" spans="1:6">
      <c r="A4" t="s">
        <v>15</v>
      </c>
      <c r="B4" s="3" t="s">
        <v>48</v>
      </c>
      <c r="C4">
        <v>10</v>
      </c>
      <c r="D4" t="s">
        <v>49</v>
      </c>
      <c r="E4">
        <v>0</v>
      </c>
      <c r="F4" t="s">
        <v>50</v>
      </c>
    </row>
    <row r="5" spans="1:6">
      <c r="A5" t="s">
        <v>16</v>
      </c>
      <c r="B5" s="3" t="s">
        <v>48</v>
      </c>
      <c r="C5">
        <v>10</v>
      </c>
      <c r="D5" t="s">
        <v>49</v>
      </c>
      <c r="E5">
        <v>0</v>
      </c>
      <c r="F5" t="s">
        <v>51</v>
      </c>
    </row>
    <row r="6" spans="1:6">
      <c r="A6" t="s">
        <v>17</v>
      </c>
      <c r="B6" s="3" t="s">
        <v>48</v>
      </c>
      <c r="C6">
        <v>10</v>
      </c>
      <c r="D6" t="s">
        <v>49</v>
      </c>
      <c r="E6">
        <v>0</v>
      </c>
      <c r="F6" t="s">
        <v>50</v>
      </c>
    </row>
    <row r="7" spans="1:6">
      <c r="A7" t="s">
        <v>18</v>
      </c>
      <c r="B7" s="3" t="s">
        <v>48</v>
      </c>
      <c r="C7">
        <v>10</v>
      </c>
      <c r="D7" t="s">
        <v>49</v>
      </c>
      <c r="E7">
        <v>0</v>
      </c>
      <c r="F7" t="s">
        <v>50</v>
      </c>
    </row>
    <row r="8" spans="1:6">
      <c r="A8" t="s">
        <v>18</v>
      </c>
      <c r="B8" s="3" t="s">
        <v>48</v>
      </c>
      <c r="C8">
        <v>10</v>
      </c>
      <c r="D8" t="s">
        <v>49</v>
      </c>
      <c r="E8">
        <v>0</v>
      </c>
      <c r="F8" t="s">
        <v>50</v>
      </c>
    </row>
    <row r="9" spans="1:6">
      <c r="A9" t="s">
        <v>19</v>
      </c>
      <c r="B9" s="3" t="s">
        <v>48</v>
      </c>
      <c r="C9">
        <v>10</v>
      </c>
      <c r="D9" t="s">
        <v>49</v>
      </c>
      <c r="E9">
        <v>0</v>
      </c>
      <c r="F9" t="s">
        <v>50</v>
      </c>
    </row>
    <row r="10" spans="1:6">
      <c r="A10" t="s">
        <v>20</v>
      </c>
      <c r="B10" s="3" t="s">
        <v>48</v>
      </c>
      <c r="C10">
        <v>10</v>
      </c>
      <c r="D10" t="s">
        <v>49</v>
      </c>
      <c r="E10">
        <v>0</v>
      </c>
      <c r="F10" t="s">
        <v>50</v>
      </c>
    </row>
    <row r="11" spans="1:6">
      <c r="A11" t="s">
        <v>21</v>
      </c>
      <c r="B11" s="3" t="s">
        <v>48</v>
      </c>
      <c r="C11">
        <v>10</v>
      </c>
      <c r="D11" t="s">
        <v>49</v>
      </c>
      <c r="E11">
        <v>0</v>
      </c>
      <c r="F11" t="s">
        <v>50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D13"/>
  <sheetViews>
    <sheetView workbookViewId="0">
      <selection activeCell="B32" sqref="B32"/>
    </sheetView>
  </sheetViews>
  <sheetFormatPr defaultColWidth="9" defaultRowHeight="14.25" outlineLevelCol="3"/>
  <cols>
    <col min="1" max="1" width="11.2166666666667" customWidth="1"/>
    <col min="2" max="2" width="13.8833333333333" customWidth="1"/>
    <col min="3" max="3" width="11" customWidth="1"/>
    <col min="4" max="4" width="11.6666666666667" customWidth="1"/>
  </cols>
  <sheetData>
    <row r="1" spans="1:4">
      <c r="A1" t="s">
        <v>3</v>
      </c>
      <c r="B1" t="s">
        <v>44</v>
      </c>
      <c r="C1" t="s">
        <v>22</v>
      </c>
      <c r="D1" t="s">
        <v>23</v>
      </c>
    </row>
    <row r="2" spans="1:4">
      <c r="A2" t="s">
        <v>8</v>
      </c>
      <c r="B2" t="s">
        <v>49</v>
      </c>
      <c r="C2" s="3" t="s">
        <v>24</v>
      </c>
      <c r="D2" t="s">
        <v>25</v>
      </c>
    </row>
    <row r="3" spans="1:4">
      <c r="A3" t="s">
        <v>13</v>
      </c>
      <c r="B3" t="s">
        <v>52</v>
      </c>
      <c r="C3" s="3" t="s">
        <v>26</v>
      </c>
      <c r="D3" t="s">
        <v>27</v>
      </c>
    </row>
    <row r="4" spans="1:4">
      <c r="A4" t="s">
        <v>15</v>
      </c>
      <c r="B4" t="s">
        <v>53</v>
      </c>
      <c r="C4" s="3" t="s">
        <v>28</v>
      </c>
      <c r="D4" t="s">
        <v>29</v>
      </c>
    </row>
    <row r="5" spans="1:4">
      <c r="A5" t="s">
        <v>16</v>
      </c>
      <c r="B5" t="s">
        <v>54</v>
      </c>
      <c r="C5" s="3" t="s">
        <v>30</v>
      </c>
      <c r="D5" t="s">
        <v>31</v>
      </c>
    </row>
    <row r="6" spans="1:4">
      <c r="A6" t="s">
        <v>17</v>
      </c>
      <c r="B6" t="s">
        <v>55</v>
      </c>
      <c r="C6" s="3" t="s">
        <v>32</v>
      </c>
      <c r="D6" t="s">
        <v>33</v>
      </c>
    </row>
    <row r="7" spans="1:4">
      <c r="A7" t="s">
        <v>18</v>
      </c>
      <c r="B7" t="s">
        <v>55</v>
      </c>
      <c r="C7" s="3" t="s">
        <v>34</v>
      </c>
      <c r="D7" t="s">
        <v>35</v>
      </c>
    </row>
    <row r="8" spans="1:4">
      <c r="A8" t="s">
        <v>18</v>
      </c>
      <c r="B8" t="s">
        <v>55</v>
      </c>
      <c r="C8" s="3" t="s">
        <v>36</v>
      </c>
      <c r="D8" t="s">
        <v>37</v>
      </c>
    </row>
    <row r="9" spans="1:4">
      <c r="A9" t="s">
        <v>19</v>
      </c>
      <c r="B9" t="s">
        <v>55</v>
      </c>
      <c r="C9" s="3" t="s">
        <v>36</v>
      </c>
      <c r="D9" t="s">
        <v>37</v>
      </c>
    </row>
    <row r="10" spans="1:4">
      <c r="A10" t="s">
        <v>20</v>
      </c>
      <c r="B10" t="s">
        <v>55</v>
      </c>
      <c r="C10" s="3" t="s">
        <v>38</v>
      </c>
      <c r="D10" t="s">
        <v>39</v>
      </c>
    </row>
    <row r="11" spans="1:4">
      <c r="A11" t="s">
        <v>21</v>
      </c>
      <c r="B11" t="s">
        <v>55</v>
      </c>
      <c r="C11" s="3" t="s">
        <v>40</v>
      </c>
      <c r="D11" t="s">
        <v>41</v>
      </c>
    </row>
    <row r="12" spans="3:3">
      <c r="C12" s="3"/>
    </row>
    <row r="13" spans="3:3">
      <c r="C13" s="3"/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E14"/>
  <sheetViews>
    <sheetView workbookViewId="0">
      <selection activeCell="F27" sqref="F27"/>
    </sheetView>
  </sheetViews>
  <sheetFormatPr defaultColWidth="9" defaultRowHeight="14.25" outlineLevelCol="4"/>
  <cols>
    <col min="1" max="1" width="11.6666666666667" customWidth="1"/>
    <col min="2" max="2" width="20.4416666666667" customWidth="1"/>
    <col min="3" max="3" width="25.1083333333333" customWidth="1"/>
    <col min="4" max="4" width="26.4416666666667" customWidth="1"/>
    <col min="5" max="5" width="9.75" customWidth="1"/>
  </cols>
  <sheetData>
    <row r="1" spans="1:5">
      <c r="A1" t="s">
        <v>56</v>
      </c>
      <c r="B1" t="s">
        <v>57</v>
      </c>
      <c r="C1" t="s">
        <v>58</v>
      </c>
      <c r="D1" t="s">
        <v>59</v>
      </c>
      <c r="E1" t="s">
        <v>3</v>
      </c>
    </row>
    <row r="2" spans="1:5">
      <c r="A2" t="s">
        <v>60</v>
      </c>
      <c r="B2">
        <v>2</v>
      </c>
      <c r="C2" s="14" t="s">
        <v>61</v>
      </c>
      <c r="D2" t="s">
        <v>62</v>
      </c>
      <c r="E2" t="s">
        <v>8</v>
      </c>
    </row>
    <row r="3" spans="1:5">
      <c r="A3" t="s">
        <v>60</v>
      </c>
      <c r="B3">
        <v>2</v>
      </c>
      <c r="C3" t="s">
        <v>63</v>
      </c>
      <c r="D3" t="s">
        <v>64</v>
      </c>
      <c r="E3" t="s">
        <v>13</v>
      </c>
    </row>
    <row r="4" spans="1:5">
      <c r="A4" t="s">
        <v>60</v>
      </c>
      <c r="B4">
        <v>2</v>
      </c>
      <c r="C4" t="s">
        <v>65</v>
      </c>
      <c r="D4" t="s">
        <v>66</v>
      </c>
      <c r="E4" t="s">
        <v>15</v>
      </c>
    </row>
    <row r="13" spans="3:3">
      <c r="C13" s="14" t="s">
        <v>67</v>
      </c>
    </row>
    <row r="14" spans="3:3">
      <c r="C14" s="14" t="s">
        <v>68</v>
      </c>
    </row>
  </sheetData>
  <pageMargins left="0.699305555555556" right="0.699305555555556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D2"/>
  <sheetViews>
    <sheetView workbookViewId="0">
      <selection activeCell="H24" sqref="H24"/>
    </sheetView>
  </sheetViews>
  <sheetFormatPr defaultColWidth="9" defaultRowHeight="14.25" outlineLevelRow="1" outlineLevelCol="3"/>
  <cols>
    <col min="1" max="4" width="9.00833333333333" customWidth="1"/>
  </cols>
  <sheetData>
    <row r="1" spans="1:4">
      <c r="A1" t="s">
        <v>3</v>
      </c>
      <c r="B1" t="s">
        <v>56</v>
      </c>
      <c r="C1" t="s">
        <v>22</v>
      </c>
      <c r="D1" t="s">
        <v>23</v>
      </c>
    </row>
    <row r="2" spans="1:4">
      <c r="A2" t="s">
        <v>8</v>
      </c>
      <c r="B2" t="s">
        <v>60</v>
      </c>
      <c r="C2" t="s">
        <v>26</v>
      </c>
      <c r="D2" t="s">
        <v>27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pageSetUpPr autoPageBreaks="0"/>
  </sheetPr>
  <dimension ref="A1:U163"/>
  <sheetViews>
    <sheetView workbookViewId="0">
      <pane xSplit="1" ySplit="1" topLeftCell="R2" activePane="bottomRight" state="frozen"/>
      <selection/>
      <selection pane="topRight"/>
      <selection pane="bottomLeft"/>
      <selection pane="bottomRight" activeCell="V19" sqref="V19"/>
    </sheetView>
  </sheetViews>
  <sheetFormatPr defaultColWidth="9" defaultRowHeight="14.25"/>
  <cols>
    <col min="1" max="1" width="20.3833333333333" customWidth="1"/>
    <col min="2" max="2" width="46.25" customWidth="1"/>
    <col min="3" max="3" width="11.6666666666667" customWidth="1"/>
    <col min="5" max="5" width="19.25" customWidth="1"/>
    <col min="6" max="6" width="7.44166666666667" customWidth="1"/>
    <col min="7" max="7" width="5.44166666666667" customWidth="1"/>
    <col min="8" max="8" width="9.44166666666667" customWidth="1"/>
    <col min="9" max="9" width="13.8833333333333" customWidth="1"/>
    <col min="10" max="10" width="9.44166666666667" customWidth="1"/>
    <col min="11" max="12" width="13.4416666666667" customWidth="1"/>
    <col min="13" max="13" width="11.3333333333333" customWidth="1"/>
    <col min="14" max="14" width="9.33333333333333" customWidth="1"/>
    <col min="15" max="15" width="28.8833333333333" customWidth="1"/>
    <col min="16" max="16" width="6.25" customWidth="1"/>
    <col min="17" max="17" width="13.6333333333333" customWidth="1"/>
    <col min="18" max="19" width="11.6333333333333" customWidth="1"/>
    <col min="20" max="20" width="22.5" customWidth="1"/>
  </cols>
  <sheetData>
    <row r="1" spans="1:21">
      <c r="A1" t="s">
        <v>69</v>
      </c>
      <c r="B1" t="s">
        <v>3</v>
      </c>
      <c r="C1" s="12" t="s">
        <v>0</v>
      </c>
      <c r="D1" s="12" t="s">
        <v>70</v>
      </c>
      <c r="E1" s="12" t="s">
        <v>71</v>
      </c>
      <c r="F1" s="12" t="s">
        <v>72</v>
      </c>
      <c r="G1" s="12" t="s">
        <v>73</v>
      </c>
      <c r="H1" s="12" t="s">
        <v>74</v>
      </c>
      <c r="I1" s="12" t="s">
        <v>75</v>
      </c>
      <c r="J1" s="12" t="s">
        <v>76</v>
      </c>
      <c r="K1" s="12" t="s">
        <v>77</v>
      </c>
      <c r="L1" s="12" t="s">
        <v>78</v>
      </c>
      <c r="M1" s="12" t="s">
        <v>79</v>
      </c>
      <c r="N1" s="12" t="s">
        <v>80</v>
      </c>
      <c r="O1" s="13" t="s">
        <v>81</v>
      </c>
      <c r="P1" s="13" t="s">
        <v>82</v>
      </c>
      <c r="Q1" s="13" t="s">
        <v>83</v>
      </c>
      <c r="R1" s="13" t="s">
        <v>84</v>
      </c>
      <c r="S1" s="13" t="s">
        <v>85</v>
      </c>
      <c r="T1" s="13"/>
      <c r="U1" s="12"/>
    </row>
    <row r="2" spans="1:21">
      <c r="A2" t="s">
        <v>86</v>
      </c>
      <c r="B2" t="s">
        <v>87</v>
      </c>
      <c r="C2" s="12" t="s">
        <v>88</v>
      </c>
      <c r="D2" s="12">
        <v>1</v>
      </c>
      <c r="E2" s="14" t="str">
        <f>A2</f>
        <v>172.16.51.126</v>
      </c>
      <c r="F2" s="12">
        <v>10050</v>
      </c>
      <c r="G2" s="12"/>
      <c r="H2" s="12"/>
      <c r="I2" s="12"/>
      <c r="J2" s="12"/>
      <c r="K2" s="12"/>
      <c r="L2" s="12"/>
      <c r="M2" s="12"/>
      <c r="N2" s="12"/>
      <c r="O2" s="13"/>
      <c r="P2" s="13"/>
      <c r="Q2" s="13"/>
      <c r="R2" s="13"/>
      <c r="S2" s="13"/>
      <c r="T2" s="13"/>
      <c r="U2" s="12"/>
    </row>
    <row r="3" spans="1:21">
      <c r="A3" t="s">
        <v>89</v>
      </c>
      <c r="B3" t="s">
        <v>87</v>
      </c>
      <c r="C3" s="12" t="s">
        <v>88</v>
      </c>
      <c r="D3" s="12">
        <v>1</v>
      </c>
      <c r="E3" s="14" t="str">
        <f t="shared" ref="E3:E8" si="0">A3</f>
        <v>172.16.51.127</v>
      </c>
      <c r="F3" s="12">
        <v>10050</v>
      </c>
      <c r="G3" s="12"/>
      <c r="H3" s="12"/>
      <c r="I3" s="12"/>
      <c r="J3" s="12"/>
      <c r="K3" s="12"/>
      <c r="L3" s="12"/>
      <c r="M3" s="12"/>
      <c r="N3" s="12"/>
      <c r="O3" s="13"/>
      <c r="P3" s="13"/>
      <c r="Q3" s="13"/>
      <c r="R3" s="13"/>
      <c r="S3" s="13"/>
      <c r="T3" s="13"/>
      <c r="U3" s="12"/>
    </row>
    <row r="4" spans="1:21">
      <c r="A4" t="s">
        <v>90</v>
      </c>
      <c r="B4" t="s">
        <v>87</v>
      </c>
      <c r="C4" s="12" t="s">
        <v>88</v>
      </c>
      <c r="D4" s="12">
        <v>1</v>
      </c>
      <c r="E4" s="14" t="str">
        <f t="shared" si="0"/>
        <v>172.16.51.128</v>
      </c>
      <c r="F4" s="12">
        <v>10050</v>
      </c>
      <c r="G4" s="12"/>
      <c r="H4" s="12"/>
      <c r="I4" s="12"/>
      <c r="J4" s="12"/>
      <c r="K4" s="12"/>
      <c r="L4" s="12"/>
      <c r="M4" s="12"/>
      <c r="N4" s="12"/>
      <c r="O4" s="13"/>
      <c r="P4" s="13"/>
      <c r="Q4" s="13"/>
      <c r="R4" s="13"/>
      <c r="S4" s="13"/>
      <c r="T4" s="13"/>
      <c r="U4" s="12"/>
    </row>
    <row r="5" spans="1:21">
      <c r="A5" t="s">
        <v>91</v>
      </c>
      <c r="B5" t="s">
        <v>87</v>
      </c>
      <c r="C5" s="12" t="s">
        <v>88</v>
      </c>
      <c r="D5" s="12">
        <v>1</v>
      </c>
      <c r="E5" s="14" t="str">
        <f t="shared" si="0"/>
        <v>172.16.51.129</v>
      </c>
      <c r="F5" s="12">
        <v>10050</v>
      </c>
      <c r="G5" s="12"/>
      <c r="H5" s="12"/>
      <c r="I5" s="12"/>
      <c r="J5" s="12"/>
      <c r="K5" s="12"/>
      <c r="L5" s="12"/>
      <c r="M5" s="12"/>
      <c r="N5" s="12"/>
      <c r="O5" s="13"/>
      <c r="P5" s="13"/>
      <c r="Q5" s="13"/>
      <c r="R5" s="13"/>
      <c r="S5" s="13"/>
      <c r="T5" s="13"/>
      <c r="U5" s="12"/>
    </row>
    <row r="6" spans="1:21">
      <c r="A6" t="s">
        <v>92</v>
      </c>
      <c r="B6" t="s">
        <v>87</v>
      </c>
      <c r="C6" s="12" t="s">
        <v>88</v>
      </c>
      <c r="D6" s="12">
        <v>1</v>
      </c>
      <c r="E6" s="14" t="str">
        <f t="shared" si="0"/>
        <v>172.16.51.130</v>
      </c>
      <c r="F6" s="12">
        <v>10050</v>
      </c>
      <c r="G6" s="12"/>
      <c r="H6" s="12"/>
      <c r="I6" s="12"/>
      <c r="J6" s="12"/>
      <c r="K6" s="12"/>
      <c r="L6" s="12"/>
      <c r="M6" s="12"/>
      <c r="N6" s="12"/>
      <c r="O6" s="13"/>
      <c r="P6" s="13"/>
      <c r="Q6" s="13"/>
      <c r="R6" s="13"/>
      <c r="S6" s="13"/>
      <c r="T6" s="13"/>
      <c r="U6" s="12"/>
    </row>
    <row r="7" spans="1:21">
      <c r="A7" t="s">
        <v>93</v>
      </c>
      <c r="B7" t="s">
        <v>87</v>
      </c>
      <c r="C7" s="12" t="s">
        <v>88</v>
      </c>
      <c r="D7" s="12">
        <v>1</v>
      </c>
      <c r="E7" s="14" t="str">
        <f t="shared" si="0"/>
        <v>172.16.51.131</v>
      </c>
      <c r="F7" s="12">
        <v>10050</v>
      </c>
      <c r="G7" s="12"/>
      <c r="H7" s="12"/>
      <c r="I7" s="12"/>
      <c r="J7" s="12"/>
      <c r="K7" s="12"/>
      <c r="L7" s="12"/>
      <c r="M7" s="12"/>
      <c r="N7" s="12"/>
      <c r="O7" s="13"/>
      <c r="P7" s="13"/>
      <c r="Q7" s="13"/>
      <c r="R7" s="13"/>
      <c r="S7" s="13"/>
      <c r="T7" s="13"/>
      <c r="U7" s="12"/>
    </row>
    <row r="8" spans="3:21">
      <c r="C8" s="12"/>
      <c r="D8" s="12"/>
      <c r="E8" s="14"/>
      <c r="F8" s="12"/>
      <c r="G8" s="12"/>
      <c r="H8" s="12"/>
      <c r="I8" s="12"/>
      <c r="J8" s="12"/>
      <c r="K8" s="12"/>
      <c r="L8" s="12"/>
      <c r="M8" s="12"/>
      <c r="N8" s="12"/>
      <c r="O8" s="13"/>
      <c r="P8" s="13"/>
      <c r="Q8" s="13"/>
      <c r="R8" s="13"/>
      <c r="S8" s="13"/>
      <c r="T8" s="13"/>
      <c r="U8" s="12"/>
    </row>
    <row r="9" spans="3:21"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P9" s="13"/>
      <c r="Q9" s="13"/>
      <c r="R9" s="13"/>
      <c r="S9" s="13"/>
      <c r="T9" s="13"/>
      <c r="U9" s="12"/>
    </row>
    <row r="10" spans="3:21"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13"/>
      <c r="Q10" s="13"/>
      <c r="R10" s="13"/>
      <c r="S10" s="13"/>
      <c r="T10" s="13"/>
      <c r="U10" s="12"/>
    </row>
    <row r="11" spans="3:21"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  <c r="P11" s="13"/>
      <c r="Q11" s="13"/>
      <c r="R11" s="13"/>
      <c r="S11" s="13"/>
      <c r="T11" s="13"/>
      <c r="U11" s="12"/>
    </row>
    <row r="12" spans="3:21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/>
      <c r="P12" s="13"/>
      <c r="Q12" s="13"/>
      <c r="R12" s="13"/>
      <c r="S12" s="13"/>
      <c r="T12" s="13"/>
      <c r="U12" s="12"/>
    </row>
    <row r="13" spans="3:21"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/>
      <c r="P13" s="13"/>
      <c r="Q13" s="13"/>
      <c r="R13" s="13"/>
      <c r="S13" s="13"/>
      <c r="T13" s="13"/>
      <c r="U13" s="12"/>
    </row>
    <row r="14" spans="3:21"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  <c r="P14" s="13"/>
      <c r="Q14" s="13"/>
      <c r="R14" s="13"/>
      <c r="S14" s="13"/>
      <c r="T14" s="13"/>
      <c r="U14" s="12"/>
    </row>
    <row r="15" spans="3:21"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3"/>
      <c r="Q15" s="13"/>
      <c r="R15" s="13"/>
      <c r="S15" s="13"/>
      <c r="T15" s="13"/>
      <c r="U15" s="12"/>
    </row>
    <row r="16" spans="3:21"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13"/>
      <c r="Q16" s="13"/>
      <c r="R16" s="13"/>
      <c r="S16" s="13"/>
      <c r="T16" s="13"/>
      <c r="U16" s="12"/>
    </row>
    <row r="17" spans="3:21"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3"/>
      <c r="Q17" s="13"/>
      <c r="R17" s="13"/>
      <c r="S17" s="13"/>
      <c r="T17" s="13"/>
      <c r="U17" s="12"/>
    </row>
    <row r="18" spans="3:21"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13"/>
      <c r="Q18" s="13"/>
      <c r="R18" s="13"/>
      <c r="S18" s="13"/>
      <c r="T18" s="13"/>
      <c r="U18" s="12"/>
    </row>
    <row r="19" spans="3:21"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13"/>
      <c r="Q19" s="13"/>
      <c r="R19" s="13"/>
      <c r="S19" s="13"/>
      <c r="T19" s="13"/>
      <c r="U19" s="12"/>
    </row>
    <row r="20" spans="3:21">
      <c r="C20" s="12"/>
      <c r="D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13"/>
      <c r="Q20" s="13"/>
      <c r="R20" s="13"/>
      <c r="S20" s="13"/>
      <c r="T20" s="13"/>
      <c r="U20" s="12"/>
    </row>
    <row r="21" spans="3:21">
      <c r="C21" s="12"/>
      <c r="D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13"/>
      <c r="Q21" s="13"/>
      <c r="R21" s="13"/>
      <c r="S21" s="13"/>
      <c r="T21" s="13"/>
      <c r="U21" s="12"/>
    </row>
    <row r="22" spans="3:21">
      <c r="C22" s="12"/>
      <c r="D22" s="12"/>
      <c r="F22" s="12"/>
      <c r="G22" s="12"/>
      <c r="H22" s="12"/>
      <c r="I22" s="12"/>
      <c r="J22" s="12"/>
      <c r="K22" s="12"/>
      <c r="L22" s="12"/>
      <c r="M22" s="12"/>
      <c r="N22" s="12"/>
      <c r="O22" s="13"/>
      <c r="P22" s="13"/>
      <c r="Q22" s="13"/>
      <c r="R22" s="13"/>
      <c r="S22" s="13"/>
      <c r="T22" s="13"/>
      <c r="U22" s="12"/>
    </row>
    <row r="23" spans="3:21">
      <c r="C23" s="12"/>
      <c r="D23" s="12"/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13"/>
      <c r="Q23" s="13"/>
      <c r="R23" s="13"/>
      <c r="S23" s="13"/>
      <c r="T23" s="13"/>
      <c r="U23" s="12"/>
    </row>
    <row r="24" spans="3:21">
      <c r="C24" s="12"/>
      <c r="D24" s="12"/>
      <c r="F24" s="12"/>
      <c r="G24" s="12"/>
      <c r="H24" s="12"/>
      <c r="I24" s="12"/>
      <c r="J24" s="12"/>
      <c r="K24" s="12"/>
      <c r="L24" s="12"/>
      <c r="M24" s="12"/>
      <c r="N24" s="12"/>
      <c r="O24" s="13"/>
      <c r="P24" s="13"/>
      <c r="Q24" s="13"/>
      <c r="R24" s="13"/>
      <c r="S24" s="13"/>
      <c r="T24" s="13"/>
      <c r="U24" s="12"/>
    </row>
    <row r="25" spans="3:21">
      <c r="C25" s="12"/>
      <c r="D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13"/>
      <c r="Q25" s="13"/>
      <c r="R25" s="13"/>
      <c r="S25" s="13"/>
      <c r="T25" s="13"/>
      <c r="U25" s="12"/>
    </row>
    <row r="26" spans="3:21">
      <c r="C26" s="12"/>
      <c r="D26" s="12"/>
      <c r="F26" s="12"/>
      <c r="G26" s="12"/>
      <c r="H26" s="12"/>
      <c r="I26" s="12"/>
      <c r="J26" s="12"/>
      <c r="K26" s="12"/>
      <c r="L26" s="12"/>
      <c r="M26" s="12"/>
      <c r="N26" s="12"/>
      <c r="O26" s="13"/>
      <c r="P26" s="13"/>
      <c r="Q26" s="13"/>
      <c r="R26" s="13"/>
      <c r="S26" s="13"/>
      <c r="T26" s="13"/>
      <c r="U26" s="12"/>
    </row>
    <row r="27" spans="3:21">
      <c r="C27" s="12"/>
      <c r="D27" s="12"/>
      <c r="F27" s="12"/>
      <c r="G27" s="12"/>
      <c r="H27" s="12"/>
      <c r="I27" s="12"/>
      <c r="J27" s="12"/>
      <c r="K27" s="12"/>
      <c r="L27" s="12"/>
      <c r="M27" s="12"/>
      <c r="N27" s="12"/>
      <c r="O27" s="13"/>
      <c r="P27" s="13"/>
      <c r="Q27" s="13"/>
      <c r="R27" s="13"/>
      <c r="S27" s="13"/>
      <c r="T27" s="13"/>
      <c r="U27" s="12"/>
    </row>
    <row r="28" spans="3:21">
      <c r="C28" s="12"/>
      <c r="D28" s="12"/>
      <c r="F28" s="12"/>
      <c r="G28" s="12"/>
      <c r="H28" s="12"/>
      <c r="I28" s="12"/>
      <c r="J28" s="12"/>
      <c r="K28" s="12"/>
      <c r="L28" s="12"/>
      <c r="M28" s="12"/>
      <c r="N28" s="12"/>
      <c r="O28" s="13"/>
      <c r="P28" s="13"/>
      <c r="Q28" s="13"/>
      <c r="R28" s="13"/>
      <c r="S28" s="13"/>
      <c r="T28" s="13"/>
      <c r="U28" s="12"/>
    </row>
    <row r="29" spans="3:21">
      <c r="C29" s="12"/>
      <c r="D29" s="12"/>
      <c r="F29" s="12"/>
      <c r="G29" s="12"/>
      <c r="H29" s="12"/>
      <c r="I29" s="12"/>
      <c r="J29" s="12"/>
      <c r="K29" s="12"/>
      <c r="L29" s="12"/>
      <c r="M29" s="12"/>
      <c r="N29" s="12"/>
      <c r="O29" s="13"/>
      <c r="P29" s="13"/>
      <c r="Q29" s="13"/>
      <c r="R29" s="13"/>
      <c r="S29" s="13"/>
      <c r="T29" s="13"/>
      <c r="U29" s="12"/>
    </row>
    <row r="30" spans="3:21">
      <c r="C30" s="12"/>
      <c r="D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3"/>
      <c r="Q30" s="13"/>
      <c r="R30" s="13"/>
      <c r="S30" s="13"/>
      <c r="T30" s="13"/>
      <c r="U30" s="12"/>
    </row>
    <row r="31" spans="3:21">
      <c r="C31" s="12"/>
      <c r="D31" s="12"/>
      <c r="F31" s="12"/>
      <c r="G31" s="12"/>
      <c r="H31" s="12"/>
      <c r="I31" s="12"/>
      <c r="J31" s="12"/>
      <c r="K31" s="12"/>
      <c r="L31" s="12"/>
      <c r="M31" s="12"/>
      <c r="N31" s="12"/>
      <c r="O31" s="13"/>
      <c r="P31" s="13"/>
      <c r="Q31" s="13"/>
      <c r="R31" s="13"/>
      <c r="S31" s="13"/>
      <c r="T31" s="13"/>
      <c r="U31" s="12"/>
    </row>
    <row r="32" spans="3:21">
      <c r="C32" s="12"/>
      <c r="D32" s="12"/>
      <c r="F32" s="12"/>
      <c r="G32" s="12"/>
      <c r="H32" s="12"/>
      <c r="I32" s="12"/>
      <c r="J32" s="12"/>
      <c r="K32" s="12"/>
      <c r="L32" s="12"/>
      <c r="M32" s="12"/>
      <c r="N32" s="12"/>
      <c r="O32" s="13"/>
      <c r="P32" s="13"/>
      <c r="Q32" s="13"/>
      <c r="R32" s="13"/>
      <c r="S32" s="13"/>
      <c r="T32" s="13"/>
      <c r="U32" s="12"/>
    </row>
    <row r="33" spans="3:21">
      <c r="C33" s="12"/>
      <c r="D33" s="12"/>
      <c r="F33" s="12"/>
      <c r="G33" s="12"/>
      <c r="H33" s="12"/>
      <c r="I33" s="12"/>
      <c r="J33" s="12"/>
      <c r="K33" s="12"/>
      <c r="L33" s="12"/>
      <c r="M33" s="12"/>
      <c r="N33" s="12"/>
      <c r="O33" s="13"/>
      <c r="P33" s="13"/>
      <c r="Q33" s="13"/>
      <c r="R33" s="13"/>
      <c r="S33" s="13"/>
      <c r="T33" s="13"/>
      <c r="U33" s="12"/>
    </row>
    <row r="34" spans="3:21">
      <c r="C34" s="12"/>
      <c r="D34" s="12"/>
      <c r="F34" s="12"/>
      <c r="G34" s="12"/>
      <c r="H34" s="12"/>
      <c r="I34" s="12"/>
      <c r="J34" s="12"/>
      <c r="K34" s="12"/>
      <c r="L34" s="12"/>
      <c r="M34" s="12"/>
      <c r="N34" s="12"/>
      <c r="O34" s="13"/>
      <c r="P34" s="13"/>
      <c r="Q34" s="13"/>
      <c r="R34" s="13"/>
      <c r="S34" s="13"/>
      <c r="T34" s="13"/>
      <c r="U34" s="12"/>
    </row>
    <row r="35" spans="3:21">
      <c r="C35" s="12"/>
      <c r="D35" s="12"/>
      <c r="F35" s="12"/>
      <c r="G35" s="12"/>
      <c r="H35" s="12"/>
      <c r="I35" s="12"/>
      <c r="J35" s="12"/>
      <c r="K35" s="12"/>
      <c r="L35" s="12"/>
      <c r="M35" s="12"/>
      <c r="N35" s="12"/>
      <c r="O35" s="13"/>
      <c r="P35" s="13"/>
      <c r="Q35" s="13"/>
      <c r="R35" s="13"/>
      <c r="S35" s="13"/>
      <c r="T35" s="13"/>
      <c r="U35" s="12"/>
    </row>
    <row r="36" spans="3:21">
      <c r="C36" s="12"/>
      <c r="D36" s="12"/>
      <c r="F36" s="12"/>
      <c r="G36" s="12"/>
      <c r="H36" s="12"/>
      <c r="I36" s="12"/>
      <c r="J36" s="12"/>
      <c r="K36" s="12"/>
      <c r="L36" s="12"/>
      <c r="M36" s="12"/>
      <c r="N36" s="12"/>
      <c r="O36" s="13"/>
      <c r="P36" s="13"/>
      <c r="Q36" s="13"/>
      <c r="R36" s="13"/>
      <c r="S36" s="13"/>
      <c r="T36" s="13"/>
      <c r="U36" s="12"/>
    </row>
    <row r="37" spans="3:21">
      <c r="C37" s="12"/>
      <c r="D37" s="12"/>
      <c r="F37" s="12"/>
      <c r="G37" s="12"/>
      <c r="H37" s="12"/>
      <c r="I37" s="12"/>
      <c r="J37" s="12"/>
      <c r="K37" s="12"/>
      <c r="L37" s="12"/>
      <c r="M37" s="12"/>
      <c r="N37" s="12"/>
      <c r="O37" s="13"/>
      <c r="P37" s="13"/>
      <c r="Q37" s="13"/>
      <c r="R37" s="13"/>
      <c r="S37" s="13"/>
      <c r="T37" s="13"/>
      <c r="U37" s="12"/>
    </row>
    <row r="38" spans="3:21">
      <c r="C38" s="12"/>
      <c r="D38" s="12"/>
      <c r="F38" s="12"/>
      <c r="G38" s="12"/>
      <c r="H38" s="12"/>
      <c r="I38" s="12"/>
      <c r="J38" s="12"/>
      <c r="K38" s="12"/>
      <c r="L38" s="12"/>
      <c r="M38" s="12"/>
      <c r="N38" s="12"/>
      <c r="O38" s="13"/>
      <c r="P38" s="13"/>
      <c r="Q38" s="13"/>
      <c r="R38" s="13"/>
      <c r="S38" s="13"/>
      <c r="T38" s="13"/>
      <c r="U38" s="12"/>
    </row>
    <row r="39" spans="3:21">
      <c r="C39" s="12"/>
      <c r="D39" s="12"/>
      <c r="F39" s="12"/>
      <c r="G39" s="12"/>
      <c r="H39" s="12"/>
      <c r="I39" s="12"/>
      <c r="J39" s="12"/>
      <c r="K39" s="12"/>
      <c r="L39" s="12"/>
      <c r="M39" s="12"/>
      <c r="N39" s="12"/>
      <c r="O39" s="13"/>
      <c r="P39" s="13"/>
      <c r="Q39" s="13"/>
      <c r="R39" s="13"/>
      <c r="S39" s="13"/>
      <c r="T39" s="13"/>
      <c r="U39" s="12"/>
    </row>
    <row r="40" spans="3:21">
      <c r="C40" s="12"/>
      <c r="D40" s="12"/>
      <c r="F40" s="12"/>
      <c r="G40" s="12"/>
      <c r="H40" s="12"/>
      <c r="I40" s="12"/>
      <c r="J40" s="12"/>
      <c r="K40" s="12"/>
      <c r="L40" s="12"/>
      <c r="M40" s="12"/>
      <c r="N40" s="12"/>
      <c r="O40" s="13"/>
      <c r="P40" s="13"/>
      <c r="Q40" s="13"/>
      <c r="R40" s="13"/>
      <c r="S40" s="13"/>
      <c r="T40" s="13"/>
      <c r="U40" s="12"/>
    </row>
    <row r="41" spans="3:21">
      <c r="C41" s="12"/>
      <c r="D41" s="12"/>
      <c r="F41" s="12"/>
      <c r="G41" s="12"/>
      <c r="H41" s="12"/>
      <c r="I41" s="12"/>
      <c r="J41" s="12"/>
      <c r="K41" s="12"/>
      <c r="L41" s="12"/>
      <c r="M41" s="12"/>
      <c r="N41" s="12"/>
      <c r="O41" s="13"/>
      <c r="P41" s="13"/>
      <c r="Q41" s="13"/>
      <c r="R41" s="13"/>
      <c r="S41" s="13"/>
      <c r="T41" s="13"/>
      <c r="U41" s="12"/>
    </row>
    <row r="42" spans="3:21">
      <c r="C42" s="12"/>
      <c r="D42" s="12"/>
      <c r="F42" s="12"/>
      <c r="G42" s="12"/>
      <c r="H42" s="12"/>
      <c r="I42" s="12"/>
      <c r="J42" s="12"/>
      <c r="K42" s="12"/>
      <c r="L42" s="12"/>
      <c r="M42" s="12"/>
      <c r="N42" s="12"/>
      <c r="O42" s="13"/>
      <c r="P42" s="13"/>
      <c r="Q42" s="13"/>
      <c r="R42" s="13"/>
      <c r="S42" s="13"/>
      <c r="T42" s="13"/>
      <c r="U42" s="12"/>
    </row>
    <row r="43" spans="3:21">
      <c r="C43" s="12"/>
      <c r="D43" s="12"/>
      <c r="F43" s="12"/>
      <c r="K43" s="12"/>
      <c r="L43" s="12"/>
      <c r="M43" s="14"/>
      <c r="N43" s="14"/>
      <c r="P43" s="13"/>
      <c r="Q43" s="13"/>
      <c r="R43" s="13"/>
      <c r="S43" s="13"/>
      <c r="T43" s="13"/>
      <c r="U43" s="12"/>
    </row>
    <row r="44" spans="3:21">
      <c r="C44" s="12"/>
      <c r="D44" s="12"/>
      <c r="F44" s="12"/>
      <c r="K44" s="12"/>
      <c r="L44" s="12"/>
      <c r="M44" s="14"/>
      <c r="N44" s="14"/>
      <c r="P44" s="13"/>
      <c r="Q44" s="13"/>
      <c r="R44" s="13"/>
      <c r="S44" s="13"/>
      <c r="T44" s="13"/>
      <c r="U44" s="12"/>
    </row>
    <row r="45" spans="2:21">
      <c r="B45" s="15"/>
      <c r="C45" s="15"/>
      <c r="K45" s="12"/>
      <c r="L45" s="12"/>
      <c r="M45" s="14"/>
      <c r="N45" s="14"/>
      <c r="P45" s="13"/>
      <c r="Q45" s="13"/>
      <c r="R45" s="13"/>
      <c r="S45" s="13"/>
      <c r="T45" s="13"/>
      <c r="U45" s="12"/>
    </row>
    <row r="46" spans="2:21">
      <c r="B46" s="15"/>
      <c r="C46" s="15"/>
      <c r="K46" s="12"/>
      <c r="L46" s="12"/>
      <c r="M46" s="14"/>
      <c r="N46" s="14"/>
      <c r="P46" s="13"/>
      <c r="Q46" s="13"/>
      <c r="R46" s="13"/>
      <c r="S46" s="13"/>
      <c r="T46" s="13"/>
      <c r="U46" s="12"/>
    </row>
    <row r="47" spans="2:21">
      <c r="B47" s="15"/>
      <c r="C47" s="15"/>
      <c r="K47" s="12"/>
      <c r="L47" s="12"/>
      <c r="M47" s="14"/>
      <c r="N47" s="14"/>
      <c r="P47" s="13"/>
      <c r="Q47" s="13"/>
      <c r="R47" s="13"/>
      <c r="S47" s="13"/>
      <c r="T47" s="13"/>
      <c r="U47" s="12"/>
    </row>
    <row r="48" spans="2:21">
      <c r="B48" s="15"/>
      <c r="C48" s="15"/>
      <c r="K48" s="12"/>
      <c r="L48" s="12"/>
      <c r="M48" s="14"/>
      <c r="N48" s="14"/>
      <c r="P48" s="13"/>
      <c r="Q48" s="13"/>
      <c r="R48" s="13"/>
      <c r="S48" s="13"/>
      <c r="T48" s="13"/>
      <c r="U48" s="12"/>
    </row>
    <row r="49" spans="2:21">
      <c r="B49" s="15"/>
      <c r="C49" s="15"/>
      <c r="K49" s="12"/>
      <c r="L49" s="12"/>
      <c r="M49" s="14"/>
      <c r="N49" s="14"/>
      <c r="P49" s="13"/>
      <c r="Q49" s="13"/>
      <c r="R49" s="13"/>
      <c r="S49" s="13"/>
      <c r="T49" s="13"/>
      <c r="U49" s="12"/>
    </row>
    <row r="50" spans="2:21">
      <c r="B50" s="15"/>
      <c r="C50" s="15"/>
      <c r="K50" s="12"/>
      <c r="L50" s="12"/>
      <c r="M50" s="14"/>
      <c r="N50" s="14"/>
      <c r="P50" s="13"/>
      <c r="Q50" s="13"/>
      <c r="R50" s="13"/>
      <c r="S50" s="13"/>
      <c r="T50" s="13"/>
      <c r="U50" s="12"/>
    </row>
    <row r="51" spans="2:19">
      <c r="B51" s="15"/>
      <c r="C51" s="15"/>
      <c r="K51" s="12"/>
      <c r="L51" s="12"/>
      <c r="M51" s="14"/>
      <c r="N51" s="14"/>
      <c r="P51" s="13"/>
      <c r="Q51" s="13"/>
      <c r="R51" s="13"/>
      <c r="S51" s="13"/>
    </row>
    <row r="52" spans="2:19">
      <c r="B52" s="15"/>
      <c r="C52" s="15"/>
      <c r="K52" s="12"/>
      <c r="L52" s="12"/>
      <c r="M52" s="14"/>
      <c r="N52" s="14"/>
      <c r="P52" s="13"/>
      <c r="Q52" s="13"/>
      <c r="R52" s="13"/>
      <c r="S52" s="13"/>
    </row>
    <row r="53" spans="2:19">
      <c r="B53" s="15"/>
      <c r="C53" s="15"/>
      <c r="K53" s="12"/>
      <c r="L53" s="12"/>
      <c r="M53" s="14"/>
      <c r="N53" s="14"/>
      <c r="P53" s="13"/>
      <c r="Q53" s="13"/>
      <c r="R53" s="13"/>
      <c r="S53" s="13"/>
    </row>
    <row r="54" spans="2:19">
      <c r="B54" s="15"/>
      <c r="C54" s="15"/>
      <c r="K54" s="12"/>
      <c r="L54" s="12"/>
      <c r="M54" s="14"/>
      <c r="N54" s="14"/>
      <c r="P54" s="13"/>
      <c r="Q54" s="13"/>
      <c r="R54" s="13"/>
      <c r="S54" s="13"/>
    </row>
    <row r="55" spans="2:19">
      <c r="B55" s="15"/>
      <c r="C55" s="15"/>
      <c r="K55" s="12"/>
      <c r="L55" s="12"/>
      <c r="M55" s="14"/>
      <c r="N55" s="14"/>
      <c r="P55" s="13"/>
      <c r="Q55" s="13"/>
      <c r="R55" s="13"/>
      <c r="S55" s="13"/>
    </row>
    <row r="56" spans="2:19">
      <c r="B56" s="15"/>
      <c r="C56" s="15"/>
      <c r="K56" s="12"/>
      <c r="L56" s="12"/>
      <c r="M56" s="14"/>
      <c r="N56" s="14"/>
      <c r="P56" s="13"/>
      <c r="Q56" s="13"/>
      <c r="R56" s="13"/>
      <c r="S56" s="13"/>
    </row>
    <row r="57" spans="2:19">
      <c r="B57" s="15"/>
      <c r="C57" s="15"/>
      <c r="K57" s="12"/>
      <c r="L57" s="12"/>
      <c r="M57" s="14"/>
      <c r="N57" s="14"/>
      <c r="P57" s="13"/>
      <c r="Q57" s="13"/>
      <c r="R57" s="13"/>
      <c r="S57" s="13"/>
    </row>
    <row r="58" spans="2:19">
      <c r="B58" s="15"/>
      <c r="C58" s="15"/>
      <c r="K58" s="12"/>
      <c r="L58" s="12"/>
      <c r="M58" s="14"/>
      <c r="N58" s="14"/>
      <c r="P58" s="13"/>
      <c r="Q58" s="13"/>
      <c r="R58" s="13"/>
      <c r="S58" s="13"/>
    </row>
    <row r="59" spans="2:19">
      <c r="B59" s="15"/>
      <c r="C59" s="15"/>
      <c r="K59" s="12"/>
      <c r="L59" s="12"/>
      <c r="M59" s="14"/>
      <c r="N59" s="14"/>
      <c r="P59" s="13"/>
      <c r="Q59" s="13"/>
      <c r="R59" s="13"/>
      <c r="S59" s="13"/>
    </row>
    <row r="60" spans="2:19">
      <c r="B60" s="15"/>
      <c r="C60" s="15"/>
      <c r="K60" s="12"/>
      <c r="L60" s="12"/>
      <c r="M60" s="14"/>
      <c r="N60" s="14"/>
      <c r="P60" s="13"/>
      <c r="Q60" s="13"/>
      <c r="R60" s="13"/>
      <c r="S60" s="13"/>
    </row>
    <row r="61" spans="2:19">
      <c r="B61" s="15"/>
      <c r="C61" s="15"/>
      <c r="K61" s="12"/>
      <c r="L61" s="12"/>
      <c r="M61" s="14"/>
      <c r="N61" s="14"/>
      <c r="P61" s="13"/>
      <c r="Q61" s="13"/>
      <c r="R61" s="13"/>
      <c r="S61" s="13"/>
    </row>
    <row r="62" spans="2:19">
      <c r="B62" s="15"/>
      <c r="C62" s="15"/>
      <c r="K62" s="12"/>
      <c r="L62" s="12"/>
      <c r="M62" s="14"/>
      <c r="N62" s="14"/>
      <c r="O62" s="15"/>
      <c r="P62" s="13"/>
      <c r="Q62" s="13"/>
      <c r="R62" s="13"/>
      <c r="S62" s="13"/>
    </row>
    <row r="63" spans="2:20">
      <c r="B63" s="15"/>
      <c r="C63" s="15"/>
      <c r="K63" s="12"/>
      <c r="L63" s="12"/>
      <c r="M63" s="14"/>
      <c r="N63" s="14"/>
      <c r="O63" s="15"/>
      <c r="P63" s="13"/>
      <c r="Q63" s="13"/>
      <c r="R63" s="13"/>
      <c r="S63" s="13"/>
      <c r="T63" s="15"/>
    </row>
    <row r="64" spans="2:20">
      <c r="B64" s="15"/>
      <c r="C64" s="15"/>
      <c r="K64" s="12"/>
      <c r="L64" s="12"/>
      <c r="M64" s="14"/>
      <c r="N64" s="14"/>
      <c r="O64" s="15"/>
      <c r="P64" s="13"/>
      <c r="Q64" s="13"/>
      <c r="R64" s="13"/>
      <c r="S64" s="13"/>
      <c r="T64" s="15"/>
    </row>
    <row r="65" spans="2:20">
      <c r="B65" s="15"/>
      <c r="C65" s="15"/>
      <c r="K65" s="12"/>
      <c r="L65" s="12"/>
      <c r="M65" s="14"/>
      <c r="N65" s="14"/>
      <c r="O65" s="15"/>
      <c r="P65" s="15"/>
      <c r="Q65" s="13"/>
      <c r="R65" s="13"/>
      <c r="S65" s="13"/>
      <c r="T65" s="15"/>
    </row>
    <row r="66" spans="2:20">
      <c r="B66" s="15"/>
      <c r="C66" s="15"/>
      <c r="K66" s="12"/>
      <c r="L66" s="12"/>
      <c r="M66" s="14"/>
      <c r="N66" s="14"/>
      <c r="P66" s="15"/>
      <c r="Q66" s="13"/>
      <c r="R66" s="13"/>
      <c r="S66" s="13"/>
      <c r="T66" s="15"/>
    </row>
    <row r="67" spans="2:19">
      <c r="B67" s="15"/>
      <c r="C67" s="15"/>
      <c r="K67" s="12"/>
      <c r="L67" s="12"/>
      <c r="M67" s="14"/>
      <c r="N67" s="14"/>
      <c r="Q67" s="13"/>
      <c r="R67" s="13"/>
      <c r="S67" s="13"/>
    </row>
    <row r="68" spans="2:19">
      <c r="B68" s="15"/>
      <c r="C68" s="15"/>
      <c r="K68" s="12"/>
      <c r="L68" s="12"/>
      <c r="M68" s="14"/>
      <c r="N68" s="14"/>
      <c r="Q68" s="13"/>
      <c r="R68" s="13"/>
      <c r="S68" s="13"/>
    </row>
    <row r="69" spans="2:14">
      <c r="B69" s="15"/>
      <c r="C69" s="15"/>
      <c r="K69" s="12"/>
      <c r="L69" s="12"/>
      <c r="M69" s="14"/>
      <c r="N69" s="14"/>
    </row>
    <row r="70" spans="2:14">
      <c r="B70" s="15"/>
      <c r="C70" s="15"/>
      <c r="K70" s="12"/>
      <c r="L70" s="12"/>
      <c r="M70" s="14"/>
      <c r="N70" s="14"/>
    </row>
    <row r="71" spans="2:14">
      <c r="B71" s="15"/>
      <c r="C71" s="15"/>
      <c r="K71" s="12"/>
      <c r="L71" s="12"/>
      <c r="M71" s="14"/>
      <c r="N71" s="14"/>
    </row>
    <row r="72" spans="2:14">
      <c r="B72" s="15"/>
      <c r="C72" s="15"/>
      <c r="K72" s="12"/>
      <c r="L72" s="12"/>
      <c r="M72" s="14"/>
      <c r="N72" s="14"/>
    </row>
    <row r="73" spans="2:14">
      <c r="B73" s="15"/>
      <c r="C73" s="15"/>
      <c r="K73" s="12"/>
      <c r="L73" s="12"/>
      <c r="M73" s="14"/>
      <c r="N73" s="14"/>
    </row>
    <row r="74" spans="2:14">
      <c r="B74" s="15"/>
      <c r="C74" s="15"/>
      <c r="K74" s="12"/>
      <c r="L74" s="12"/>
      <c r="M74" s="14"/>
      <c r="N74" s="14"/>
    </row>
    <row r="75" spans="2:14">
      <c r="B75" s="15"/>
      <c r="C75" s="15"/>
      <c r="K75" s="12"/>
      <c r="L75" s="12"/>
      <c r="M75" s="14"/>
      <c r="N75" s="14"/>
    </row>
    <row r="76" spans="2:14">
      <c r="B76" s="15"/>
      <c r="C76" s="15"/>
      <c r="K76" s="12"/>
      <c r="L76" s="12"/>
      <c r="M76" s="14"/>
      <c r="N76" s="14"/>
    </row>
    <row r="77" spans="2:14">
      <c r="B77" s="15"/>
      <c r="C77" s="15"/>
      <c r="K77" s="12"/>
      <c r="L77" s="12"/>
      <c r="M77" s="14"/>
      <c r="N77" s="14"/>
    </row>
    <row r="78" spans="2:14">
      <c r="B78" s="15"/>
      <c r="C78" s="15"/>
      <c r="K78" s="12"/>
      <c r="L78" s="12"/>
      <c r="M78" s="14"/>
      <c r="N78" s="14"/>
    </row>
    <row r="79" spans="2:14">
      <c r="B79" s="15"/>
      <c r="C79" s="15"/>
      <c r="K79" s="12"/>
      <c r="L79" s="12"/>
      <c r="M79" s="14"/>
      <c r="N79" s="14"/>
    </row>
    <row r="80" spans="2:14">
      <c r="B80" s="15"/>
      <c r="C80" s="15"/>
      <c r="K80" s="12"/>
      <c r="L80" s="12"/>
      <c r="M80" s="14"/>
      <c r="N80" s="14"/>
    </row>
    <row r="81" spans="2:14">
      <c r="B81" s="15"/>
      <c r="C81" s="15"/>
      <c r="K81" s="12"/>
      <c r="L81" s="12"/>
      <c r="M81" s="14"/>
      <c r="N81" s="14"/>
    </row>
    <row r="82" spans="2:14">
      <c r="B82" s="15"/>
      <c r="C82" s="15"/>
      <c r="K82" s="12"/>
      <c r="L82" s="12"/>
      <c r="M82" s="14"/>
      <c r="N82" s="14"/>
    </row>
    <row r="83" spans="2:14">
      <c r="B83" s="15"/>
      <c r="C83" s="15"/>
      <c r="K83" s="12"/>
      <c r="L83" s="12"/>
      <c r="M83" s="14"/>
      <c r="N83" s="14"/>
    </row>
    <row r="84" spans="2:14">
      <c r="B84" s="15"/>
      <c r="C84" s="15"/>
      <c r="K84" s="12"/>
      <c r="L84" s="12"/>
      <c r="M84" s="14"/>
      <c r="N84" s="14"/>
    </row>
    <row r="85" spans="2:14">
      <c r="B85" s="15"/>
      <c r="C85" s="15"/>
      <c r="K85" s="12"/>
      <c r="L85" s="12"/>
      <c r="M85" s="14"/>
      <c r="N85" s="14"/>
    </row>
    <row r="86" spans="2:14">
      <c r="B86" s="15"/>
      <c r="C86" s="15"/>
      <c r="K86" s="12"/>
      <c r="L86" s="12"/>
      <c r="M86" s="14"/>
      <c r="N86" s="14"/>
    </row>
    <row r="87" spans="2:14">
      <c r="B87" s="15"/>
      <c r="C87" s="15"/>
      <c r="K87" s="12"/>
      <c r="L87" s="12"/>
      <c r="M87" s="14"/>
      <c r="N87" s="14"/>
    </row>
    <row r="88" spans="2:14">
      <c r="B88" s="15"/>
      <c r="C88" s="15"/>
      <c r="K88" s="12"/>
      <c r="L88" s="12"/>
      <c r="M88" s="14"/>
      <c r="N88" s="14"/>
    </row>
    <row r="89" spans="2:14">
      <c r="B89" s="15"/>
      <c r="C89" s="15"/>
      <c r="K89" s="12"/>
      <c r="L89" s="12"/>
      <c r="M89" s="14"/>
      <c r="N89" s="14"/>
    </row>
    <row r="90" spans="2:14">
      <c r="B90" s="15"/>
      <c r="C90" s="15"/>
      <c r="K90" s="12"/>
      <c r="L90" s="12"/>
      <c r="M90" s="14"/>
      <c r="N90" s="14"/>
    </row>
    <row r="91" spans="2:14">
      <c r="B91" s="15"/>
      <c r="C91" s="15"/>
      <c r="K91" s="12"/>
      <c r="L91" s="12"/>
      <c r="M91" s="14"/>
      <c r="N91" s="14"/>
    </row>
    <row r="92" spans="2:14">
      <c r="B92" s="15"/>
      <c r="C92" s="15"/>
      <c r="K92" s="12"/>
      <c r="L92" s="12"/>
      <c r="M92" s="14"/>
      <c r="N92" s="14"/>
    </row>
    <row r="93" spans="2:14">
      <c r="B93" s="15"/>
      <c r="C93" s="15"/>
      <c r="K93" s="12"/>
      <c r="L93" s="12"/>
      <c r="M93" s="14"/>
      <c r="N93" s="14"/>
    </row>
    <row r="94" spans="2:14">
      <c r="B94" s="15"/>
      <c r="C94" s="15"/>
      <c r="K94" s="12"/>
      <c r="L94" s="12"/>
      <c r="M94" s="14"/>
      <c r="N94" s="14"/>
    </row>
    <row r="95" spans="2:14">
      <c r="B95" s="15"/>
      <c r="C95" s="15"/>
      <c r="K95" s="12"/>
      <c r="L95" s="12"/>
      <c r="M95" s="14"/>
      <c r="N95" s="14"/>
    </row>
    <row r="96" spans="2:14">
      <c r="B96" s="15"/>
      <c r="C96" s="15"/>
      <c r="K96" s="12"/>
      <c r="L96" s="12"/>
      <c r="M96" s="14"/>
      <c r="N96" s="14"/>
    </row>
    <row r="97" spans="2:14">
      <c r="B97" s="15"/>
      <c r="C97" s="15"/>
      <c r="K97" s="12"/>
      <c r="L97" s="12"/>
      <c r="M97" s="14"/>
      <c r="N97" s="14"/>
    </row>
    <row r="98" spans="2:14">
      <c r="B98" s="15"/>
      <c r="C98" s="15"/>
      <c r="K98" s="12"/>
      <c r="L98" s="12"/>
      <c r="M98" s="14"/>
      <c r="N98" s="14"/>
    </row>
    <row r="99" spans="2:14">
      <c r="B99" s="15"/>
      <c r="C99" s="15"/>
      <c r="K99" s="12"/>
      <c r="L99" s="12"/>
      <c r="M99" s="14"/>
      <c r="N99" s="14"/>
    </row>
    <row r="100" spans="2:14">
      <c r="B100" s="15"/>
      <c r="C100" s="15"/>
      <c r="K100" s="12"/>
      <c r="L100" s="12"/>
      <c r="M100" s="14"/>
      <c r="N100" s="14"/>
    </row>
    <row r="101" spans="2:14">
      <c r="B101" s="15"/>
      <c r="C101" s="15"/>
      <c r="K101" s="12"/>
      <c r="L101" s="12"/>
      <c r="M101" s="14"/>
      <c r="N101" s="14"/>
    </row>
    <row r="102" spans="2:14">
      <c r="B102" s="15"/>
      <c r="C102" s="15"/>
      <c r="K102" s="12"/>
      <c r="L102" s="12"/>
      <c r="M102" s="14"/>
      <c r="N102" s="14"/>
    </row>
    <row r="103" spans="2:14">
      <c r="B103" s="15"/>
      <c r="C103" s="15"/>
      <c r="K103" s="12"/>
      <c r="L103" s="12"/>
      <c r="M103" s="14"/>
      <c r="N103" s="14"/>
    </row>
    <row r="104" spans="2:14">
      <c r="B104" s="15"/>
      <c r="C104" s="15"/>
      <c r="K104" s="12"/>
      <c r="L104" s="12"/>
      <c r="M104" s="14"/>
      <c r="N104" s="14"/>
    </row>
    <row r="105" spans="2:14">
      <c r="B105" s="15"/>
      <c r="C105" s="15"/>
      <c r="K105" s="12"/>
      <c r="L105" s="12"/>
      <c r="M105" s="14"/>
      <c r="N105" s="14"/>
    </row>
    <row r="106" spans="2:14">
      <c r="B106" s="15"/>
      <c r="C106" s="15"/>
      <c r="K106" s="12"/>
      <c r="L106" s="12"/>
      <c r="M106" s="14"/>
      <c r="N106" s="14"/>
    </row>
    <row r="107" spans="2:14">
      <c r="B107" s="15"/>
      <c r="C107" s="15"/>
      <c r="K107" s="12"/>
      <c r="L107" s="12"/>
      <c r="M107" s="14"/>
      <c r="N107" s="14"/>
    </row>
    <row r="108" spans="2:14">
      <c r="B108" s="15"/>
      <c r="C108" s="15"/>
      <c r="K108" s="12"/>
      <c r="L108" s="12"/>
      <c r="M108" s="14"/>
      <c r="N108" s="14"/>
    </row>
    <row r="109" spans="2:14">
      <c r="B109" s="15"/>
      <c r="C109" s="15"/>
      <c r="K109" s="12"/>
      <c r="L109" s="12"/>
      <c r="M109" s="14"/>
      <c r="N109" s="14"/>
    </row>
    <row r="110" spans="2:3">
      <c r="B110" s="15"/>
      <c r="C110" s="15"/>
    </row>
    <row r="111" spans="2:3">
      <c r="B111" s="15"/>
      <c r="C111" s="15"/>
    </row>
    <row r="112" spans="2:3">
      <c r="B112" s="15"/>
      <c r="C112" s="15"/>
    </row>
    <row r="113" spans="2:3">
      <c r="B113" s="15"/>
      <c r="C113" s="15"/>
    </row>
    <row r="114" spans="2:3">
      <c r="B114" s="15"/>
      <c r="C114" s="15"/>
    </row>
    <row r="115" spans="2:3">
      <c r="B115" s="15"/>
      <c r="C115" s="15"/>
    </row>
    <row r="116" spans="2:3">
      <c r="B116" s="15"/>
      <c r="C116" s="15"/>
    </row>
    <row r="117" spans="2:3">
      <c r="B117" s="15"/>
      <c r="C117" s="15"/>
    </row>
    <row r="118" spans="2:3">
      <c r="B118" s="15"/>
      <c r="C118" s="15"/>
    </row>
    <row r="119" spans="2:3">
      <c r="B119" s="15"/>
      <c r="C119" s="15"/>
    </row>
    <row r="120" spans="2:3">
      <c r="B120" s="15"/>
      <c r="C120" s="15"/>
    </row>
    <row r="121" spans="2:3">
      <c r="B121" s="15"/>
      <c r="C121" s="15"/>
    </row>
    <row r="122" spans="2:3">
      <c r="B122" s="15"/>
      <c r="C122" s="15"/>
    </row>
    <row r="123" spans="2:3">
      <c r="B123" s="15"/>
      <c r="C123" s="15"/>
    </row>
    <row r="124" spans="2:3">
      <c r="B124" s="15"/>
      <c r="C124" s="15"/>
    </row>
    <row r="125" spans="2:3">
      <c r="B125" s="15"/>
      <c r="C125" s="15"/>
    </row>
    <row r="126" spans="2:3">
      <c r="B126" s="15"/>
      <c r="C126" s="15"/>
    </row>
    <row r="127" spans="2:3">
      <c r="B127" s="15"/>
      <c r="C127" s="15"/>
    </row>
    <row r="128" spans="2:3">
      <c r="B128" s="15"/>
      <c r="C128" s="15"/>
    </row>
    <row r="129" spans="2:3">
      <c r="B129" s="15"/>
      <c r="C129" s="15"/>
    </row>
    <row r="130" spans="2:3">
      <c r="B130" s="15"/>
      <c r="C130" s="15"/>
    </row>
    <row r="131" spans="2:3">
      <c r="B131" s="15"/>
      <c r="C131" s="15"/>
    </row>
    <row r="132" spans="2:3">
      <c r="B132" s="15"/>
      <c r="C132" s="15"/>
    </row>
    <row r="133" spans="2:3">
      <c r="B133" s="15"/>
      <c r="C133" s="15"/>
    </row>
    <row r="134" spans="2:3">
      <c r="B134" s="15"/>
      <c r="C134" s="15"/>
    </row>
    <row r="135" spans="2:3">
      <c r="B135" s="15"/>
      <c r="C135" s="15"/>
    </row>
    <row r="136" spans="2:3">
      <c r="B136" s="15"/>
      <c r="C136" s="15"/>
    </row>
    <row r="137" spans="2:3">
      <c r="B137" s="15"/>
      <c r="C137" s="15"/>
    </row>
    <row r="138" spans="2:3">
      <c r="B138" s="15"/>
      <c r="C138" s="15"/>
    </row>
    <row r="139" spans="2:3">
      <c r="B139" s="15"/>
      <c r="C139" s="15"/>
    </row>
    <row r="140" spans="2:3">
      <c r="B140" s="15"/>
      <c r="C140" s="15"/>
    </row>
    <row r="141" spans="2:3">
      <c r="B141" s="15"/>
      <c r="C141" s="15"/>
    </row>
    <row r="142" spans="2:3">
      <c r="B142" s="15"/>
      <c r="C142" s="15"/>
    </row>
    <row r="143" spans="2:3">
      <c r="B143" s="15"/>
      <c r="C143" s="15"/>
    </row>
    <row r="144" spans="2:3">
      <c r="B144" s="15"/>
      <c r="C144" s="15"/>
    </row>
    <row r="145" spans="2:3">
      <c r="B145" s="15"/>
      <c r="C145" s="15"/>
    </row>
    <row r="146" spans="2:3">
      <c r="B146" s="15"/>
      <c r="C146" s="15"/>
    </row>
    <row r="147" spans="2:3">
      <c r="B147" s="15"/>
      <c r="C147" s="15"/>
    </row>
    <row r="148" spans="2:3">
      <c r="B148" s="15"/>
      <c r="C148" s="15"/>
    </row>
    <row r="149" spans="2:3">
      <c r="B149" s="15"/>
      <c r="C149" s="15"/>
    </row>
    <row r="150" spans="2:3">
      <c r="B150" s="15"/>
      <c r="C150" s="15"/>
    </row>
    <row r="151" spans="2:3">
      <c r="B151" s="15"/>
      <c r="C151" s="15"/>
    </row>
    <row r="152" spans="2:3">
      <c r="B152" s="15"/>
      <c r="C152" s="15"/>
    </row>
    <row r="153" spans="2:3">
      <c r="B153" s="15"/>
      <c r="C153" s="15"/>
    </row>
    <row r="154" spans="2:3">
      <c r="B154" s="15"/>
      <c r="C154" s="15"/>
    </row>
    <row r="155" spans="2:3">
      <c r="B155" s="15"/>
      <c r="C155" s="15"/>
    </row>
    <row r="156" spans="2:3">
      <c r="B156" s="15"/>
      <c r="C156" s="15"/>
    </row>
    <row r="157" spans="2:3">
      <c r="B157" s="15"/>
      <c r="C157" s="15"/>
    </row>
    <row r="158" spans="2:3">
      <c r="B158" s="15"/>
      <c r="C158" s="15"/>
    </row>
    <row r="159" spans="2:3">
      <c r="B159" s="15"/>
      <c r="C159" s="15"/>
    </row>
    <row r="160" spans="2:3">
      <c r="B160" s="15"/>
      <c r="C160" s="15"/>
    </row>
    <row r="161" spans="2:3">
      <c r="B161" s="15"/>
      <c r="C161" s="15"/>
    </row>
    <row r="162" spans="2:3">
      <c r="B162" s="15"/>
      <c r="C162" s="15"/>
    </row>
    <row r="163" spans="2:3">
      <c r="B163" s="15"/>
      <c r="C163" s="15"/>
    </row>
  </sheetData>
  <pageMargins left="0.699305555555556" right="0.699305555555556" top="0.75" bottom="0.75" header="0.3" footer="0.3"/>
  <pageSetup paperSize="9" scale="8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L11"/>
  <sheetViews>
    <sheetView workbookViewId="0">
      <selection activeCell="A3" sqref="A3"/>
    </sheetView>
  </sheetViews>
  <sheetFormatPr defaultColWidth="9" defaultRowHeight="14.25"/>
  <cols>
    <col min="1" max="1" width="14" customWidth="1"/>
    <col min="2" max="2" width="9.44166666666667" customWidth="1"/>
    <col min="3" max="3" width="12.1083333333333" customWidth="1"/>
    <col min="4" max="4" width="7.44166666666667" customWidth="1"/>
    <col min="5" max="5" width="5.44166666666667" customWidth="1"/>
    <col min="6" max="6" width="9.44166666666667" customWidth="1"/>
    <col min="7" max="7" width="13.8833333333333" customWidth="1"/>
    <col min="8" max="8" width="9.44166666666667" customWidth="1"/>
    <col min="9" max="10" width="14.4416666666667" customWidth="1"/>
    <col min="11" max="11" width="12.5583333333333" customWidth="1"/>
    <col min="12" max="12" width="11.6666666666667" customWidth="1"/>
  </cols>
  <sheetData>
    <row r="1" spans="1:12">
      <c r="A1" t="s">
        <v>69</v>
      </c>
      <c r="B1" t="s">
        <v>70</v>
      </c>
      <c r="C1" s="12" t="s">
        <v>71</v>
      </c>
      <c r="D1" s="12" t="s">
        <v>72</v>
      </c>
      <c r="E1" s="12" t="s">
        <v>73</v>
      </c>
      <c r="F1" t="s">
        <v>74</v>
      </c>
      <c r="G1" t="s">
        <v>75</v>
      </c>
      <c r="H1" t="s">
        <v>76</v>
      </c>
      <c r="I1" s="13" t="s">
        <v>82</v>
      </c>
      <c r="J1" s="13" t="s">
        <v>83</v>
      </c>
      <c r="K1" s="13" t="s">
        <v>84</v>
      </c>
      <c r="L1" s="13" t="s">
        <v>85</v>
      </c>
    </row>
    <row r="2" spans="1:12">
      <c r="A2" t="s">
        <v>94</v>
      </c>
      <c r="B2">
        <v>1</v>
      </c>
      <c r="C2" t="s">
        <v>95</v>
      </c>
      <c r="D2">
        <v>10050</v>
      </c>
      <c r="E2">
        <v>3</v>
      </c>
      <c r="F2">
        <v>2</v>
      </c>
      <c r="G2">
        <v>2</v>
      </c>
      <c r="H2">
        <v>2</v>
      </c>
      <c r="I2" s="13" t="s">
        <v>96</v>
      </c>
      <c r="J2" s="13" t="s">
        <v>97</v>
      </c>
      <c r="K2" s="13" t="s">
        <v>98</v>
      </c>
      <c r="L2" s="13" t="s">
        <v>99</v>
      </c>
    </row>
    <row r="3" spans="1:12">
      <c r="A3" t="s">
        <v>100</v>
      </c>
      <c r="B3">
        <v>1</v>
      </c>
      <c r="C3" t="s">
        <v>94</v>
      </c>
      <c r="D3">
        <v>10050</v>
      </c>
      <c r="E3">
        <v>3</v>
      </c>
      <c r="F3">
        <v>2</v>
      </c>
      <c r="G3">
        <v>2</v>
      </c>
      <c r="H3">
        <v>2</v>
      </c>
      <c r="I3" s="13" t="s">
        <v>96</v>
      </c>
      <c r="J3" s="13" t="s">
        <v>97</v>
      </c>
      <c r="K3" s="13" t="s">
        <v>98</v>
      </c>
      <c r="L3" s="13" t="s">
        <v>99</v>
      </c>
    </row>
    <row r="4" spans="1:4">
      <c r="A4" t="s">
        <v>101</v>
      </c>
      <c r="B4">
        <v>1</v>
      </c>
      <c r="C4" t="s">
        <v>100</v>
      </c>
      <c r="D4">
        <v>10050</v>
      </c>
    </row>
    <row r="5" spans="1:4">
      <c r="A5" t="s">
        <v>102</v>
      </c>
      <c r="B5">
        <v>1</v>
      </c>
      <c r="C5" t="s">
        <v>101</v>
      </c>
      <c r="D5">
        <v>10050</v>
      </c>
    </row>
    <row r="6" spans="1:4">
      <c r="A6" t="s">
        <v>103</v>
      </c>
      <c r="B6">
        <v>1</v>
      </c>
      <c r="C6" t="s">
        <v>102</v>
      </c>
      <c r="D6">
        <v>10050</v>
      </c>
    </row>
    <row r="7" spans="1:12">
      <c r="A7" t="s">
        <v>104</v>
      </c>
      <c r="B7">
        <v>1</v>
      </c>
      <c r="C7" t="s">
        <v>103</v>
      </c>
      <c r="D7">
        <v>10050</v>
      </c>
      <c r="E7">
        <v>3</v>
      </c>
      <c r="F7">
        <v>2</v>
      </c>
      <c r="G7">
        <v>2</v>
      </c>
      <c r="H7">
        <v>2</v>
      </c>
      <c r="I7" s="13" t="s">
        <v>96</v>
      </c>
      <c r="J7" s="13" t="s">
        <v>97</v>
      </c>
      <c r="K7" s="13" t="s">
        <v>98</v>
      </c>
      <c r="L7" s="13" t="s">
        <v>99</v>
      </c>
    </row>
    <row r="8" spans="1:12">
      <c r="A8" t="s">
        <v>105</v>
      </c>
      <c r="B8">
        <v>1</v>
      </c>
      <c r="C8" t="s">
        <v>104</v>
      </c>
      <c r="D8">
        <v>10050</v>
      </c>
      <c r="E8">
        <v>3</v>
      </c>
      <c r="F8">
        <v>2</v>
      </c>
      <c r="G8">
        <v>2</v>
      </c>
      <c r="H8">
        <v>2</v>
      </c>
      <c r="I8" s="13" t="s">
        <v>96</v>
      </c>
      <c r="J8" s="13" t="s">
        <v>97</v>
      </c>
      <c r="K8" s="13" t="s">
        <v>98</v>
      </c>
      <c r="L8" s="13" t="s">
        <v>99</v>
      </c>
    </row>
    <row r="9" spans="1:12">
      <c r="A9" t="s">
        <v>106</v>
      </c>
      <c r="B9">
        <v>1</v>
      </c>
      <c r="C9" t="s">
        <v>105</v>
      </c>
      <c r="D9">
        <v>10050</v>
      </c>
      <c r="E9">
        <v>3</v>
      </c>
      <c r="F9">
        <v>2</v>
      </c>
      <c r="G9">
        <v>2</v>
      </c>
      <c r="H9">
        <v>2</v>
      </c>
      <c r="I9" s="13" t="s">
        <v>96</v>
      </c>
      <c r="J9" s="13" t="s">
        <v>97</v>
      </c>
      <c r="K9" s="13" t="s">
        <v>98</v>
      </c>
      <c r="L9" s="13" t="s">
        <v>99</v>
      </c>
    </row>
    <row r="10" spans="1:12">
      <c r="A10" t="s">
        <v>107</v>
      </c>
      <c r="B10">
        <v>1</v>
      </c>
      <c r="C10" t="s">
        <v>106</v>
      </c>
      <c r="D10">
        <v>10050</v>
      </c>
      <c r="E10">
        <v>3</v>
      </c>
      <c r="F10">
        <v>2</v>
      </c>
      <c r="G10">
        <v>2</v>
      </c>
      <c r="H10">
        <v>2</v>
      </c>
      <c r="I10" s="13" t="s">
        <v>96</v>
      </c>
      <c r="J10" s="13" t="s">
        <v>97</v>
      </c>
      <c r="K10" s="13" t="s">
        <v>98</v>
      </c>
      <c r="L10" s="13" t="s">
        <v>99</v>
      </c>
    </row>
    <row r="11" spans="1:12">
      <c r="A11" t="s">
        <v>108</v>
      </c>
      <c r="B11">
        <v>1</v>
      </c>
      <c r="C11" t="s">
        <v>107</v>
      </c>
      <c r="D11">
        <v>10050</v>
      </c>
      <c r="E11">
        <v>3</v>
      </c>
      <c r="F11">
        <v>2</v>
      </c>
      <c r="G11">
        <v>2</v>
      </c>
      <c r="H11">
        <v>2</v>
      </c>
      <c r="I11" s="13" t="s">
        <v>96</v>
      </c>
      <c r="J11" s="13" t="s">
        <v>97</v>
      </c>
      <c r="K11" s="13" t="s">
        <v>98</v>
      </c>
      <c r="L11" s="13" t="s">
        <v>99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11"/>
  <sheetViews>
    <sheetView workbookViewId="0">
      <selection activeCell="A1" sqref="A1:B1"/>
    </sheetView>
  </sheetViews>
  <sheetFormatPr defaultColWidth="9" defaultRowHeight="14.25" outlineLevelCol="1"/>
  <cols>
    <col min="1" max="1" width="14.775" customWidth="1"/>
    <col min="2" max="2" width="26.2166666666667" customWidth="1"/>
  </cols>
  <sheetData>
    <row r="1" spans="1:2">
      <c r="A1" t="s">
        <v>69</v>
      </c>
      <c r="B1" t="s">
        <v>3</v>
      </c>
    </row>
    <row r="2" spans="1:2">
      <c r="A2" t="s">
        <v>94</v>
      </c>
      <c r="B2" t="s">
        <v>8</v>
      </c>
    </row>
    <row r="3" spans="1:2">
      <c r="A3" t="s">
        <v>100</v>
      </c>
      <c r="B3" t="s">
        <v>8</v>
      </c>
    </row>
    <row r="4" spans="1:2">
      <c r="A4" t="s">
        <v>101</v>
      </c>
      <c r="B4" t="s">
        <v>8</v>
      </c>
    </row>
    <row r="5" spans="1:2">
      <c r="A5" t="s">
        <v>102</v>
      </c>
      <c r="B5" t="s">
        <v>8</v>
      </c>
    </row>
    <row r="6" spans="1:2">
      <c r="A6" t="s">
        <v>103</v>
      </c>
      <c r="B6" t="s">
        <v>8</v>
      </c>
    </row>
    <row r="7" spans="1:2">
      <c r="A7" t="s">
        <v>104</v>
      </c>
      <c r="B7" t="s">
        <v>8</v>
      </c>
    </row>
    <row r="8" spans="1:2">
      <c r="A8" t="s">
        <v>105</v>
      </c>
      <c r="B8" t="s">
        <v>8</v>
      </c>
    </row>
    <row r="9" spans="1:2">
      <c r="A9" t="s">
        <v>106</v>
      </c>
      <c r="B9" t="s">
        <v>8</v>
      </c>
    </row>
    <row r="10" spans="1:2">
      <c r="A10" t="s">
        <v>107</v>
      </c>
      <c r="B10" t="s">
        <v>8</v>
      </c>
    </row>
    <row r="11" spans="1:2">
      <c r="A11" t="s">
        <v>108</v>
      </c>
      <c r="B11" t="s">
        <v>8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21"/>
  <sheetViews>
    <sheetView workbookViewId="0">
      <selection activeCell="B12" sqref="B12"/>
    </sheetView>
  </sheetViews>
  <sheetFormatPr defaultColWidth="9" defaultRowHeight="14.25" outlineLevelCol="1"/>
  <cols>
    <col min="1" max="1" width="14" customWidth="1"/>
    <col min="2" max="2" width="12.4416666666667" customWidth="1"/>
  </cols>
  <sheetData>
    <row r="1" spans="1:2">
      <c r="A1" t="s">
        <v>69</v>
      </c>
      <c r="B1" t="s">
        <v>0</v>
      </c>
    </row>
    <row r="2" spans="1:2">
      <c r="A2" t="s">
        <v>109</v>
      </c>
      <c r="B2" t="s">
        <v>110</v>
      </c>
    </row>
    <row r="3" spans="1:2">
      <c r="A3" t="s">
        <v>111</v>
      </c>
      <c r="B3" t="s">
        <v>110</v>
      </c>
    </row>
    <row r="4" spans="1:2">
      <c r="A4" t="s">
        <v>112</v>
      </c>
      <c r="B4" t="s">
        <v>110</v>
      </c>
    </row>
    <row r="5" spans="1:2">
      <c r="A5" t="s">
        <v>113</v>
      </c>
      <c r="B5" t="s">
        <v>110</v>
      </c>
    </row>
    <row r="6" spans="1:2">
      <c r="A6" t="s">
        <v>114</v>
      </c>
      <c r="B6" t="s">
        <v>110</v>
      </c>
    </row>
    <row r="7" spans="1:2">
      <c r="A7" t="s">
        <v>115</v>
      </c>
      <c r="B7" t="s">
        <v>110</v>
      </c>
    </row>
    <row r="8" spans="1:2">
      <c r="A8" t="s">
        <v>116</v>
      </c>
      <c r="B8" t="s">
        <v>110</v>
      </c>
    </row>
    <row r="9" spans="1:2">
      <c r="A9" t="s">
        <v>117</v>
      </c>
      <c r="B9" t="s">
        <v>110</v>
      </c>
    </row>
    <row r="10" spans="1:2">
      <c r="A10" t="s">
        <v>118</v>
      </c>
      <c r="B10" t="s">
        <v>110</v>
      </c>
    </row>
    <row r="11" spans="1:2">
      <c r="A11" t="s">
        <v>119</v>
      </c>
      <c r="B11" t="s">
        <v>110</v>
      </c>
    </row>
    <row r="12" spans="1:2">
      <c r="A12" t="s">
        <v>120</v>
      </c>
      <c r="B12" t="s">
        <v>110</v>
      </c>
    </row>
    <row r="13" spans="1:2">
      <c r="A13" t="s">
        <v>121</v>
      </c>
      <c r="B13" t="s">
        <v>110</v>
      </c>
    </row>
    <row r="14" spans="1:2">
      <c r="A14" t="s">
        <v>122</v>
      </c>
      <c r="B14" t="s">
        <v>110</v>
      </c>
    </row>
    <row r="15" spans="1:2">
      <c r="A15" t="s">
        <v>123</v>
      </c>
      <c r="B15" t="s">
        <v>110</v>
      </c>
    </row>
    <row r="16" spans="1:2">
      <c r="A16" t="s">
        <v>124</v>
      </c>
      <c r="B16" t="s">
        <v>110</v>
      </c>
    </row>
    <row r="17" spans="1:2">
      <c r="A17" t="s">
        <v>125</v>
      </c>
      <c r="B17" t="s">
        <v>110</v>
      </c>
    </row>
    <row r="18" spans="1:2">
      <c r="A18" t="s">
        <v>126</v>
      </c>
      <c r="B18" t="s">
        <v>110</v>
      </c>
    </row>
    <row r="19" spans="1:2">
      <c r="A19" t="s">
        <v>127</v>
      </c>
      <c r="B19" t="s">
        <v>110</v>
      </c>
    </row>
    <row r="20" spans="1:2">
      <c r="A20" t="s">
        <v>128</v>
      </c>
      <c r="B20" t="s">
        <v>110</v>
      </c>
    </row>
    <row r="21" spans="1:2">
      <c r="A21" t="s">
        <v>129</v>
      </c>
      <c r="B21" t="s">
        <v>110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J118"/>
  <sheetViews>
    <sheetView workbookViewId="0">
      <selection activeCell="B9" sqref="B9"/>
    </sheetView>
  </sheetViews>
  <sheetFormatPr defaultColWidth="9" defaultRowHeight="14.25"/>
  <cols>
    <col min="1" max="1" width="13" style="3" customWidth="1"/>
    <col min="2" max="2" width="24.75" style="3" customWidth="1"/>
    <col min="3" max="3" width="9.44166666666667" style="3" customWidth="1"/>
    <col min="4" max="4" width="10.1083333333333" style="3" customWidth="1"/>
    <col min="5" max="5" width="20" style="3" customWidth="1"/>
    <col min="6" max="6" width="19.8833333333333" style="3" customWidth="1"/>
    <col min="7" max="9" width="10.1083333333333" style="3" customWidth="1"/>
    <col min="10" max="11" width="9" style="3" customWidth="1"/>
    <col min="12" max="16384" width="9" style="3"/>
  </cols>
  <sheetData>
    <row r="1" spans="1:9">
      <c r="A1" s="3" t="s">
        <v>130</v>
      </c>
      <c r="B1" s="2" t="s">
        <v>131</v>
      </c>
      <c r="C1" s="2" t="s">
        <v>132</v>
      </c>
      <c r="D1" s="3" t="s">
        <v>133</v>
      </c>
      <c r="E1" s="2" t="s">
        <v>134</v>
      </c>
      <c r="F1" s="2" t="s">
        <v>135</v>
      </c>
      <c r="G1" s="3" t="s">
        <v>136</v>
      </c>
      <c r="H1" s="3" t="s">
        <v>137</v>
      </c>
      <c r="I1" s="3" t="s">
        <v>138</v>
      </c>
    </row>
    <row r="2" spans="1:6">
      <c r="A2" s="3" t="s">
        <v>139</v>
      </c>
      <c r="B2" t="s">
        <v>140</v>
      </c>
      <c r="C2">
        <v>0</v>
      </c>
      <c r="D2" t="s">
        <v>141</v>
      </c>
      <c r="E2" s="3" t="s">
        <v>142</v>
      </c>
      <c r="F2" s="3" t="s">
        <v>143</v>
      </c>
    </row>
    <row r="3" spans="1:6">
      <c r="A3" s="3" t="s">
        <v>144</v>
      </c>
      <c r="B3" t="s">
        <v>140</v>
      </c>
      <c r="C3">
        <v>0</v>
      </c>
      <c r="D3" t="s">
        <v>141</v>
      </c>
      <c r="E3" s="3" t="s">
        <v>142</v>
      </c>
      <c r="F3" s="3" t="s">
        <v>143</v>
      </c>
    </row>
    <row r="4" spans="1:6">
      <c r="A4" s="3" t="s">
        <v>145</v>
      </c>
      <c r="B4" t="s">
        <v>140</v>
      </c>
      <c r="C4">
        <v>0</v>
      </c>
      <c r="D4" t="s">
        <v>141</v>
      </c>
      <c r="E4" s="3" t="s">
        <v>142</v>
      </c>
      <c r="F4" s="3" t="s">
        <v>143</v>
      </c>
    </row>
    <row r="5" spans="1:6">
      <c r="A5" s="3" t="s">
        <v>146</v>
      </c>
      <c r="B5" t="s">
        <v>140</v>
      </c>
      <c r="C5">
        <v>0</v>
      </c>
      <c r="D5" t="s">
        <v>141</v>
      </c>
      <c r="E5" s="3" t="s">
        <v>142</v>
      </c>
      <c r="F5" s="3" t="s">
        <v>143</v>
      </c>
    </row>
    <row r="6" spans="1:6">
      <c r="A6" s="3" t="s">
        <v>147</v>
      </c>
      <c r="B6" t="s">
        <v>140</v>
      </c>
      <c r="C6">
        <v>0</v>
      </c>
      <c r="D6" t="s">
        <v>141</v>
      </c>
      <c r="E6" s="3" t="s">
        <v>142</v>
      </c>
      <c r="F6" s="3" t="s">
        <v>143</v>
      </c>
    </row>
    <row r="7" spans="1:6">
      <c r="A7" s="3" t="s">
        <v>148</v>
      </c>
      <c r="B7" t="s">
        <v>140</v>
      </c>
      <c r="C7">
        <v>0</v>
      </c>
      <c r="D7" t="s">
        <v>141</v>
      </c>
      <c r="E7" s="3" t="s">
        <v>142</v>
      </c>
      <c r="F7" s="3" t="s">
        <v>143</v>
      </c>
    </row>
    <row r="8" spans="1:6">
      <c r="A8" s="3" t="s">
        <v>149</v>
      </c>
      <c r="B8" t="s">
        <v>140</v>
      </c>
      <c r="C8">
        <v>0</v>
      </c>
      <c r="D8" t="s">
        <v>141</v>
      </c>
      <c r="E8" s="3" t="s">
        <v>142</v>
      </c>
      <c r="F8" s="3" t="s">
        <v>143</v>
      </c>
    </row>
    <row r="9" spans="1:6">
      <c r="A9" s="3" t="s">
        <v>150</v>
      </c>
      <c r="B9" t="s">
        <v>140</v>
      </c>
      <c r="C9">
        <v>0</v>
      </c>
      <c r="D9" t="s">
        <v>141</v>
      </c>
      <c r="E9" s="3" t="s">
        <v>142</v>
      </c>
      <c r="F9" s="3" t="s">
        <v>143</v>
      </c>
    </row>
    <row r="10" spans="1:6">
      <c r="A10" s="3" t="s">
        <v>151</v>
      </c>
      <c r="B10" t="s">
        <v>140</v>
      </c>
      <c r="C10">
        <v>0</v>
      </c>
      <c r="D10" t="s">
        <v>141</v>
      </c>
      <c r="E10" s="3" t="s">
        <v>142</v>
      </c>
      <c r="F10" s="3" t="s">
        <v>143</v>
      </c>
    </row>
    <row r="11" spans="1:6">
      <c r="A11" s="3" t="s">
        <v>152</v>
      </c>
      <c r="B11" t="s">
        <v>140</v>
      </c>
      <c r="C11">
        <v>0</v>
      </c>
      <c r="D11" t="s">
        <v>141</v>
      </c>
      <c r="E11" s="3" t="s">
        <v>142</v>
      </c>
      <c r="F11" s="3" t="s">
        <v>143</v>
      </c>
    </row>
    <row r="12" spans="1:6">
      <c r="A12" s="3" t="s">
        <v>153</v>
      </c>
      <c r="B12" t="s">
        <v>140</v>
      </c>
      <c r="C12">
        <v>0</v>
      </c>
      <c r="D12" t="s">
        <v>141</v>
      </c>
      <c r="E12" s="3" t="s">
        <v>142</v>
      </c>
      <c r="F12" s="3" t="s">
        <v>143</v>
      </c>
    </row>
    <row r="13" spans="1:6">
      <c r="A13" s="3" t="s">
        <v>154</v>
      </c>
      <c r="B13" t="s">
        <v>140</v>
      </c>
      <c r="C13">
        <v>0</v>
      </c>
      <c r="D13" t="s">
        <v>141</v>
      </c>
      <c r="E13" s="3" t="s">
        <v>142</v>
      </c>
      <c r="F13" s="3" t="s">
        <v>143</v>
      </c>
    </row>
    <row r="14" spans="2:6">
      <c r="B14" s="2"/>
      <c r="C14" s="2"/>
      <c r="E14" s="2"/>
      <c r="F14" s="2"/>
    </row>
    <row r="15" spans="1:6">
      <c r="A15" s="3" t="s">
        <v>139</v>
      </c>
      <c r="B15" t="s">
        <v>155</v>
      </c>
      <c r="C15">
        <v>0</v>
      </c>
      <c r="D15" t="s">
        <v>141</v>
      </c>
      <c r="E15" s="3" t="s">
        <v>142</v>
      </c>
      <c r="F15" s="3" t="s">
        <v>143</v>
      </c>
    </row>
    <row r="16" spans="1:6">
      <c r="A16" s="3" t="s">
        <v>144</v>
      </c>
      <c r="B16" t="s">
        <v>155</v>
      </c>
      <c r="C16">
        <v>0</v>
      </c>
      <c r="D16" t="s">
        <v>141</v>
      </c>
      <c r="E16" s="3" t="s">
        <v>142</v>
      </c>
      <c r="F16" s="3" t="s">
        <v>143</v>
      </c>
    </row>
    <row r="17" spans="1:6">
      <c r="A17" s="3" t="s">
        <v>145</v>
      </c>
      <c r="B17" t="s">
        <v>155</v>
      </c>
      <c r="C17">
        <v>0</v>
      </c>
      <c r="D17" t="s">
        <v>141</v>
      </c>
      <c r="E17" s="3" t="s">
        <v>142</v>
      </c>
      <c r="F17" s="3" t="s">
        <v>143</v>
      </c>
    </row>
    <row r="18" spans="1:6">
      <c r="A18" s="3" t="s">
        <v>146</v>
      </c>
      <c r="B18" t="s">
        <v>155</v>
      </c>
      <c r="C18">
        <v>0</v>
      </c>
      <c r="D18" t="s">
        <v>141</v>
      </c>
      <c r="E18" s="3" t="s">
        <v>142</v>
      </c>
      <c r="F18" s="3" t="s">
        <v>143</v>
      </c>
    </row>
    <row r="19" spans="1:6">
      <c r="A19" s="3" t="s">
        <v>147</v>
      </c>
      <c r="B19" t="s">
        <v>155</v>
      </c>
      <c r="C19">
        <v>0</v>
      </c>
      <c r="D19" t="s">
        <v>141</v>
      </c>
      <c r="E19" s="3" t="s">
        <v>142</v>
      </c>
      <c r="F19" s="3" t="s">
        <v>143</v>
      </c>
    </row>
    <row r="20" spans="1:6">
      <c r="A20" s="3" t="s">
        <v>148</v>
      </c>
      <c r="B20" t="s">
        <v>155</v>
      </c>
      <c r="C20">
        <v>0</v>
      </c>
      <c r="D20" t="s">
        <v>141</v>
      </c>
      <c r="E20" s="3" t="s">
        <v>142</v>
      </c>
      <c r="F20" s="3" t="s">
        <v>143</v>
      </c>
    </row>
    <row r="21" spans="1:6">
      <c r="A21" s="3" t="s">
        <v>149</v>
      </c>
      <c r="B21" t="s">
        <v>155</v>
      </c>
      <c r="C21">
        <v>0</v>
      </c>
      <c r="D21" t="s">
        <v>141</v>
      </c>
      <c r="E21" s="3" t="s">
        <v>142</v>
      </c>
      <c r="F21" s="3" t="s">
        <v>143</v>
      </c>
    </row>
    <row r="22" spans="1:6">
      <c r="A22" s="3" t="s">
        <v>150</v>
      </c>
      <c r="B22" t="s">
        <v>155</v>
      </c>
      <c r="C22">
        <v>0</v>
      </c>
      <c r="D22" t="s">
        <v>141</v>
      </c>
      <c r="E22" s="3" t="s">
        <v>142</v>
      </c>
      <c r="F22" s="3" t="s">
        <v>143</v>
      </c>
    </row>
    <row r="23" spans="1:6">
      <c r="A23" s="3" t="s">
        <v>151</v>
      </c>
      <c r="B23" t="s">
        <v>155</v>
      </c>
      <c r="C23">
        <v>0</v>
      </c>
      <c r="D23" t="s">
        <v>141</v>
      </c>
      <c r="E23" s="3" t="s">
        <v>142</v>
      </c>
      <c r="F23" s="3" t="s">
        <v>143</v>
      </c>
    </row>
    <row r="24" spans="1:6">
      <c r="A24" s="3" t="s">
        <v>152</v>
      </c>
      <c r="B24" t="s">
        <v>155</v>
      </c>
      <c r="C24">
        <v>0</v>
      </c>
      <c r="D24" t="s">
        <v>141</v>
      </c>
      <c r="E24" s="3" t="s">
        <v>142</v>
      </c>
      <c r="F24" s="3" t="s">
        <v>143</v>
      </c>
    </row>
    <row r="25" spans="1:6">
      <c r="A25" s="3" t="s">
        <v>153</v>
      </c>
      <c r="B25" t="s">
        <v>155</v>
      </c>
      <c r="C25">
        <v>0</v>
      </c>
      <c r="D25" t="s">
        <v>141</v>
      </c>
      <c r="E25" s="3" t="s">
        <v>142</v>
      </c>
      <c r="F25" s="3" t="s">
        <v>143</v>
      </c>
    </row>
    <row r="26" spans="1:6">
      <c r="A26" s="3" t="s">
        <v>154</v>
      </c>
      <c r="B26" t="s">
        <v>155</v>
      </c>
      <c r="C26">
        <v>0</v>
      </c>
      <c r="D26" t="s">
        <v>141</v>
      </c>
      <c r="E26" s="3" t="s">
        <v>142</v>
      </c>
      <c r="F26" s="3" t="s">
        <v>143</v>
      </c>
    </row>
    <row r="27" spans="2:6">
      <c r="B27" s="2"/>
      <c r="C27" s="2"/>
      <c r="E27" s="2"/>
      <c r="F27" s="2"/>
    </row>
    <row r="28" spans="1:10">
      <c r="A28" s="3" t="s">
        <v>156</v>
      </c>
      <c r="B28" t="s">
        <v>157</v>
      </c>
      <c r="C28">
        <v>0</v>
      </c>
      <c r="D28" t="s">
        <v>141</v>
      </c>
      <c r="E28" s="3" t="s">
        <v>142</v>
      </c>
      <c r="F28" s="3" t="s">
        <v>143</v>
      </c>
      <c r="G28"/>
      <c r="H28"/>
      <c r="I28"/>
      <c r="J28" s="11" t="str">
        <f>"100Mb入方向 最小值"&amp;ROUND(G28,2)&amp;"Mbps、平均值"&amp;ROUND(H28,2)&amp;"Mbps、最大值"&amp;ROUND(I28,2)&amp;"Mbps"</f>
        <v>100Mb入方向 最小值0Mbps、平均值0Mbps、最大值0Mbps</v>
      </c>
    </row>
    <row r="29" spans="1:10">
      <c r="A29" s="3" t="s">
        <v>158</v>
      </c>
      <c r="B29" t="s">
        <v>157</v>
      </c>
      <c r="C29">
        <v>0</v>
      </c>
      <c r="D29" t="s">
        <v>141</v>
      </c>
      <c r="E29" s="3" t="s">
        <v>142</v>
      </c>
      <c r="F29" s="3" t="s">
        <v>143</v>
      </c>
      <c r="G29"/>
      <c r="H29"/>
      <c r="I29"/>
      <c r="J29" s="11" t="str">
        <f>"100Mb出方向 最小值"&amp;ROUND(G29,2)&amp;"Mbps、平均值"&amp;ROUND(H29,2)&amp;"Mbps、最大值"&amp;ROUND(I29,2)&amp;"Mbps"</f>
        <v>100Mb出方向 最小值0Mbps、平均值0Mbps、最大值0Mbps</v>
      </c>
    </row>
    <row r="30" spans="1:10">
      <c r="A30" s="3" t="s">
        <v>159</v>
      </c>
      <c r="B30" t="s">
        <v>157</v>
      </c>
      <c r="C30">
        <v>0</v>
      </c>
      <c r="D30" t="s">
        <v>141</v>
      </c>
      <c r="E30" s="3" t="s">
        <v>142</v>
      </c>
      <c r="F30" s="3" t="s">
        <v>143</v>
      </c>
      <c r="G30"/>
      <c r="H30"/>
      <c r="I30"/>
      <c r="J30" s="11" t="str">
        <f>"600Mb入方向 最小值"&amp;ROUND(G30,2)&amp;"Mbps、平均值"&amp;ROUND(H30,2)&amp;"Mbps、最大值"&amp;ROUND(I30,2)&amp;"Mbps"</f>
        <v>600Mb入方向 最小值0Mbps、平均值0Mbps、最大值0Mbps</v>
      </c>
    </row>
    <row r="31" spans="1:10">
      <c r="A31" s="3" t="s">
        <v>160</v>
      </c>
      <c r="B31" t="s">
        <v>157</v>
      </c>
      <c r="C31">
        <v>0</v>
      </c>
      <c r="D31" t="s">
        <v>141</v>
      </c>
      <c r="E31" s="3" t="s">
        <v>142</v>
      </c>
      <c r="F31" s="3" t="s">
        <v>143</v>
      </c>
      <c r="G31"/>
      <c r="H31"/>
      <c r="I31"/>
      <c r="J31" s="11" t="str">
        <f>"600Mb出方向 最小值"&amp;ROUND(G31,2)&amp;"Mbps、平均值"&amp;ROUND(H31,2)&amp;"Mbps、最大值"&amp;ROUND(I31,2)&amp;"Mbps"</f>
        <v>600Mb出方向 最小值0Mbps、平均值0Mbps、最大值0Mbps</v>
      </c>
    </row>
    <row r="32" customFormat="1" spans="1:10">
      <c r="A32" s="3" t="s">
        <v>161</v>
      </c>
      <c r="B32" t="s">
        <v>157</v>
      </c>
      <c r="C32">
        <v>0</v>
      </c>
      <c r="D32" t="s">
        <v>141</v>
      </c>
      <c r="E32" s="3" t="s">
        <v>142</v>
      </c>
      <c r="F32" s="3" t="s">
        <v>143</v>
      </c>
      <c r="J32" s="11" t="str">
        <f>"1Gb入方向 最小值"&amp;ROUND(G32,2)&amp;"Mbps、平均值"&amp;ROUND(H32,2)&amp;"Mbps、最大值"&amp;ROUND(I32,2)&amp;"Mbps"</f>
        <v>1Gb入方向 最小值0Mbps、平均值0Mbps、最大值0Mbps</v>
      </c>
    </row>
    <row r="33" customFormat="1" spans="1:10">
      <c r="A33" s="3" t="s">
        <v>162</v>
      </c>
      <c r="B33" t="s">
        <v>157</v>
      </c>
      <c r="C33">
        <v>0</v>
      </c>
      <c r="D33" t="s">
        <v>141</v>
      </c>
      <c r="E33" s="3" t="s">
        <v>142</v>
      </c>
      <c r="F33" s="3" t="s">
        <v>143</v>
      </c>
      <c r="J33" s="11" t="str">
        <f>"1Gb出方向 最小值"&amp;ROUND(G33,2)&amp;"Mbps、平均值"&amp;ROUND(H33,2)&amp;"Mbps、最大值"&amp;ROUND(I33,2)&amp;"Mbps"</f>
        <v>1Gb出方向 最小值0Mbps、平均值0Mbps、最大值0Mbps</v>
      </c>
    </row>
    <row r="34" customFormat="1" spans="1:10">
      <c r="A34" t="s">
        <v>163</v>
      </c>
      <c r="B34" t="s">
        <v>157</v>
      </c>
      <c r="C34">
        <v>0</v>
      </c>
      <c r="D34" t="s">
        <v>141</v>
      </c>
      <c r="E34" s="3" t="s">
        <v>142</v>
      </c>
      <c r="F34" s="3" t="s">
        <v>143</v>
      </c>
      <c r="J34" s="11" t="str">
        <f>"vpn用户在线数 最小值"&amp;ROUND(G34,0)&amp;"、平均值"&amp;ROUND(H34,0)&amp;"、最大值"&amp;ROUND(I34,0)</f>
        <v>vpn用户在线数 最小值0、平均值0、最大值0</v>
      </c>
    </row>
    <row r="35" customFormat="1" spans="1:10">
      <c r="A35" t="s">
        <v>164</v>
      </c>
      <c r="B35" t="s">
        <v>157</v>
      </c>
      <c r="C35">
        <v>0</v>
      </c>
      <c r="D35" t="s">
        <v>141</v>
      </c>
      <c r="E35" s="3" t="s">
        <v>142</v>
      </c>
      <c r="F35" s="3" t="s">
        <v>143</v>
      </c>
      <c r="J35" s="11" t="str">
        <f>"vpn CPU 最小值"&amp;ROUND(G35,0)&amp;"%、平均值"&amp;ROUND(H35,0)&amp;"%、最大值"&amp;ROUND(I35,0)&amp;"%"</f>
        <v>vpn CPU 最小值0%、平均值0%、最大值0%</v>
      </c>
    </row>
    <row r="36" customFormat="1" spans="1:10">
      <c r="A36" t="s">
        <v>165</v>
      </c>
      <c r="B36" t="s">
        <v>157</v>
      </c>
      <c r="C36">
        <v>0</v>
      </c>
      <c r="D36" t="s">
        <v>141</v>
      </c>
      <c r="E36" s="3" t="s">
        <v>142</v>
      </c>
      <c r="F36" s="3" t="s">
        <v>143</v>
      </c>
      <c r="J36" s="11" t="str">
        <f>"vpn 内存 最小值"&amp;ROUND(G36,0)&amp;"%、平均值"&amp;ROUND(H36,0)&amp;"%、最大值"&amp;ROUND(I36,0)&amp;"%"</f>
        <v>vpn 内存 最小值0%、平均值0%、最大值0%</v>
      </c>
    </row>
    <row r="37" customFormat="1" spans="1:10">
      <c r="A37" t="s">
        <v>166</v>
      </c>
      <c r="B37" t="s">
        <v>157</v>
      </c>
      <c r="C37">
        <v>0</v>
      </c>
      <c r="D37" t="s">
        <v>141</v>
      </c>
      <c r="E37" s="3" t="s">
        <v>142</v>
      </c>
      <c r="F37" s="3" t="s">
        <v>143</v>
      </c>
      <c r="J37" s="11" t="str">
        <f>"核心防火墙连接数 最小值"&amp;ROUND(G37,0)&amp;"、平均值"&amp;ROUND(H37,0)&amp;"、最大值"&amp;ROUND(I37,0)</f>
        <v>核心防火墙连接数 最小值0、平均值0、最大值0</v>
      </c>
    </row>
    <row r="38" customFormat="1" spans="1:10">
      <c r="A38" t="s">
        <v>167</v>
      </c>
      <c r="B38" t="s">
        <v>157</v>
      </c>
      <c r="C38">
        <v>0</v>
      </c>
      <c r="D38" t="s">
        <v>141</v>
      </c>
      <c r="E38" s="3" t="s">
        <v>142</v>
      </c>
      <c r="F38" s="3" t="s">
        <v>143</v>
      </c>
      <c r="J38" s="11" t="str">
        <f>"核心防火墙CPU 最小值"&amp;ROUND(G38,0)&amp;"%、平均值"&amp;ROUND(H38,0)&amp;"%、最大值"&amp;ROUND(I38,0)&amp;"%"</f>
        <v>核心防火墙CPU 最小值0%、平均值0%、最大值0%</v>
      </c>
    </row>
    <row r="39" customFormat="1" spans="1:10">
      <c r="A39" t="s">
        <v>168</v>
      </c>
      <c r="B39" t="s">
        <v>157</v>
      </c>
      <c r="C39">
        <v>0</v>
      </c>
      <c r="D39" t="s">
        <v>141</v>
      </c>
      <c r="E39" s="3" t="s">
        <v>142</v>
      </c>
      <c r="F39" s="3" t="s">
        <v>143</v>
      </c>
      <c r="J39" s="11" t="str">
        <f>"核心防火墙内存 最小值"&amp;ROUND(G39,0)&amp;"%、平均值"&amp;ROUND(H39,0)&amp;"%、最大值"&amp;ROUND(I39,0)&amp;"%"</f>
        <v>核心防火墙内存 最小值0%、平均值0%、最大值0%</v>
      </c>
    </row>
    <row r="40" customFormat="1" spans="1:10">
      <c r="A40" t="s">
        <v>169</v>
      </c>
      <c r="B40" t="s">
        <v>157</v>
      </c>
      <c r="C40">
        <v>0</v>
      </c>
      <c r="D40" t="s">
        <v>141</v>
      </c>
      <c r="E40" s="3" t="s">
        <v>142</v>
      </c>
      <c r="F40" s="3" t="s">
        <v>143</v>
      </c>
      <c r="J40" s="11" t="str">
        <f>"F5 BIG-IP: CPU0: 使用率,平均5分钟 最小值"&amp;ROUND(G40,0)&amp;"%、平均值"&amp;ROUND(H40,0)&amp;"%、最大值"&amp;ROUND(I40,0)&amp;"%"</f>
        <v>F5 BIG-IP: CPU0: 使用率,平均5分钟 最小值0%、平均值0%、最大值0%</v>
      </c>
    </row>
    <row r="41" customFormat="1" spans="1:10">
      <c r="A41" t="s">
        <v>170</v>
      </c>
      <c r="B41" t="s">
        <v>157</v>
      </c>
      <c r="C41">
        <v>0</v>
      </c>
      <c r="D41" t="s">
        <v>141</v>
      </c>
      <c r="E41" s="3" t="s">
        <v>142</v>
      </c>
      <c r="F41" s="3" t="s">
        <v>143</v>
      </c>
      <c r="J41" s="11" t="str">
        <f>"F5 BIG-IP: CPU1: 使用率,平均5分钟 最小值"&amp;ROUND(G41,0)&amp;"%、平均值"&amp;ROUND(H41,0)&amp;"%、最大值"&amp;ROUND(I41,0)&amp;"%"</f>
        <v>F5 BIG-IP: CPU1: 使用率,平均5分钟 最小值0%、平均值0%、最大值0%</v>
      </c>
    </row>
    <row r="42" customFormat="1" spans="1:10">
      <c r="A42" t="s">
        <v>171</v>
      </c>
      <c r="B42" t="s">
        <v>157</v>
      </c>
      <c r="C42">
        <v>0</v>
      </c>
      <c r="D42" t="s">
        <v>141</v>
      </c>
      <c r="E42" s="3" t="s">
        <v>142</v>
      </c>
      <c r="F42" s="3" t="s">
        <v>143</v>
      </c>
      <c r="J42" s="11" t="str">
        <f>"F5 BIG-IP: 内存0: 使用率,平均5分钟 最小值"&amp;ROUND(G42,0)&amp;"%、平均值"&amp;ROUND(H42,0)&amp;"%、最大值"&amp;ROUND(I42,0)&amp;"%"</f>
        <v>F5 BIG-IP: 内存0: 使用率,平均5分钟 最小值0%、平均值0%、最大值0%</v>
      </c>
    </row>
    <row r="43" customFormat="1" spans="1:6">
      <c r="A43" t="s">
        <v>172</v>
      </c>
      <c r="B43" t="s">
        <v>157</v>
      </c>
      <c r="C43">
        <v>0</v>
      </c>
      <c r="D43" t="s">
        <v>141</v>
      </c>
      <c r="E43" s="3" t="s">
        <v>142</v>
      </c>
      <c r="F43" s="3" t="s">
        <v>143</v>
      </c>
    </row>
    <row r="44" customFormat="1" spans="1:6">
      <c r="A44" t="s">
        <v>173</v>
      </c>
      <c r="B44" t="s">
        <v>157</v>
      </c>
      <c r="C44">
        <v>0</v>
      </c>
      <c r="D44" t="s">
        <v>141</v>
      </c>
      <c r="E44" s="3" t="s">
        <v>142</v>
      </c>
      <c r="F44" s="3" t="s">
        <v>143</v>
      </c>
    </row>
    <row r="45" customFormat="1" spans="1:6">
      <c r="A45" t="s">
        <v>174</v>
      </c>
      <c r="B45" t="s">
        <v>157</v>
      </c>
      <c r="C45">
        <v>0</v>
      </c>
      <c r="D45" t="s">
        <v>141</v>
      </c>
      <c r="E45" s="3" t="s">
        <v>142</v>
      </c>
      <c r="F45" s="3" t="s">
        <v>143</v>
      </c>
    </row>
    <row r="46" spans="1:6">
      <c r="A46" s="3" t="s">
        <v>175</v>
      </c>
      <c r="B46" s="3" t="s">
        <v>157</v>
      </c>
      <c r="C46">
        <v>0</v>
      </c>
      <c r="D46" t="s">
        <v>141</v>
      </c>
      <c r="E46" s="3" t="s">
        <v>142</v>
      </c>
      <c r="F46" s="3" t="s">
        <v>143</v>
      </c>
    </row>
    <row r="47" spans="1:6">
      <c r="A47" s="3" t="s">
        <v>176</v>
      </c>
      <c r="B47" s="3" t="s">
        <v>157</v>
      </c>
      <c r="C47">
        <v>0</v>
      </c>
      <c r="D47" t="s">
        <v>141</v>
      </c>
      <c r="E47" s="3" t="s">
        <v>142</v>
      </c>
      <c r="F47" s="3" t="s">
        <v>143</v>
      </c>
    </row>
    <row r="48" spans="1:6">
      <c r="A48" s="3" t="s">
        <v>177</v>
      </c>
      <c r="B48" s="3" t="s">
        <v>157</v>
      </c>
      <c r="C48">
        <v>0</v>
      </c>
      <c r="D48" t="s">
        <v>141</v>
      </c>
      <c r="E48" s="3" t="s">
        <v>142</v>
      </c>
      <c r="F48" s="3" t="s">
        <v>143</v>
      </c>
    </row>
    <row r="49" spans="1:6">
      <c r="A49" s="3" t="s">
        <v>178</v>
      </c>
      <c r="B49" s="3" t="s">
        <v>157</v>
      </c>
      <c r="C49">
        <v>0</v>
      </c>
      <c r="D49" t="s">
        <v>141</v>
      </c>
      <c r="E49" s="3" t="s">
        <v>142</v>
      </c>
      <c r="F49" s="3" t="s">
        <v>143</v>
      </c>
    </row>
    <row r="50" spans="1:6">
      <c r="A50" s="3" t="s">
        <v>179</v>
      </c>
      <c r="B50" s="3" t="s">
        <v>157</v>
      </c>
      <c r="C50">
        <v>0</v>
      </c>
      <c r="D50" t="s">
        <v>141</v>
      </c>
      <c r="E50" s="3" t="s">
        <v>142</v>
      </c>
      <c r="F50" s="3" t="s">
        <v>143</v>
      </c>
    </row>
    <row r="51" spans="1:6">
      <c r="A51" s="3" t="s">
        <v>180</v>
      </c>
      <c r="B51" s="3" t="s">
        <v>157</v>
      </c>
      <c r="C51">
        <v>0</v>
      </c>
      <c r="D51" t="s">
        <v>141</v>
      </c>
      <c r="E51" s="3" t="s">
        <v>142</v>
      </c>
      <c r="F51" s="3" t="s">
        <v>143</v>
      </c>
    </row>
    <row r="52" spans="1:6">
      <c r="A52" s="3" t="s">
        <v>181</v>
      </c>
      <c r="B52" s="3" t="s">
        <v>157</v>
      </c>
      <c r="C52">
        <v>0</v>
      </c>
      <c r="D52" t="s">
        <v>141</v>
      </c>
      <c r="E52" s="3" t="s">
        <v>142</v>
      </c>
      <c r="F52" s="3" t="s">
        <v>143</v>
      </c>
    </row>
    <row r="53" spans="1:6">
      <c r="A53" s="3" t="s">
        <v>182</v>
      </c>
      <c r="B53" s="3" t="s">
        <v>157</v>
      </c>
      <c r="C53">
        <v>0</v>
      </c>
      <c r="D53" t="s">
        <v>141</v>
      </c>
      <c r="E53" s="3" t="s">
        <v>142</v>
      </c>
      <c r="F53" s="3" t="s">
        <v>143</v>
      </c>
    </row>
    <row r="54" spans="1:6">
      <c r="A54" s="3" t="s">
        <v>183</v>
      </c>
      <c r="B54" s="3" t="s">
        <v>157</v>
      </c>
      <c r="C54">
        <v>0</v>
      </c>
      <c r="D54" t="s">
        <v>141</v>
      </c>
      <c r="E54" s="3" t="s">
        <v>142</v>
      </c>
      <c r="F54" s="3" t="s">
        <v>143</v>
      </c>
    </row>
    <row r="55" spans="1:6">
      <c r="A55" s="3" t="s">
        <v>184</v>
      </c>
      <c r="B55" s="3" t="s">
        <v>157</v>
      </c>
      <c r="C55">
        <v>0</v>
      </c>
      <c r="D55" t="s">
        <v>141</v>
      </c>
      <c r="E55" s="3" t="s">
        <v>142</v>
      </c>
      <c r="F55" s="3" t="s">
        <v>143</v>
      </c>
    </row>
    <row r="56" spans="1:6">
      <c r="A56" s="3" t="s">
        <v>185</v>
      </c>
      <c r="B56" s="3" t="s">
        <v>157</v>
      </c>
      <c r="C56">
        <v>0</v>
      </c>
      <c r="D56" t="s">
        <v>141</v>
      </c>
      <c r="E56" s="3" t="s">
        <v>142</v>
      </c>
      <c r="F56" s="3" t="s">
        <v>143</v>
      </c>
    </row>
    <row r="57" spans="1:6">
      <c r="A57" s="3" t="s">
        <v>186</v>
      </c>
      <c r="B57" s="3" t="s">
        <v>157</v>
      </c>
      <c r="C57">
        <v>0</v>
      </c>
      <c r="D57" t="s">
        <v>141</v>
      </c>
      <c r="E57" s="3" t="s">
        <v>142</v>
      </c>
      <c r="F57" s="3" t="s">
        <v>143</v>
      </c>
    </row>
    <row r="58" spans="1:6">
      <c r="A58" s="3" t="s">
        <v>187</v>
      </c>
      <c r="B58" s="3" t="s">
        <v>157</v>
      </c>
      <c r="C58">
        <v>0</v>
      </c>
      <c r="D58" t="s">
        <v>141</v>
      </c>
      <c r="E58" s="3" t="s">
        <v>142</v>
      </c>
      <c r="F58" s="3" t="s">
        <v>143</v>
      </c>
    </row>
    <row r="59" spans="1:6">
      <c r="A59" s="3" t="s">
        <v>188</v>
      </c>
      <c r="B59" s="3" t="s">
        <v>157</v>
      </c>
      <c r="C59">
        <v>0</v>
      </c>
      <c r="D59" t="s">
        <v>141</v>
      </c>
      <c r="E59" s="3" t="s">
        <v>142</v>
      </c>
      <c r="F59" s="3" t="s">
        <v>143</v>
      </c>
    </row>
    <row r="60" spans="1:6">
      <c r="A60" s="3" t="s">
        <v>189</v>
      </c>
      <c r="B60" s="3" t="s">
        <v>157</v>
      </c>
      <c r="C60">
        <v>0</v>
      </c>
      <c r="D60" t="s">
        <v>141</v>
      </c>
      <c r="E60" s="3" t="s">
        <v>142</v>
      </c>
      <c r="F60" s="3" t="s">
        <v>143</v>
      </c>
    </row>
    <row r="61" spans="1:6">
      <c r="A61" s="3" t="s">
        <v>190</v>
      </c>
      <c r="B61" s="3" t="s">
        <v>157</v>
      </c>
      <c r="C61">
        <v>0</v>
      </c>
      <c r="D61" t="s">
        <v>141</v>
      </c>
      <c r="E61" s="3" t="s">
        <v>142</v>
      </c>
      <c r="F61" s="3" t="s">
        <v>143</v>
      </c>
    </row>
    <row r="62" spans="1:6">
      <c r="A62" s="3" t="s">
        <v>191</v>
      </c>
      <c r="B62" s="3" t="s">
        <v>157</v>
      </c>
      <c r="C62">
        <v>0</v>
      </c>
      <c r="D62" t="s">
        <v>141</v>
      </c>
      <c r="E62" s="3" t="s">
        <v>142</v>
      </c>
      <c r="F62" s="3" t="s">
        <v>143</v>
      </c>
    </row>
    <row r="63" spans="1:6">
      <c r="A63" s="3" t="s">
        <v>192</v>
      </c>
      <c r="B63" s="3" t="s">
        <v>157</v>
      </c>
      <c r="C63">
        <v>0</v>
      </c>
      <c r="D63" t="s">
        <v>141</v>
      </c>
      <c r="E63" s="3" t="s">
        <v>142</v>
      </c>
      <c r="F63" s="3" t="s">
        <v>143</v>
      </c>
    </row>
    <row r="64" spans="1:6">
      <c r="A64" s="3" t="s">
        <v>193</v>
      </c>
      <c r="B64" s="3" t="s">
        <v>157</v>
      </c>
      <c r="C64">
        <v>0</v>
      </c>
      <c r="D64" t="s">
        <v>141</v>
      </c>
      <c r="E64" s="3" t="s">
        <v>142</v>
      </c>
      <c r="F64" s="3" t="s">
        <v>143</v>
      </c>
    </row>
    <row r="65" spans="1:6">
      <c r="A65" s="3" t="s">
        <v>194</v>
      </c>
      <c r="B65" s="3" t="s">
        <v>157</v>
      </c>
      <c r="C65">
        <v>0</v>
      </c>
      <c r="D65" t="s">
        <v>141</v>
      </c>
      <c r="E65" s="3" t="s">
        <v>142</v>
      </c>
      <c r="F65" s="3" t="s">
        <v>143</v>
      </c>
    </row>
    <row r="66" spans="1:6">
      <c r="A66" s="3" t="s">
        <v>195</v>
      </c>
      <c r="B66" s="3" t="s">
        <v>157</v>
      </c>
      <c r="C66">
        <v>0</v>
      </c>
      <c r="D66" t="s">
        <v>141</v>
      </c>
      <c r="E66" s="3" t="s">
        <v>142</v>
      </c>
      <c r="F66" s="3" t="s">
        <v>143</v>
      </c>
    </row>
    <row r="67" spans="1:6">
      <c r="A67" s="3" t="s">
        <v>196</v>
      </c>
      <c r="B67" s="3" t="s">
        <v>157</v>
      </c>
      <c r="C67">
        <v>0</v>
      </c>
      <c r="D67" t="s">
        <v>141</v>
      </c>
      <c r="E67" s="3" t="s">
        <v>142</v>
      </c>
      <c r="F67" s="3" t="s">
        <v>143</v>
      </c>
    </row>
    <row r="68" spans="1:6">
      <c r="A68" s="3" t="s">
        <v>197</v>
      </c>
      <c r="B68" s="3" t="s">
        <v>157</v>
      </c>
      <c r="C68">
        <v>0</v>
      </c>
      <c r="D68" t="s">
        <v>141</v>
      </c>
      <c r="E68" s="3" t="s">
        <v>142</v>
      </c>
      <c r="F68" s="3" t="s">
        <v>143</v>
      </c>
    </row>
    <row r="69" spans="1:6">
      <c r="A69" s="3" t="s">
        <v>198</v>
      </c>
      <c r="B69" s="3" t="s">
        <v>157</v>
      </c>
      <c r="C69">
        <v>0</v>
      </c>
      <c r="D69" t="s">
        <v>141</v>
      </c>
      <c r="E69" s="3" t="s">
        <v>142</v>
      </c>
      <c r="F69" s="3" t="s">
        <v>143</v>
      </c>
    </row>
    <row r="70" spans="1:6">
      <c r="A70" s="3" t="s">
        <v>199</v>
      </c>
      <c r="B70" s="3" t="s">
        <v>157</v>
      </c>
      <c r="C70">
        <v>0</v>
      </c>
      <c r="D70" t="s">
        <v>141</v>
      </c>
      <c r="E70" s="3" t="s">
        <v>142</v>
      </c>
      <c r="F70" s="3" t="s">
        <v>143</v>
      </c>
    </row>
    <row r="71" spans="1:6">
      <c r="A71" s="3" t="s">
        <v>200</v>
      </c>
      <c r="B71" s="3" t="s">
        <v>157</v>
      </c>
      <c r="C71">
        <v>0</v>
      </c>
      <c r="D71" t="s">
        <v>141</v>
      </c>
      <c r="E71" s="3" t="s">
        <v>142</v>
      </c>
      <c r="F71" s="3" t="s">
        <v>143</v>
      </c>
    </row>
    <row r="72" spans="1:6">
      <c r="A72" s="3" t="s">
        <v>201</v>
      </c>
      <c r="B72" s="3" t="s">
        <v>157</v>
      </c>
      <c r="C72">
        <v>0</v>
      </c>
      <c r="D72" t="s">
        <v>141</v>
      </c>
      <c r="E72" s="3" t="s">
        <v>142</v>
      </c>
      <c r="F72" s="3" t="s">
        <v>143</v>
      </c>
    </row>
    <row r="73" spans="1:6">
      <c r="A73" s="3" t="s">
        <v>202</v>
      </c>
      <c r="B73" s="3" t="s">
        <v>157</v>
      </c>
      <c r="C73">
        <v>0</v>
      </c>
      <c r="D73" t="s">
        <v>141</v>
      </c>
      <c r="E73" s="3" t="s">
        <v>142</v>
      </c>
      <c r="F73" s="3" t="s">
        <v>143</v>
      </c>
    </row>
    <row r="74" spans="1:6">
      <c r="A74" s="3" t="s">
        <v>203</v>
      </c>
      <c r="B74" s="3" t="s">
        <v>157</v>
      </c>
      <c r="C74">
        <v>0</v>
      </c>
      <c r="D74" t="s">
        <v>141</v>
      </c>
      <c r="E74" s="3" t="s">
        <v>142</v>
      </c>
      <c r="F74" s="3" t="s">
        <v>143</v>
      </c>
    </row>
    <row r="75" spans="1:6">
      <c r="A75" s="3" t="s">
        <v>204</v>
      </c>
      <c r="B75" s="3" t="s">
        <v>157</v>
      </c>
      <c r="C75">
        <v>0</v>
      </c>
      <c r="D75" t="s">
        <v>141</v>
      </c>
      <c r="E75" s="3" t="s">
        <v>142</v>
      </c>
      <c r="F75" s="3" t="s">
        <v>143</v>
      </c>
    </row>
    <row r="76" spans="1:6">
      <c r="A76" s="3" t="s">
        <v>205</v>
      </c>
      <c r="B76" s="3" t="s">
        <v>157</v>
      </c>
      <c r="C76">
        <v>0</v>
      </c>
      <c r="D76" t="s">
        <v>141</v>
      </c>
      <c r="E76" s="3" t="s">
        <v>142</v>
      </c>
      <c r="F76" s="3" t="s">
        <v>143</v>
      </c>
    </row>
    <row r="77" spans="1:6">
      <c r="A77" s="3" t="s">
        <v>206</v>
      </c>
      <c r="B77" s="3" t="s">
        <v>157</v>
      </c>
      <c r="C77">
        <v>0</v>
      </c>
      <c r="D77" t="s">
        <v>141</v>
      </c>
      <c r="E77" s="3" t="s">
        <v>142</v>
      </c>
      <c r="F77" s="3" t="s">
        <v>143</v>
      </c>
    </row>
    <row r="78" spans="1:6">
      <c r="A78" s="3" t="s">
        <v>207</v>
      </c>
      <c r="B78" s="3" t="s">
        <v>157</v>
      </c>
      <c r="C78">
        <v>0</v>
      </c>
      <c r="D78" t="s">
        <v>141</v>
      </c>
      <c r="E78" s="3" t="s">
        <v>142</v>
      </c>
      <c r="F78" s="3" t="s">
        <v>143</v>
      </c>
    </row>
    <row r="79" spans="1:6">
      <c r="A79" s="3" t="s">
        <v>208</v>
      </c>
      <c r="B79" s="3" t="s">
        <v>157</v>
      </c>
      <c r="C79">
        <v>0</v>
      </c>
      <c r="D79" t="s">
        <v>141</v>
      </c>
      <c r="E79" s="3" t="s">
        <v>142</v>
      </c>
      <c r="F79" s="3" t="s">
        <v>143</v>
      </c>
    </row>
    <row r="80" spans="1:6">
      <c r="A80" s="3" t="s">
        <v>209</v>
      </c>
      <c r="B80" s="3" t="s">
        <v>157</v>
      </c>
      <c r="C80">
        <v>0</v>
      </c>
      <c r="D80" t="s">
        <v>141</v>
      </c>
      <c r="E80" s="3" t="s">
        <v>142</v>
      </c>
      <c r="F80" s="3" t="s">
        <v>143</v>
      </c>
    </row>
    <row r="81" spans="1:6">
      <c r="A81" s="3" t="s">
        <v>210</v>
      </c>
      <c r="B81" s="3" t="s">
        <v>157</v>
      </c>
      <c r="C81">
        <v>0</v>
      </c>
      <c r="D81" t="s">
        <v>141</v>
      </c>
      <c r="E81" s="3" t="s">
        <v>142</v>
      </c>
      <c r="F81" s="3" t="s">
        <v>143</v>
      </c>
    </row>
    <row r="82" spans="1:6">
      <c r="A82" s="3" t="s">
        <v>211</v>
      </c>
      <c r="B82" s="3" t="s">
        <v>157</v>
      </c>
      <c r="C82">
        <v>0</v>
      </c>
      <c r="D82" t="s">
        <v>141</v>
      </c>
      <c r="E82" s="3" t="s">
        <v>142</v>
      </c>
      <c r="F82" s="3" t="s">
        <v>143</v>
      </c>
    </row>
    <row r="83" spans="1:6">
      <c r="A83" s="3" t="s">
        <v>212</v>
      </c>
      <c r="B83" s="3" t="s">
        <v>157</v>
      </c>
      <c r="C83">
        <v>0</v>
      </c>
      <c r="D83" t="s">
        <v>141</v>
      </c>
      <c r="E83" s="3" t="s">
        <v>142</v>
      </c>
      <c r="F83" s="3" t="s">
        <v>143</v>
      </c>
    </row>
    <row r="84" spans="1:6">
      <c r="A84" s="3" t="s">
        <v>213</v>
      </c>
      <c r="B84" s="3" t="s">
        <v>157</v>
      </c>
      <c r="C84">
        <v>0</v>
      </c>
      <c r="D84" t="s">
        <v>141</v>
      </c>
      <c r="E84" s="3" t="s">
        <v>142</v>
      </c>
      <c r="F84" s="3" t="s">
        <v>143</v>
      </c>
    </row>
    <row r="85" spans="1:6">
      <c r="A85" s="3" t="s">
        <v>214</v>
      </c>
      <c r="B85" s="3" t="s">
        <v>157</v>
      </c>
      <c r="C85">
        <v>0</v>
      </c>
      <c r="D85" t="s">
        <v>141</v>
      </c>
      <c r="E85" s="3" t="s">
        <v>142</v>
      </c>
      <c r="F85" s="3" t="s">
        <v>143</v>
      </c>
    </row>
    <row r="86" spans="1:6">
      <c r="A86" s="3" t="s">
        <v>215</v>
      </c>
      <c r="B86" s="3" t="s">
        <v>157</v>
      </c>
      <c r="C86">
        <v>0</v>
      </c>
      <c r="D86" t="s">
        <v>141</v>
      </c>
      <c r="E86" s="3" t="s">
        <v>142</v>
      </c>
      <c r="F86" s="3" t="s">
        <v>143</v>
      </c>
    </row>
    <row r="87" spans="1:6">
      <c r="A87" s="3" t="s">
        <v>216</v>
      </c>
      <c r="B87" s="3" t="s">
        <v>157</v>
      </c>
      <c r="C87">
        <v>0</v>
      </c>
      <c r="D87" t="s">
        <v>141</v>
      </c>
      <c r="E87" s="3" t="s">
        <v>142</v>
      </c>
      <c r="F87" s="3" t="s">
        <v>143</v>
      </c>
    </row>
    <row r="88" spans="1:6">
      <c r="A88" s="3" t="s">
        <v>217</v>
      </c>
      <c r="B88" s="3" t="s">
        <v>157</v>
      </c>
      <c r="C88">
        <v>0</v>
      </c>
      <c r="D88" t="s">
        <v>141</v>
      </c>
      <c r="E88" s="3" t="s">
        <v>142</v>
      </c>
      <c r="F88" s="3" t="s">
        <v>143</v>
      </c>
    </row>
    <row r="89" spans="1:6">
      <c r="A89" s="3" t="s">
        <v>218</v>
      </c>
      <c r="B89" s="3" t="s">
        <v>157</v>
      </c>
      <c r="C89">
        <v>0</v>
      </c>
      <c r="D89" t="s">
        <v>141</v>
      </c>
      <c r="E89" s="3" t="s">
        <v>142</v>
      </c>
      <c r="F89" s="3" t="s">
        <v>143</v>
      </c>
    </row>
    <row r="90" spans="1:6">
      <c r="A90" s="3" t="s">
        <v>219</v>
      </c>
      <c r="B90" s="3" t="s">
        <v>157</v>
      </c>
      <c r="C90">
        <v>0</v>
      </c>
      <c r="D90" t="s">
        <v>141</v>
      </c>
      <c r="E90" s="3" t="s">
        <v>142</v>
      </c>
      <c r="F90" s="3" t="s">
        <v>143</v>
      </c>
    </row>
    <row r="91" spans="1:6">
      <c r="A91" s="3" t="s">
        <v>220</v>
      </c>
      <c r="B91" s="3" t="s">
        <v>157</v>
      </c>
      <c r="C91">
        <v>0</v>
      </c>
      <c r="D91" t="s">
        <v>141</v>
      </c>
      <c r="E91" s="3" t="s">
        <v>142</v>
      </c>
      <c r="F91" s="3" t="s">
        <v>143</v>
      </c>
    </row>
    <row r="92" spans="1:6">
      <c r="A92" s="3" t="s">
        <v>221</v>
      </c>
      <c r="B92" s="3" t="s">
        <v>157</v>
      </c>
      <c r="C92">
        <v>0</v>
      </c>
      <c r="D92" t="s">
        <v>141</v>
      </c>
      <c r="E92" s="3" t="s">
        <v>142</v>
      </c>
      <c r="F92" s="3" t="s">
        <v>143</v>
      </c>
    </row>
    <row r="93" spans="1:6">
      <c r="A93" s="3" t="s">
        <v>222</v>
      </c>
      <c r="B93" s="3" t="s">
        <v>157</v>
      </c>
      <c r="C93">
        <v>0</v>
      </c>
      <c r="D93" t="s">
        <v>141</v>
      </c>
      <c r="E93" s="3" t="s">
        <v>142</v>
      </c>
      <c r="F93" s="3" t="s">
        <v>143</v>
      </c>
    </row>
    <row r="94" spans="1:6">
      <c r="A94" s="3" t="s">
        <v>223</v>
      </c>
      <c r="B94" s="3" t="s">
        <v>157</v>
      </c>
      <c r="C94">
        <v>0</v>
      </c>
      <c r="D94" t="s">
        <v>141</v>
      </c>
      <c r="E94" s="3" t="s">
        <v>142</v>
      </c>
      <c r="F94" s="3" t="s">
        <v>143</v>
      </c>
    </row>
    <row r="95" spans="1:6">
      <c r="A95" s="3" t="s">
        <v>224</v>
      </c>
      <c r="B95" s="3" t="s">
        <v>157</v>
      </c>
      <c r="C95">
        <v>0</v>
      </c>
      <c r="D95" t="s">
        <v>141</v>
      </c>
      <c r="E95" s="3" t="s">
        <v>142</v>
      </c>
      <c r="F95" s="3" t="s">
        <v>143</v>
      </c>
    </row>
    <row r="96" spans="1:6">
      <c r="A96" s="3" t="s">
        <v>225</v>
      </c>
      <c r="B96" s="3" t="s">
        <v>157</v>
      </c>
      <c r="C96">
        <v>0</v>
      </c>
      <c r="D96" t="s">
        <v>141</v>
      </c>
      <c r="E96" s="3" t="s">
        <v>142</v>
      </c>
      <c r="F96" s="3" t="s">
        <v>143</v>
      </c>
    </row>
    <row r="97" spans="1:6">
      <c r="A97" s="3" t="s">
        <v>226</v>
      </c>
      <c r="B97" s="3" t="s">
        <v>157</v>
      </c>
      <c r="C97">
        <v>0</v>
      </c>
      <c r="D97" t="s">
        <v>141</v>
      </c>
      <c r="E97" s="3" t="s">
        <v>142</v>
      </c>
      <c r="F97" s="3" t="s">
        <v>143</v>
      </c>
    </row>
    <row r="98" spans="1:6">
      <c r="A98" s="3" t="s">
        <v>227</v>
      </c>
      <c r="B98" s="3" t="s">
        <v>157</v>
      </c>
      <c r="C98">
        <v>0</v>
      </c>
      <c r="D98" t="s">
        <v>141</v>
      </c>
      <c r="E98" s="3" t="s">
        <v>142</v>
      </c>
      <c r="F98" s="3" t="s">
        <v>143</v>
      </c>
    </row>
    <row r="99" spans="1:6">
      <c r="A99" s="3" t="s">
        <v>228</v>
      </c>
      <c r="B99" s="3" t="s">
        <v>157</v>
      </c>
      <c r="C99">
        <v>0</v>
      </c>
      <c r="D99" t="s">
        <v>141</v>
      </c>
      <c r="E99" s="3" t="s">
        <v>142</v>
      </c>
      <c r="F99" s="3" t="s">
        <v>143</v>
      </c>
    </row>
    <row r="100" spans="1:6">
      <c r="A100" s="3" t="s">
        <v>229</v>
      </c>
      <c r="B100" s="3" t="s">
        <v>157</v>
      </c>
      <c r="C100">
        <v>0</v>
      </c>
      <c r="D100" t="s">
        <v>141</v>
      </c>
      <c r="E100" s="3" t="s">
        <v>142</v>
      </c>
      <c r="F100" s="3" t="s">
        <v>143</v>
      </c>
    </row>
    <row r="101" spans="1:6">
      <c r="A101" s="3" t="s">
        <v>230</v>
      </c>
      <c r="B101" s="3" t="s">
        <v>157</v>
      </c>
      <c r="C101">
        <v>0</v>
      </c>
      <c r="D101" t="s">
        <v>141</v>
      </c>
      <c r="E101" s="3" t="s">
        <v>142</v>
      </c>
      <c r="F101" s="3" t="s">
        <v>143</v>
      </c>
    </row>
    <row r="102" spans="1:6">
      <c r="A102" s="3" t="s">
        <v>231</v>
      </c>
      <c r="B102" s="3" t="s">
        <v>157</v>
      </c>
      <c r="C102">
        <v>0</v>
      </c>
      <c r="D102" t="s">
        <v>141</v>
      </c>
      <c r="E102" s="3" t="s">
        <v>142</v>
      </c>
      <c r="F102" s="3" t="s">
        <v>143</v>
      </c>
    </row>
    <row r="103" spans="1:6">
      <c r="A103" s="3" t="s">
        <v>232</v>
      </c>
      <c r="B103" s="3" t="s">
        <v>157</v>
      </c>
      <c r="C103">
        <v>0</v>
      </c>
      <c r="D103" t="s">
        <v>141</v>
      </c>
      <c r="E103" s="3" t="s">
        <v>142</v>
      </c>
      <c r="F103" s="3" t="s">
        <v>143</v>
      </c>
    </row>
    <row r="104" spans="1:6">
      <c r="A104" s="3" t="s">
        <v>233</v>
      </c>
      <c r="B104" s="3" t="s">
        <v>157</v>
      </c>
      <c r="C104">
        <v>0</v>
      </c>
      <c r="D104" t="s">
        <v>141</v>
      </c>
      <c r="E104" s="3" t="s">
        <v>142</v>
      </c>
      <c r="F104" s="3" t="s">
        <v>143</v>
      </c>
    </row>
    <row r="105" spans="1:6">
      <c r="A105" s="3" t="s">
        <v>145</v>
      </c>
      <c r="B105" s="3" t="s">
        <v>157</v>
      </c>
      <c r="C105">
        <v>0</v>
      </c>
      <c r="D105" t="s">
        <v>141</v>
      </c>
      <c r="E105" s="3" t="s">
        <v>142</v>
      </c>
      <c r="F105" s="3" t="s">
        <v>143</v>
      </c>
    </row>
    <row r="106" spans="1:6">
      <c r="A106" s="3" t="s">
        <v>147</v>
      </c>
      <c r="B106" s="3" t="s">
        <v>157</v>
      </c>
      <c r="C106">
        <v>0</v>
      </c>
      <c r="D106" t="s">
        <v>141</v>
      </c>
      <c r="E106" s="3" t="s">
        <v>142</v>
      </c>
      <c r="F106" s="3" t="s">
        <v>143</v>
      </c>
    </row>
    <row r="107" spans="1:6">
      <c r="A107" s="3" t="s">
        <v>144</v>
      </c>
      <c r="B107" s="3" t="s">
        <v>157</v>
      </c>
      <c r="C107">
        <v>0</v>
      </c>
      <c r="D107" t="s">
        <v>141</v>
      </c>
      <c r="E107" s="3" t="s">
        <v>142</v>
      </c>
      <c r="F107" s="3" t="s">
        <v>143</v>
      </c>
    </row>
    <row r="108" spans="1:6">
      <c r="A108" s="3" t="s">
        <v>146</v>
      </c>
      <c r="B108" s="3" t="s">
        <v>157</v>
      </c>
      <c r="C108">
        <v>0</v>
      </c>
      <c r="D108" t="s">
        <v>141</v>
      </c>
      <c r="E108" s="3" t="s">
        <v>142</v>
      </c>
      <c r="F108" s="3" t="s">
        <v>143</v>
      </c>
    </row>
    <row r="109" spans="1:6">
      <c r="A109" s="3" t="s">
        <v>139</v>
      </c>
      <c r="B109" s="3" t="s">
        <v>157</v>
      </c>
      <c r="C109">
        <v>0</v>
      </c>
      <c r="D109" t="s">
        <v>141</v>
      </c>
      <c r="E109" s="3" t="s">
        <v>142</v>
      </c>
      <c r="F109" s="3" t="s">
        <v>143</v>
      </c>
    </row>
    <row r="110" spans="1:6">
      <c r="A110" s="3" t="s">
        <v>150</v>
      </c>
      <c r="B110" s="3" t="s">
        <v>157</v>
      </c>
      <c r="C110">
        <v>0</v>
      </c>
      <c r="D110" t="s">
        <v>141</v>
      </c>
      <c r="E110" s="3" t="s">
        <v>142</v>
      </c>
      <c r="F110" s="3" t="s">
        <v>143</v>
      </c>
    </row>
    <row r="111" spans="1:6">
      <c r="A111" s="3" t="s">
        <v>151</v>
      </c>
      <c r="B111" s="3" t="s">
        <v>157</v>
      </c>
      <c r="C111">
        <v>0</v>
      </c>
      <c r="D111" t="s">
        <v>141</v>
      </c>
      <c r="E111" s="3" t="s">
        <v>142</v>
      </c>
      <c r="F111" s="3" t="s">
        <v>143</v>
      </c>
    </row>
    <row r="112" spans="1:6">
      <c r="A112" s="3" t="s">
        <v>149</v>
      </c>
      <c r="B112" s="3" t="s">
        <v>157</v>
      </c>
      <c r="C112">
        <v>0</v>
      </c>
      <c r="D112" t="s">
        <v>141</v>
      </c>
      <c r="E112" s="3" t="s">
        <v>142</v>
      </c>
      <c r="F112" s="3" t="s">
        <v>143</v>
      </c>
    </row>
    <row r="113" spans="1:6">
      <c r="A113" s="3" t="s">
        <v>152</v>
      </c>
      <c r="B113" s="3" t="s">
        <v>157</v>
      </c>
      <c r="C113">
        <v>0</v>
      </c>
      <c r="D113" t="s">
        <v>141</v>
      </c>
      <c r="E113" s="3" t="s">
        <v>142</v>
      </c>
      <c r="F113" s="3" t="s">
        <v>143</v>
      </c>
    </row>
    <row r="114" spans="1:6">
      <c r="A114" s="3" t="s">
        <v>153</v>
      </c>
      <c r="B114" s="3" t="s">
        <v>157</v>
      </c>
      <c r="C114">
        <v>0</v>
      </c>
      <c r="D114" t="s">
        <v>141</v>
      </c>
      <c r="E114" s="3" t="s">
        <v>142</v>
      </c>
      <c r="F114" s="3" t="s">
        <v>143</v>
      </c>
    </row>
    <row r="115" spans="1:6">
      <c r="A115" s="3" t="s">
        <v>154</v>
      </c>
      <c r="B115" s="3" t="s">
        <v>157</v>
      </c>
      <c r="C115">
        <v>0</v>
      </c>
      <c r="D115" t="s">
        <v>141</v>
      </c>
      <c r="E115" s="3" t="s">
        <v>142</v>
      </c>
      <c r="F115" s="3" t="s">
        <v>143</v>
      </c>
    </row>
    <row r="116" spans="1:6">
      <c r="A116" s="3" t="s">
        <v>234</v>
      </c>
      <c r="B116" s="3" t="s">
        <v>157</v>
      </c>
      <c r="C116">
        <v>0</v>
      </c>
      <c r="D116" t="s">
        <v>141</v>
      </c>
      <c r="E116" s="3" t="s">
        <v>142</v>
      </c>
      <c r="F116" s="3" t="s">
        <v>143</v>
      </c>
    </row>
    <row r="117" spans="1:6">
      <c r="A117" s="3" t="s">
        <v>148</v>
      </c>
      <c r="B117" s="3" t="s">
        <v>157</v>
      </c>
      <c r="C117">
        <v>0</v>
      </c>
      <c r="D117" t="s">
        <v>141</v>
      </c>
      <c r="E117" s="3" t="s">
        <v>142</v>
      </c>
      <c r="F117" s="3" t="s">
        <v>143</v>
      </c>
    </row>
    <row r="118" spans="5:6">
      <c r="E118" s="3" t="s">
        <v>142</v>
      </c>
      <c r="F118" s="3" t="s">
        <v>143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H92"/>
  <sheetViews>
    <sheetView tabSelected="1" workbookViewId="0">
      <selection activeCell="F5" sqref="F5"/>
    </sheetView>
  </sheetViews>
  <sheetFormatPr defaultColWidth="9" defaultRowHeight="14.25" outlineLevelCol="7"/>
  <cols>
    <col min="1" max="1" width="11.6333333333333" style="3" customWidth="1"/>
    <col min="2" max="2" width="24.75" style="3" customWidth="1"/>
    <col min="3" max="3" width="9.44166666666667" style="3" customWidth="1"/>
    <col min="4" max="4" width="10.1083333333333" style="3" customWidth="1"/>
    <col min="5" max="5" width="20" style="3" customWidth="1"/>
    <col min="6" max="6" width="19.8833333333333" style="3" customWidth="1"/>
    <col min="7" max="8" width="10.1083333333333" style="3" customWidth="1"/>
    <col min="9" max="16384" width="9" style="3"/>
  </cols>
  <sheetData>
    <row r="1" spans="1:8">
      <c r="A1" s="3" t="s">
        <v>130</v>
      </c>
      <c r="B1" s="2" t="s">
        <v>131</v>
      </c>
      <c r="C1" s="3" t="s">
        <v>132</v>
      </c>
      <c r="D1" s="3" t="s">
        <v>133</v>
      </c>
      <c r="E1" s="2" t="s">
        <v>134</v>
      </c>
      <c r="F1" s="2" t="s">
        <v>135</v>
      </c>
      <c r="G1" s="4" t="s">
        <v>235</v>
      </c>
      <c r="H1" s="4" t="s">
        <v>236</v>
      </c>
    </row>
    <row r="2" spans="1:6">
      <c r="A2" t="s">
        <v>156</v>
      </c>
      <c r="B2" t="s">
        <v>157</v>
      </c>
      <c r="C2" s="3" t="s">
        <v>237</v>
      </c>
      <c r="D2"/>
      <c r="E2" s="3" t="s">
        <v>238</v>
      </c>
      <c r="F2" s="3" t="s">
        <v>143</v>
      </c>
    </row>
    <row r="3" spans="1:4">
      <c r="A3"/>
      <c r="B3"/>
      <c r="D3"/>
    </row>
    <row r="4" spans="1:6">
      <c r="A4" t="s">
        <v>158</v>
      </c>
      <c r="B4" t="s">
        <v>157</v>
      </c>
      <c r="C4" s="3" t="s">
        <v>237</v>
      </c>
      <c r="D4"/>
      <c r="E4" s="3" t="s">
        <v>142</v>
      </c>
      <c r="F4" s="3" t="s">
        <v>143</v>
      </c>
    </row>
    <row r="5" spans="1:6">
      <c r="A5" t="s">
        <v>159</v>
      </c>
      <c r="B5" t="s">
        <v>157</v>
      </c>
      <c r="C5" s="3" t="s">
        <v>237</v>
      </c>
      <c r="D5"/>
      <c r="E5" s="3" t="s">
        <v>142</v>
      </c>
      <c r="F5" s="3" t="s">
        <v>143</v>
      </c>
    </row>
    <row r="6" spans="1:6">
      <c r="A6" t="s">
        <v>160</v>
      </c>
      <c r="B6" t="s">
        <v>157</v>
      </c>
      <c r="C6" s="3" t="s">
        <v>237</v>
      </c>
      <c r="D6"/>
      <c r="E6" s="3" t="s">
        <v>142</v>
      </c>
      <c r="F6" s="3" t="s">
        <v>143</v>
      </c>
    </row>
    <row r="7" spans="1:6">
      <c r="A7" s="3" t="s">
        <v>161</v>
      </c>
      <c r="B7" s="3" t="s">
        <v>157</v>
      </c>
      <c r="C7" s="3" t="s">
        <v>237</v>
      </c>
      <c r="D7"/>
      <c r="E7" s="3" t="s">
        <v>142</v>
      </c>
      <c r="F7" s="3" t="s">
        <v>143</v>
      </c>
    </row>
    <row r="8" spans="1:6">
      <c r="A8" s="3" t="s">
        <v>162</v>
      </c>
      <c r="B8" s="3" t="s">
        <v>157</v>
      </c>
      <c r="C8" s="3" t="s">
        <v>237</v>
      </c>
      <c r="D8"/>
      <c r="E8" s="3" t="s">
        <v>142</v>
      </c>
      <c r="F8" s="3" t="s">
        <v>143</v>
      </c>
    </row>
    <row r="9" spans="1:6">
      <c r="A9" s="3" t="s">
        <v>163</v>
      </c>
      <c r="B9" s="3" t="s">
        <v>157</v>
      </c>
      <c r="C9" s="3" t="s">
        <v>237</v>
      </c>
      <c r="D9"/>
      <c r="E9" s="3" t="s">
        <v>142</v>
      </c>
      <c r="F9" s="3" t="s">
        <v>143</v>
      </c>
    </row>
    <row r="10" spans="1:6">
      <c r="A10" s="3" t="s">
        <v>164</v>
      </c>
      <c r="B10" s="3" t="s">
        <v>157</v>
      </c>
      <c r="C10" s="3" t="s">
        <v>237</v>
      </c>
      <c r="D10"/>
      <c r="E10" s="3" t="s">
        <v>142</v>
      </c>
      <c r="F10" s="3" t="s">
        <v>143</v>
      </c>
    </row>
    <row r="11" spans="1:6">
      <c r="A11" s="3" t="s">
        <v>165</v>
      </c>
      <c r="B11" s="3" t="s">
        <v>157</v>
      </c>
      <c r="C11" s="3" t="s">
        <v>237</v>
      </c>
      <c r="D11"/>
      <c r="E11" s="3" t="s">
        <v>142</v>
      </c>
      <c r="F11" s="3" t="s">
        <v>143</v>
      </c>
    </row>
    <row r="12" spans="1:6">
      <c r="A12" s="3" t="s">
        <v>166</v>
      </c>
      <c r="B12" s="3" t="s">
        <v>157</v>
      </c>
      <c r="C12" s="3" t="s">
        <v>237</v>
      </c>
      <c r="D12"/>
      <c r="E12" s="3" t="s">
        <v>142</v>
      </c>
      <c r="F12" s="3" t="s">
        <v>143</v>
      </c>
    </row>
    <row r="13" spans="1:6">
      <c r="A13" s="3" t="s">
        <v>167</v>
      </c>
      <c r="B13" s="3" t="s">
        <v>157</v>
      </c>
      <c r="C13" s="3" t="s">
        <v>237</v>
      </c>
      <c r="D13"/>
      <c r="E13" s="3" t="s">
        <v>142</v>
      </c>
      <c r="F13" s="3" t="s">
        <v>143</v>
      </c>
    </row>
    <row r="14" spans="1:6">
      <c r="A14" s="3" t="s">
        <v>168</v>
      </c>
      <c r="B14" s="3" t="s">
        <v>157</v>
      </c>
      <c r="C14" s="3" t="s">
        <v>237</v>
      </c>
      <c r="D14"/>
      <c r="E14" s="3" t="s">
        <v>142</v>
      </c>
      <c r="F14" s="3" t="s">
        <v>143</v>
      </c>
    </row>
    <row r="15" spans="1:6">
      <c r="A15" s="3" t="s">
        <v>169</v>
      </c>
      <c r="B15" s="3" t="s">
        <v>157</v>
      </c>
      <c r="C15" s="3" t="s">
        <v>237</v>
      </c>
      <c r="D15"/>
      <c r="E15" s="3" t="s">
        <v>142</v>
      </c>
      <c r="F15" s="3" t="s">
        <v>143</v>
      </c>
    </row>
    <row r="16" spans="1:6">
      <c r="A16" s="3" t="s">
        <v>170</v>
      </c>
      <c r="B16" s="3" t="s">
        <v>157</v>
      </c>
      <c r="C16" s="3" t="s">
        <v>237</v>
      </c>
      <c r="D16"/>
      <c r="E16" s="3" t="s">
        <v>142</v>
      </c>
      <c r="F16" s="3" t="s">
        <v>143</v>
      </c>
    </row>
    <row r="17" spans="1:6">
      <c r="A17" s="3" t="s">
        <v>171</v>
      </c>
      <c r="B17" s="3" t="s">
        <v>157</v>
      </c>
      <c r="C17" s="3" t="s">
        <v>237</v>
      </c>
      <c r="D17"/>
      <c r="E17" s="3" t="s">
        <v>142</v>
      </c>
      <c r="F17" s="3" t="s">
        <v>143</v>
      </c>
    </row>
    <row r="18" spans="1:6">
      <c r="A18" s="3" t="s">
        <v>172</v>
      </c>
      <c r="B18" s="3" t="s">
        <v>157</v>
      </c>
      <c r="C18" s="3" t="s">
        <v>237</v>
      </c>
      <c r="D18"/>
      <c r="E18" s="3" t="s">
        <v>142</v>
      </c>
      <c r="F18" s="3" t="s">
        <v>143</v>
      </c>
    </row>
    <row r="19" spans="1:6">
      <c r="A19" s="3" t="s">
        <v>173</v>
      </c>
      <c r="B19" s="3" t="s">
        <v>157</v>
      </c>
      <c r="C19" s="3" t="s">
        <v>237</v>
      </c>
      <c r="D19"/>
      <c r="E19" s="3" t="s">
        <v>142</v>
      </c>
      <c r="F19" s="3" t="s">
        <v>143</v>
      </c>
    </row>
    <row r="20" spans="1:6">
      <c r="A20" s="3" t="s">
        <v>174</v>
      </c>
      <c r="B20" s="3" t="s">
        <v>157</v>
      </c>
      <c r="C20" s="3" t="s">
        <v>237</v>
      </c>
      <c r="D20"/>
      <c r="E20" s="3" t="s">
        <v>142</v>
      </c>
      <c r="F20" s="3" t="s">
        <v>143</v>
      </c>
    </row>
    <row r="21" spans="1:6">
      <c r="A21" s="3" t="s">
        <v>175</v>
      </c>
      <c r="B21" s="3" t="s">
        <v>157</v>
      </c>
      <c r="C21" s="3" t="s">
        <v>237</v>
      </c>
      <c r="E21" s="3" t="s">
        <v>142</v>
      </c>
      <c r="F21" s="3" t="s">
        <v>143</v>
      </c>
    </row>
    <row r="22" spans="1:6">
      <c r="A22" s="3" t="s">
        <v>176</v>
      </c>
      <c r="B22" s="3" t="s">
        <v>157</v>
      </c>
      <c r="C22" s="3" t="s">
        <v>237</v>
      </c>
      <c r="E22" s="3" t="s">
        <v>142</v>
      </c>
      <c r="F22" s="3" t="s">
        <v>143</v>
      </c>
    </row>
    <row r="23" spans="1:6">
      <c r="A23" s="3" t="s">
        <v>177</v>
      </c>
      <c r="B23" s="3" t="s">
        <v>157</v>
      </c>
      <c r="C23" s="3" t="s">
        <v>237</v>
      </c>
      <c r="E23" s="3" t="s">
        <v>142</v>
      </c>
      <c r="F23" s="3" t="s">
        <v>143</v>
      </c>
    </row>
    <row r="24" spans="1:6">
      <c r="A24" s="3" t="s">
        <v>178</v>
      </c>
      <c r="B24" s="3" t="s">
        <v>157</v>
      </c>
      <c r="C24" s="3" t="s">
        <v>237</v>
      </c>
      <c r="E24" s="3" t="s">
        <v>142</v>
      </c>
      <c r="F24" s="3" t="s">
        <v>143</v>
      </c>
    </row>
    <row r="25" spans="1:6">
      <c r="A25" s="3" t="s">
        <v>179</v>
      </c>
      <c r="B25" s="3" t="s">
        <v>157</v>
      </c>
      <c r="C25" s="3" t="s">
        <v>237</v>
      </c>
      <c r="E25" s="3" t="s">
        <v>142</v>
      </c>
      <c r="F25" s="3" t="s">
        <v>143</v>
      </c>
    </row>
    <row r="26" spans="1:6">
      <c r="A26" s="3" t="s">
        <v>180</v>
      </c>
      <c r="B26" s="3" t="s">
        <v>157</v>
      </c>
      <c r="C26" s="3" t="s">
        <v>237</v>
      </c>
      <c r="E26" s="3" t="s">
        <v>142</v>
      </c>
      <c r="F26" s="3" t="s">
        <v>143</v>
      </c>
    </row>
    <row r="27" spans="1:6">
      <c r="A27" s="3" t="s">
        <v>181</v>
      </c>
      <c r="B27" s="3" t="s">
        <v>157</v>
      </c>
      <c r="C27" s="3" t="s">
        <v>237</v>
      </c>
      <c r="E27" s="3" t="s">
        <v>142</v>
      </c>
      <c r="F27" s="3" t="s">
        <v>143</v>
      </c>
    </row>
    <row r="28" spans="1:6">
      <c r="A28" s="3" t="s">
        <v>182</v>
      </c>
      <c r="B28" s="3" t="s">
        <v>157</v>
      </c>
      <c r="C28" s="3" t="s">
        <v>237</v>
      </c>
      <c r="E28" s="3" t="s">
        <v>142</v>
      </c>
      <c r="F28" s="3" t="s">
        <v>143</v>
      </c>
    </row>
    <row r="29" spans="1:6">
      <c r="A29" s="3" t="s">
        <v>183</v>
      </c>
      <c r="B29" s="3" t="s">
        <v>157</v>
      </c>
      <c r="C29" s="3" t="s">
        <v>237</v>
      </c>
      <c r="E29" s="3" t="s">
        <v>142</v>
      </c>
      <c r="F29" s="3" t="s">
        <v>143</v>
      </c>
    </row>
    <row r="30" spans="1:6">
      <c r="A30" s="3" t="s">
        <v>184</v>
      </c>
      <c r="B30" s="3" t="s">
        <v>157</v>
      </c>
      <c r="C30" s="3" t="s">
        <v>237</v>
      </c>
      <c r="E30" s="3" t="s">
        <v>142</v>
      </c>
      <c r="F30" s="3" t="s">
        <v>143</v>
      </c>
    </row>
    <row r="31" spans="1:6">
      <c r="A31" s="3" t="s">
        <v>185</v>
      </c>
      <c r="B31" s="3" t="s">
        <v>157</v>
      </c>
      <c r="C31" s="3" t="s">
        <v>237</v>
      </c>
      <c r="E31" s="3" t="s">
        <v>142</v>
      </c>
      <c r="F31" s="3" t="s">
        <v>143</v>
      </c>
    </row>
    <row r="32" spans="1:6">
      <c r="A32" s="3" t="s">
        <v>186</v>
      </c>
      <c r="B32" s="3" t="s">
        <v>157</v>
      </c>
      <c r="C32" s="3" t="s">
        <v>237</v>
      </c>
      <c r="E32" s="3" t="s">
        <v>142</v>
      </c>
      <c r="F32" s="3" t="s">
        <v>143</v>
      </c>
    </row>
    <row r="33" spans="1:6">
      <c r="A33" s="3" t="s">
        <v>187</v>
      </c>
      <c r="B33" s="3" t="s">
        <v>157</v>
      </c>
      <c r="C33" s="3" t="s">
        <v>237</v>
      </c>
      <c r="E33" s="3" t="s">
        <v>142</v>
      </c>
      <c r="F33" s="3" t="s">
        <v>143</v>
      </c>
    </row>
    <row r="34" spans="1:6">
      <c r="A34" s="3" t="s">
        <v>188</v>
      </c>
      <c r="B34" s="3" t="s">
        <v>157</v>
      </c>
      <c r="C34" s="3" t="s">
        <v>237</v>
      </c>
      <c r="E34" s="3" t="s">
        <v>142</v>
      </c>
      <c r="F34" s="3" t="s">
        <v>143</v>
      </c>
    </row>
    <row r="35" spans="1:6">
      <c r="A35" s="3" t="s">
        <v>189</v>
      </c>
      <c r="B35" s="3" t="s">
        <v>157</v>
      </c>
      <c r="C35" s="3" t="s">
        <v>237</v>
      </c>
      <c r="E35" s="3" t="s">
        <v>142</v>
      </c>
      <c r="F35" s="3" t="s">
        <v>143</v>
      </c>
    </row>
    <row r="36" spans="1:6">
      <c r="A36" s="3" t="s">
        <v>190</v>
      </c>
      <c r="B36" s="3" t="s">
        <v>157</v>
      </c>
      <c r="C36" s="3" t="s">
        <v>237</v>
      </c>
      <c r="E36" s="3" t="s">
        <v>142</v>
      </c>
      <c r="F36" s="3" t="s">
        <v>143</v>
      </c>
    </row>
    <row r="37" spans="1:6">
      <c r="A37" s="3" t="s">
        <v>191</v>
      </c>
      <c r="B37" s="3" t="s">
        <v>157</v>
      </c>
      <c r="C37" s="3" t="s">
        <v>237</v>
      </c>
      <c r="E37" s="3" t="s">
        <v>142</v>
      </c>
      <c r="F37" s="3" t="s">
        <v>143</v>
      </c>
    </row>
    <row r="38" spans="1:6">
      <c r="A38" s="3" t="s">
        <v>192</v>
      </c>
      <c r="B38" s="3" t="s">
        <v>157</v>
      </c>
      <c r="C38" s="3" t="s">
        <v>237</v>
      </c>
      <c r="E38" s="3" t="s">
        <v>142</v>
      </c>
      <c r="F38" s="3" t="s">
        <v>143</v>
      </c>
    </row>
    <row r="39" spans="1:6">
      <c r="A39" s="3" t="s">
        <v>193</v>
      </c>
      <c r="B39" s="3" t="s">
        <v>157</v>
      </c>
      <c r="C39" s="3" t="s">
        <v>237</v>
      </c>
      <c r="E39" s="3" t="s">
        <v>142</v>
      </c>
      <c r="F39" s="3" t="s">
        <v>143</v>
      </c>
    </row>
    <row r="40" spans="1:6">
      <c r="A40" s="3" t="s">
        <v>194</v>
      </c>
      <c r="B40" s="3" t="s">
        <v>157</v>
      </c>
      <c r="C40" s="3" t="s">
        <v>237</v>
      </c>
      <c r="E40" s="3" t="s">
        <v>142</v>
      </c>
      <c r="F40" s="3" t="s">
        <v>143</v>
      </c>
    </row>
    <row r="41" spans="1:6">
      <c r="A41" s="3" t="s">
        <v>195</v>
      </c>
      <c r="B41" s="3" t="s">
        <v>157</v>
      </c>
      <c r="C41" s="3" t="s">
        <v>237</v>
      </c>
      <c r="E41" s="3" t="s">
        <v>142</v>
      </c>
      <c r="F41" s="3" t="s">
        <v>143</v>
      </c>
    </row>
    <row r="42" spans="1:6">
      <c r="A42" s="3" t="s">
        <v>196</v>
      </c>
      <c r="B42" s="3" t="s">
        <v>157</v>
      </c>
      <c r="C42" s="3" t="s">
        <v>237</v>
      </c>
      <c r="E42" s="3" t="s">
        <v>142</v>
      </c>
      <c r="F42" s="3" t="s">
        <v>143</v>
      </c>
    </row>
    <row r="43" spans="1:6">
      <c r="A43" s="3" t="s">
        <v>197</v>
      </c>
      <c r="B43" s="3" t="s">
        <v>157</v>
      </c>
      <c r="C43" s="3" t="s">
        <v>237</v>
      </c>
      <c r="E43" s="3" t="s">
        <v>142</v>
      </c>
      <c r="F43" s="3" t="s">
        <v>143</v>
      </c>
    </row>
    <row r="44" spans="1:6">
      <c r="A44" s="3" t="s">
        <v>198</v>
      </c>
      <c r="B44" s="3" t="s">
        <v>157</v>
      </c>
      <c r="C44" s="3" t="s">
        <v>237</v>
      </c>
      <c r="E44" s="3" t="s">
        <v>142</v>
      </c>
      <c r="F44" s="3" t="s">
        <v>143</v>
      </c>
    </row>
    <row r="45" spans="1:6">
      <c r="A45" s="3" t="s">
        <v>199</v>
      </c>
      <c r="B45" s="3" t="s">
        <v>157</v>
      </c>
      <c r="C45" s="3" t="s">
        <v>237</v>
      </c>
      <c r="E45" s="3" t="s">
        <v>142</v>
      </c>
      <c r="F45" s="3" t="s">
        <v>143</v>
      </c>
    </row>
    <row r="46" spans="1:6">
      <c r="A46" s="3" t="s">
        <v>200</v>
      </c>
      <c r="B46" s="3" t="s">
        <v>157</v>
      </c>
      <c r="C46" s="3" t="s">
        <v>237</v>
      </c>
      <c r="E46" s="3" t="s">
        <v>142</v>
      </c>
      <c r="F46" s="3" t="s">
        <v>143</v>
      </c>
    </row>
    <row r="47" spans="1:6">
      <c r="A47" s="3" t="s">
        <v>201</v>
      </c>
      <c r="B47" s="3" t="s">
        <v>157</v>
      </c>
      <c r="C47" s="3" t="s">
        <v>237</v>
      </c>
      <c r="E47" s="3" t="s">
        <v>142</v>
      </c>
      <c r="F47" s="3" t="s">
        <v>143</v>
      </c>
    </row>
    <row r="48" spans="1:6">
      <c r="A48" s="3" t="s">
        <v>202</v>
      </c>
      <c r="B48" s="3" t="s">
        <v>157</v>
      </c>
      <c r="C48" s="3" t="s">
        <v>237</v>
      </c>
      <c r="E48" s="3" t="s">
        <v>142</v>
      </c>
      <c r="F48" s="3" t="s">
        <v>143</v>
      </c>
    </row>
    <row r="49" spans="1:6">
      <c r="A49" s="3" t="s">
        <v>203</v>
      </c>
      <c r="B49" s="3" t="s">
        <v>157</v>
      </c>
      <c r="C49" s="3" t="s">
        <v>237</v>
      </c>
      <c r="E49" s="3" t="s">
        <v>142</v>
      </c>
      <c r="F49" s="3" t="s">
        <v>143</v>
      </c>
    </row>
    <row r="50" spans="1:6">
      <c r="A50" s="3" t="s">
        <v>204</v>
      </c>
      <c r="B50" s="3" t="s">
        <v>157</v>
      </c>
      <c r="C50" s="3" t="s">
        <v>237</v>
      </c>
      <c r="E50" s="3" t="s">
        <v>142</v>
      </c>
      <c r="F50" s="3" t="s">
        <v>143</v>
      </c>
    </row>
    <row r="51" spans="1:6">
      <c r="A51" s="3" t="s">
        <v>205</v>
      </c>
      <c r="B51" s="3" t="s">
        <v>157</v>
      </c>
      <c r="C51" s="3" t="s">
        <v>237</v>
      </c>
      <c r="E51" s="3" t="s">
        <v>142</v>
      </c>
      <c r="F51" s="3" t="s">
        <v>143</v>
      </c>
    </row>
    <row r="52" spans="1:6">
      <c r="A52" s="3" t="s">
        <v>206</v>
      </c>
      <c r="B52" s="3" t="s">
        <v>157</v>
      </c>
      <c r="C52" s="3" t="s">
        <v>237</v>
      </c>
      <c r="E52" s="3" t="s">
        <v>142</v>
      </c>
      <c r="F52" s="3" t="s">
        <v>143</v>
      </c>
    </row>
    <row r="53" spans="1:6">
      <c r="A53" s="3" t="s">
        <v>207</v>
      </c>
      <c r="B53" s="3" t="s">
        <v>157</v>
      </c>
      <c r="C53" s="3" t="s">
        <v>237</v>
      </c>
      <c r="E53" s="3" t="s">
        <v>142</v>
      </c>
      <c r="F53" s="3" t="s">
        <v>143</v>
      </c>
    </row>
    <row r="54" spans="1:6">
      <c r="A54" s="3" t="s">
        <v>208</v>
      </c>
      <c r="B54" s="3" t="s">
        <v>157</v>
      </c>
      <c r="C54" s="3" t="s">
        <v>237</v>
      </c>
      <c r="E54" s="3" t="s">
        <v>142</v>
      </c>
      <c r="F54" s="3" t="s">
        <v>143</v>
      </c>
    </row>
    <row r="55" spans="1:6">
      <c r="A55" s="3" t="s">
        <v>209</v>
      </c>
      <c r="B55" s="3" t="s">
        <v>157</v>
      </c>
      <c r="C55" s="3" t="s">
        <v>237</v>
      </c>
      <c r="E55" s="3" t="s">
        <v>142</v>
      </c>
      <c r="F55" s="3" t="s">
        <v>143</v>
      </c>
    </row>
    <row r="56" spans="1:6">
      <c r="A56" s="3" t="s">
        <v>210</v>
      </c>
      <c r="B56" s="3" t="s">
        <v>157</v>
      </c>
      <c r="C56" s="3" t="s">
        <v>237</v>
      </c>
      <c r="E56" s="3" t="s">
        <v>142</v>
      </c>
      <c r="F56" s="3" t="s">
        <v>143</v>
      </c>
    </row>
    <row r="57" spans="1:6">
      <c r="A57" s="3" t="s">
        <v>211</v>
      </c>
      <c r="B57" s="3" t="s">
        <v>157</v>
      </c>
      <c r="C57" s="3" t="s">
        <v>237</v>
      </c>
      <c r="E57" s="3" t="s">
        <v>142</v>
      </c>
      <c r="F57" s="3" t="s">
        <v>143</v>
      </c>
    </row>
    <row r="58" spans="1:6">
      <c r="A58" s="3" t="s">
        <v>212</v>
      </c>
      <c r="B58" s="3" t="s">
        <v>157</v>
      </c>
      <c r="C58" s="3" t="s">
        <v>237</v>
      </c>
      <c r="E58" s="3" t="s">
        <v>142</v>
      </c>
      <c r="F58" s="3" t="s">
        <v>143</v>
      </c>
    </row>
    <row r="59" spans="1:6">
      <c r="A59" s="3" t="s">
        <v>213</v>
      </c>
      <c r="B59" s="3" t="s">
        <v>157</v>
      </c>
      <c r="C59" s="3" t="s">
        <v>237</v>
      </c>
      <c r="E59" s="3" t="s">
        <v>142</v>
      </c>
      <c r="F59" s="3" t="s">
        <v>143</v>
      </c>
    </row>
    <row r="60" spans="1:6">
      <c r="A60" s="3" t="s">
        <v>214</v>
      </c>
      <c r="B60" s="3" t="s">
        <v>157</v>
      </c>
      <c r="C60" s="3" t="s">
        <v>237</v>
      </c>
      <c r="E60" s="3" t="s">
        <v>142</v>
      </c>
      <c r="F60" s="3" t="s">
        <v>143</v>
      </c>
    </row>
    <row r="61" spans="1:6">
      <c r="A61" s="3" t="s">
        <v>215</v>
      </c>
      <c r="B61" s="3" t="s">
        <v>157</v>
      </c>
      <c r="C61" s="3" t="s">
        <v>237</v>
      </c>
      <c r="E61" s="3" t="s">
        <v>142</v>
      </c>
      <c r="F61" s="3" t="s">
        <v>143</v>
      </c>
    </row>
    <row r="62" spans="1:6">
      <c r="A62" s="3" t="s">
        <v>216</v>
      </c>
      <c r="B62" s="3" t="s">
        <v>157</v>
      </c>
      <c r="C62" s="3" t="s">
        <v>237</v>
      </c>
      <c r="E62" s="3" t="s">
        <v>142</v>
      </c>
      <c r="F62" s="3" t="s">
        <v>143</v>
      </c>
    </row>
    <row r="63" spans="1:6">
      <c r="A63" s="3" t="s">
        <v>217</v>
      </c>
      <c r="B63" s="3" t="s">
        <v>157</v>
      </c>
      <c r="C63" s="3" t="s">
        <v>237</v>
      </c>
      <c r="E63" s="3" t="s">
        <v>142</v>
      </c>
      <c r="F63" s="3" t="s">
        <v>143</v>
      </c>
    </row>
    <row r="64" spans="1:6">
      <c r="A64" s="3" t="s">
        <v>218</v>
      </c>
      <c r="B64" s="3" t="s">
        <v>157</v>
      </c>
      <c r="C64" s="3" t="s">
        <v>237</v>
      </c>
      <c r="E64" s="3" t="s">
        <v>142</v>
      </c>
      <c r="F64" s="3" t="s">
        <v>143</v>
      </c>
    </row>
    <row r="65" spans="1:6">
      <c r="A65" s="3" t="s">
        <v>219</v>
      </c>
      <c r="B65" s="3" t="s">
        <v>157</v>
      </c>
      <c r="C65" s="3" t="s">
        <v>237</v>
      </c>
      <c r="E65" s="3" t="s">
        <v>142</v>
      </c>
      <c r="F65" s="3" t="s">
        <v>143</v>
      </c>
    </row>
    <row r="66" spans="1:6">
      <c r="A66" s="3" t="s">
        <v>220</v>
      </c>
      <c r="B66" s="3" t="s">
        <v>157</v>
      </c>
      <c r="C66" s="3" t="s">
        <v>237</v>
      </c>
      <c r="E66" s="3" t="s">
        <v>142</v>
      </c>
      <c r="F66" s="3" t="s">
        <v>143</v>
      </c>
    </row>
    <row r="67" spans="1:6">
      <c r="A67" s="3" t="s">
        <v>221</v>
      </c>
      <c r="B67" s="3" t="s">
        <v>157</v>
      </c>
      <c r="C67" s="3" t="s">
        <v>237</v>
      </c>
      <c r="E67" s="3" t="s">
        <v>142</v>
      </c>
      <c r="F67" s="3" t="s">
        <v>143</v>
      </c>
    </row>
    <row r="68" spans="1:6">
      <c r="A68" s="3" t="s">
        <v>222</v>
      </c>
      <c r="B68" s="3" t="s">
        <v>157</v>
      </c>
      <c r="C68" s="3" t="s">
        <v>237</v>
      </c>
      <c r="E68" s="3" t="s">
        <v>142</v>
      </c>
      <c r="F68" s="3" t="s">
        <v>143</v>
      </c>
    </row>
    <row r="69" spans="1:6">
      <c r="A69" s="3" t="s">
        <v>223</v>
      </c>
      <c r="B69" s="3" t="s">
        <v>157</v>
      </c>
      <c r="C69" s="3" t="s">
        <v>237</v>
      </c>
      <c r="E69" s="3" t="s">
        <v>142</v>
      </c>
      <c r="F69" s="3" t="s">
        <v>143</v>
      </c>
    </row>
    <row r="70" spans="1:6">
      <c r="A70" s="3" t="s">
        <v>224</v>
      </c>
      <c r="B70" s="3" t="s">
        <v>157</v>
      </c>
      <c r="C70" s="3" t="s">
        <v>237</v>
      </c>
      <c r="E70" s="3" t="s">
        <v>142</v>
      </c>
      <c r="F70" s="3" t="s">
        <v>143</v>
      </c>
    </row>
    <row r="71" spans="1:6">
      <c r="A71" s="3" t="s">
        <v>225</v>
      </c>
      <c r="B71" s="3" t="s">
        <v>157</v>
      </c>
      <c r="C71" s="3" t="s">
        <v>237</v>
      </c>
      <c r="E71" s="3" t="s">
        <v>142</v>
      </c>
      <c r="F71" s="3" t="s">
        <v>143</v>
      </c>
    </row>
    <row r="72" spans="1:6">
      <c r="A72" s="3" t="s">
        <v>226</v>
      </c>
      <c r="B72" s="3" t="s">
        <v>157</v>
      </c>
      <c r="C72" s="3" t="s">
        <v>237</v>
      </c>
      <c r="E72" s="3" t="s">
        <v>142</v>
      </c>
      <c r="F72" s="3" t="s">
        <v>143</v>
      </c>
    </row>
    <row r="73" spans="1:6">
      <c r="A73" s="3" t="s">
        <v>227</v>
      </c>
      <c r="B73" s="3" t="s">
        <v>157</v>
      </c>
      <c r="C73" s="3" t="s">
        <v>237</v>
      </c>
      <c r="E73" s="3" t="s">
        <v>142</v>
      </c>
      <c r="F73" s="3" t="s">
        <v>143</v>
      </c>
    </row>
    <row r="74" spans="1:6">
      <c r="A74" s="3" t="s">
        <v>228</v>
      </c>
      <c r="B74" s="3" t="s">
        <v>157</v>
      </c>
      <c r="C74" s="3" t="s">
        <v>237</v>
      </c>
      <c r="E74" s="3" t="s">
        <v>142</v>
      </c>
      <c r="F74" s="3" t="s">
        <v>143</v>
      </c>
    </row>
    <row r="75" spans="1:6">
      <c r="A75" s="3" t="s">
        <v>229</v>
      </c>
      <c r="B75" s="3" t="s">
        <v>157</v>
      </c>
      <c r="C75" s="3" t="s">
        <v>237</v>
      </c>
      <c r="E75" s="3" t="s">
        <v>142</v>
      </c>
      <c r="F75" s="3" t="s">
        <v>143</v>
      </c>
    </row>
    <row r="76" spans="1:6">
      <c r="A76" s="3" t="s">
        <v>230</v>
      </c>
      <c r="B76" s="3" t="s">
        <v>157</v>
      </c>
      <c r="C76" s="3" t="s">
        <v>237</v>
      </c>
      <c r="E76" s="3" t="s">
        <v>142</v>
      </c>
      <c r="F76" s="3" t="s">
        <v>143</v>
      </c>
    </row>
    <row r="77" spans="1:6">
      <c r="A77" s="3" t="s">
        <v>231</v>
      </c>
      <c r="B77" s="3" t="s">
        <v>157</v>
      </c>
      <c r="C77" s="3" t="s">
        <v>237</v>
      </c>
      <c r="E77" s="3" t="s">
        <v>142</v>
      </c>
      <c r="F77" s="3" t="s">
        <v>143</v>
      </c>
    </row>
    <row r="78" spans="1:6">
      <c r="A78" s="3" t="s">
        <v>232</v>
      </c>
      <c r="B78" s="3" t="s">
        <v>157</v>
      </c>
      <c r="C78" s="3" t="s">
        <v>237</v>
      </c>
      <c r="E78" s="3" t="s">
        <v>142</v>
      </c>
      <c r="F78" s="3" t="s">
        <v>143</v>
      </c>
    </row>
    <row r="79" spans="1:6">
      <c r="A79" s="3" t="s">
        <v>233</v>
      </c>
      <c r="B79" s="3" t="s">
        <v>157</v>
      </c>
      <c r="C79" s="3" t="s">
        <v>237</v>
      </c>
      <c r="E79" s="3" t="s">
        <v>142</v>
      </c>
      <c r="F79" s="3" t="s">
        <v>143</v>
      </c>
    </row>
    <row r="80" spans="1:6">
      <c r="A80" s="3" t="s">
        <v>145</v>
      </c>
      <c r="B80" s="3" t="s">
        <v>157</v>
      </c>
      <c r="C80" s="3" t="s">
        <v>237</v>
      </c>
      <c r="E80" s="3" t="s">
        <v>142</v>
      </c>
      <c r="F80" s="3" t="s">
        <v>143</v>
      </c>
    </row>
    <row r="81" spans="1:6">
      <c r="A81" s="3" t="s">
        <v>147</v>
      </c>
      <c r="B81" s="3" t="s">
        <v>157</v>
      </c>
      <c r="C81" s="3" t="s">
        <v>237</v>
      </c>
      <c r="E81" s="3" t="s">
        <v>142</v>
      </c>
      <c r="F81" s="3" t="s">
        <v>143</v>
      </c>
    </row>
    <row r="82" spans="1:6">
      <c r="A82" s="3" t="s">
        <v>144</v>
      </c>
      <c r="B82" s="3" t="s">
        <v>157</v>
      </c>
      <c r="C82" s="3" t="s">
        <v>237</v>
      </c>
      <c r="E82" s="3" t="s">
        <v>142</v>
      </c>
      <c r="F82" s="3" t="s">
        <v>143</v>
      </c>
    </row>
    <row r="83" spans="1:6">
      <c r="A83" s="3" t="s">
        <v>146</v>
      </c>
      <c r="B83" s="3" t="s">
        <v>157</v>
      </c>
      <c r="C83" s="3" t="s">
        <v>237</v>
      </c>
      <c r="E83" s="3" t="s">
        <v>142</v>
      </c>
      <c r="F83" s="3" t="s">
        <v>143</v>
      </c>
    </row>
    <row r="84" spans="1:6">
      <c r="A84" s="3" t="s">
        <v>139</v>
      </c>
      <c r="B84" s="3" t="s">
        <v>157</v>
      </c>
      <c r="C84" s="3" t="s">
        <v>237</v>
      </c>
      <c r="E84" s="3" t="s">
        <v>142</v>
      </c>
      <c r="F84" s="3" t="s">
        <v>143</v>
      </c>
    </row>
    <row r="85" spans="1:6">
      <c r="A85" s="3" t="s">
        <v>150</v>
      </c>
      <c r="B85" s="3" t="s">
        <v>157</v>
      </c>
      <c r="C85" s="3" t="s">
        <v>237</v>
      </c>
      <c r="E85" s="3" t="s">
        <v>142</v>
      </c>
      <c r="F85" s="3" t="s">
        <v>143</v>
      </c>
    </row>
    <row r="86" spans="1:6">
      <c r="A86" s="3" t="s">
        <v>151</v>
      </c>
      <c r="B86" s="3" t="s">
        <v>157</v>
      </c>
      <c r="C86" s="3" t="s">
        <v>237</v>
      </c>
      <c r="E86" s="3" t="s">
        <v>142</v>
      </c>
      <c r="F86" s="3" t="s">
        <v>143</v>
      </c>
    </row>
    <row r="87" spans="1:6">
      <c r="A87" s="3" t="s">
        <v>149</v>
      </c>
      <c r="B87" s="3" t="s">
        <v>157</v>
      </c>
      <c r="C87" s="3" t="s">
        <v>237</v>
      </c>
      <c r="E87" s="3" t="s">
        <v>142</v>
      </c>
      <c r="F87" s="3" t="s">
        <v>143</v>
      </c>
    </row>
    <row r="88" spans="1:6">
      <c r="A88" s="3" t="s">
        <v>152</v>
      </c>
      <c r="B88" s="3" t="s">
        <v>157</v>
      </c>
      <c r="C88" s="3" t="s">
        <v>237</v>
      </c>
      <c r="E88" s="3" t="s">
        <v>142</v>
      </c>
      <c r="F88" s="3" t="s">
        <v>143</v>
      </c>
    </row>
    <row r="89" spans="1:6">
      <c r="A89" s="3" t="s">
        <v>153</v>
      </c>
      <c r="B89" s="3" t="s">
        <v>157</v>
      </c>
      <c r="C89" s="3" t="s">
        <v>237</v>
      </c>
      <c r="E89" s="3" t="s">
        <v>142</v>
      </c>
      <c r="F89" s="3" t="s">
        <v>143</v>
      </c>
    </row>
    <row r="90" spans="1:6">
      <c r="A90" s="3" t="s">
        <v>154</v>
      </c>
      <c r="B90" s="3" t="s">
        <v>157</v>
      </c>
      <c r="C90" s="3" t="s">
        <v>237</v>
      </c>
      <c r="E90" s="3" t="s">
        <v>142</v>
      </c>
      <c r="F90" s="3" t="s">
        <v>143</v>
      </c>
    </row>
    <row r="91" spans="1:6">
      <c r="A91" s="3" t="s">
        <v>234</v>
      </c>
      <c r="B91" s="3" t="s">
        <v>157</v>
      </c>
      <c r="C91" s="3" t="s">
        <v>237</v>
      </c>
      <c r="E91" s="3" t="s">
        <v>142</v>
      </c>
      <c r="F91" s="3" t="s">
        <v>143</v>
      </c>
    </row>
    <row r="92" spans="1:6">
      <c r="A92" s="3" t="s">
        <v>148</v>
      </c>
      <c r="B92" s="3" t="s">
        <v>157</v>
      </c>
      <c r="C92" s="3" t="s">
        <v>237</v>
      </c>
      <c r="E92" s="3" t="s">
        <v>142</v>
      </c>
      <c r="F92" s="3" t="s">
        <v>143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A14"/>
  <sheetViews>
    <sheetView workbookViewId="0">
      <selection activeCell="A11" sqref="A11"/>
    </sheetView>
  </sheetViews>
  <sheetFormatPr defaultColWidth="9" defaultRowHeight="14.25"/>
  <cols>
    <col min="1" max="1" width="30.1083333333333" customWidth="1"/>
  </cols>
  <sheetData>
    <row r="1" spans="1:1">
      <c r="A1" t="s">
        <v>0</v>
      </c>
    </row>
    <row r="2" spans="1:1">
      <c r="A2" t="s">
        <v>239</v>
      </c>
    </row>
    <row r="3" spans="1:1">
      <c r="A3" t="s">
        <v>240</v>
      </c>
    </row>
    <row r="4" spans="1:1">
      <c r="A4" t="s">
        <v>241</v>
      </c>
    </row>
    <row r="5" spans="1:1">
      <c r="A5" t="s">
        <v>242</v>
      </c>
    </row>
    <row r="6" spans="1:1">
      <c r="A6" t="s">
        <v>88</v>
      </c>
    </row>
    <row r="7" spans="1:1">
      <c r="A7" t="s">
        <v>243</v>
      </c>
    </row>
    <row r="8" spans="1:1">
      <c r="A8" t="s">
        <v>244</v>
      </c>
    </row>
    <row r="9" spans="1:1">
      <c r="A9" t="s">
        <v>245</v>
      </c>
    </row>
    <row r="10" spans="1:1">
      <c r="A10" t="s">
        <v>246</v>
      </c>
    </row>
    <row r="11" spans="1:1">
      <c r="A11" t="s">
        <v>1</v>
      </c>
    </row>
    <row r="12" spans="1:1">
      <c r="A12" t="s">
        <v>247</v>
      </c>
    </row>
    <row r="13" spans="1:1">
      <c r="A13" t="s">
        <v>248</v>
      </c>
    </row>
    <row r="14" spans="1:1">
      <c r="A14" t="s">
        <v>249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A6"/>
  <sheetViews>
    <sheetView workbookViewId="0">
      <selection activeCell="N11" sqref="N11"/>
    </sheetView>
  </sheetViews>
  <sheetFormatPr defaultColWidth="9" defaultRowHeight="14.25" outlineLevelRow="5"/>
  <cols>
    <col min="1" max="1" width="19.2166666666667" customWidth="1"/>
  </cols>
  <sheetData>
    <row r="1" spans="1:1">
      <c r="A1" t="s">
        <v>250</v>
      </c>
    </row>
    <row r="2" spans="1:1">
      <c r="A2">
        <v>0</v>
      </c>
    </row>
    <row r="3" spans="1:1">
      <c r="A3">
        <v>1</v>
      </c>
    </row>
    <row r="4" spans="1:1">
      <c r="A4">
        <v>2</v>
      </c>
    </row>
    <row r="5" spans="1:1">
      <c r="A5">
        <v>3</v>
      </c>
    </row>
    <row r="6" spans="1:1">
      <c r="A6">
        <v>4</v>
      </c>
    </row>
  </sheetData>
  <pageMargins left="0.699305555555556" right="0.699305555555556" top="0.75" bottom="0.75" header="0.3" footer="0.3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H8"/>
  <sheetViews>
    <sheetView topLeftCell="D1" workbookViewId="0">
      <selection activeCell="K20" sqref="K20"/>
    </sheetView>
  </sheetViews>
  <sheetFormatPr defaultColWidth="8.88333333333333" defaultRowHeight="16.5" outlineLevelRow="7" outlineLevelCol="7"/>
  <cols>
    <col min="1" max="1" width="14.775" style="9" customWidth="1"/>
    <col min="2" max="2" width="20.4416666666667" style="9" customWidth="1"/>
    <col min="3" max="3" width="16.1083333333333" style="9" customWidth="1"/>
    <col min="4" max="4" width="23" style="10" customWidth="1"/>
    <col min="5" max="5" width="13.8833333333333" style="9" customWidth="1"/>
    <col min="6" max="6" width="9.44166666666667" style="9" customWidth="1"/>
    <col min="7" max="8" width="15.2166666666667" style="9" customWidth="1"/>
    <col min="9" max="16384" width="8.88333333333333" style="9"/>
  </cols>
  <sheetData>
    <row r="1" spans="1:8">
      <c r="A1" s="9" t="s">
        <v>0</v>
      </c>
      <c r="B1" s="9" t="s">
        <v>131</v>
      </c>
      <c r="C1" s="9" t="s">
        <v>251</v>
      </c>
      <c r="D1" s="10" t="s">
        <v>252</v>
      </c>
      <c r="E1" s="9" t="s">
        <v>253</v>
      </c>
      <c r="F1" s="9" t="s">
        <v>254</v>
      </c>
      <c r="G1" s="9" t="s">
        <v>255</v>
      </c>
      <c r="H1" s="9" t="s">
        <v>256</v>
      </c>
    </row>
    <row r="2" spans="1:7">
      <c r="A2" s="9" t="s">
        <v>257</v>
      </c>
      <c r="B2" s="9" t="s">
        <v>258</v>
      </c>
      <c r="C2" s="9">
        <v>4</v>
      </c>
      <c r="E2" s="9" t="s">
        <v>259</v>
      </c>
      <c r="F2" s="16" t="s">
        <v>260</v>
      </c>
      <c r="G2" s="9" t="s">
        <v>8</v>
      </c>
    </row>
    <row r="3" spans="2:7">
      <c r="B3" s="9" t="s">
        <v>261</v>
      </c>
      <c r="C3" s="9">
        <v>3</v>
      </c>
      <c r="F3" s="16" t="s">
        <v>262</v>
      </c>
      <c r="G3" s="9" t="s">
        <v>13</v>
      </c>
    </row>
    <row r="4" spans="2:7">
      <c r="B4" s="9" t="s">
        <v>263</v>
      </c>
      <c r="C4" s="9">
        <v>3</v>
      </c>
      <c r="F4" s="16" t="s">
        <v>264</v>
      </c>
      <c r="G4" s="9" t="s">
        <v>15</v>
      </c>
    </row>
    <row r="5" spans="2:7">
      <c r="B5" s="9" t="s">
        <v>265</v>
      </c>
      <c r="C5" s="9">
        <v>3</v>
      </c>
      <c r="F5" s="16" t="s">
        <v>266</v>
      </c>
      <c r="G5" s="9" t="s">
        <v>16</v>
      </c>
    </row>
    <row r="6" spans="2:7">
      <c r="B6" s="9" t="s">
        <v>267</v>
      </c>
      <c r="C6" s="9">
        <v>4</v>
      </c>
      <c r="F6" s="16" t="s">
        <v>268</v>
      </c>
      <c r="G6" s="9" t="s">
        <v>17</v>
      </c>
    </row>
    <row r="7" spans="2:7">
      <c r="B7" s="9" t="s">
        <v>269</v>
      </c>
      <c r="C7" s="9">
        <v>4</v>
      </c>
      <c r="F7" s="16" t="s">
        <v>270</v>
      </c>
      <c r="G7" s="9" t="s">
        <v>18</v>
      </c>
    </row>
    <row r="8" spans="2:7">
      <c r="B8" s="9" t="s">
        <v>271</v>
      </c>
      <c r="C8" s="9">
        <v>4</v>
      </c>
      <c r="F8" s="16" t="s">
        <v>272</v>
      </c>
      <c r="G8" s="9" t="s">
        <v>8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A2"/>
  <sheetViews>
    <sheetView workbookViewId="0">
      <selection activeCell="K10" sqref="K10"/>
    </sheetView>
  </sheetViews>
  <sheetFormatPr defaultColWidth="9" defaultRowHeight="14.25" outlineLevelRow="1"/>
  <sheetData>
    <row r="1" spans="1:1">
      <c r="A1" t="s">
        <v>3</v>
      </c>
    </row>
    <row r="2" spans="1:1">
      <c r="A2" t="s">
        <v>273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B1"/>
  <sheetViews>
    <sheetView workbookViewId="0">
      <selection activeCell="E28" sqref="E28"/>
    </sheetView>
  </sheetViews>
  <sheetFormatPr defaultColWidth="9" defaultRowHeight="14.25" outlineLevelCol="1"/>
  <cols>
    <col min="1" max="1" width="8.88333333333333" customWidth="1"/>
    <col min="2" max="2" width="38.3333333333333" customWidth="1"/>
  </cols>
  <sheetData>
    <row r="1" spans="1:2">
      <c r="A1" t="s">
        <v>274</v>
      </c>
      <c r="B1" t="s">
        <v>275</v>
      </c>
    </row>
  </sheetData>
  <pageMargins left="0.699305555555556" right="0.699305555555556" top="0.75" bottom="0.75" header="0.3" footer="0.3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A2"/>
  <sheetViews>
    <sheetView workbookViewId="0">
      <selection activeCell="L17" sqref="L17"/>
    </sheetView>
  </sheetViews>
  <sheetFormatPr defaultColWidth="9" defaultRowHeight="14.25" outlineLevelRow="1"/>
  <sheetData>
    <row r="1" spans="1:1">
      <c r="A1" t="s">
        <v>3</v>
      </c>
    </row>
    <row r="2" spans="1:1">
      <c r="A2" t="s">
        <v>276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B1"/>
  <sheetViews>
    <sheetView workbookViewId="0">
      <selection activeCell="B32" sqref="B32"/>
    </sheetView>
  </sheetViews>
  <sheetFormatPr defaultColWidth="9" defaultRowHeight="14.25" outlineLevelCol="1"/>
  <cols>
    <col min="2" max="2" width="54.2166666666667" customWidth="1"/>
  </cols>
  <sheetData>
    <row r="1" spans="1:2">
      <c r="A1" t="s">
        <v>277</v>
      </c>
      <c r="B1" t="s">
        <v>275</v>
      </c>
    </row>
  </sheetData>
  <pageMargins left="0.699305555555556" right="0.699305555555556" top="0.75" bottom="0.75" header="0.3" footer="0.3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A2"/>
  <sheetViews>
    <sheetView workbookViewId="0">
      <selection activeCell="I17" sqref="I17"/>
    </sheetView>
  </sheetViews>
  <sheetFormatPr defaultColWidth="9" defaultRowHeight="14.25" outlineLevelRow="1"/>
  <sheetData>
    <row r="1" spans="1:1">
      <c r="A1" t="s">
        <v>3</v>
      </c>
    </row>
    <row r="2" spans="1:1">
      <c r="A2" t="s">
        <v>278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B1"/>
  <sheetViews>
    <sheetView workbookViewId="0">
      <selection activeCell="G19" sqref="G19"/>
    </sheetView>
  </sheetViews>
  <sheetFormatPr defaultColWidth="9" defaultRowHeight="14.25" outlineLevelCol="1"/>
  <cols>
    <col min="1" max="1" width="8.88333333333333" customWidth="1"/>
    <col min="2" max="2" width="38.3333333333333" customWidth="1"/>
  </cols>
  <sheetData>
    <row r="1" spans="1:2">
      <c r="A1" t="s">
        <v>279</v>
      </c>
      <c r="B1" t="s">
        <v>275</v>
      </c>
    </row>
  </sheetData>
  <pageMargins left="0.699305555555556" right="0.699305555555556" top="0.75" bottom="0.75" header="0.3" footer="0.3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A2"/>
  <sheetViews>
    <sheetView workbookViewId="0">
      <selection activeCell="I16" sqref="I16"/>
    </sheetView>
  </sheetViews>
  <sheetFormatPr defaultColWidth="9" defaultRowHeight="14.25" outlineLevelRow="1"/>
  <sheetData>
    <row r="1" spans="1:1">
      <c r="A1" t="s">
        <v>3</v>
      </c>
    </row>
    <row r="2" spans="1:1">
      <c r="A2" t="s">
        <v>280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B1"/>
  <sheetViews>
    <sheetView workbookViewId="0">
      <selection activeCell="I22" sqref="I22"/>
    </sheetView>
  </sheetViews>
  <sheetFormatPr defaultColWidth="9" defaultRowHeight="14.25" outlineLevelCol="1"/>
  <cols>
    <col min="1" max="1" width="8.88333333333333" customWidth="1"/>
    <col min="2" max="2" width="38.3333333333333" customWidth="1"/>
  </cols>
  <sheetData>
    <row r="1" spans="1:2">
      <c r="A1" t="s">
        <v>274</v>
      </c>
      <c r="B1" t="s">
        <v>275</v>
      </c>
    </row>
  </sheetData>
  <pageMargins left="0.699305555555556" right="0.699305555555556" top="0.75" bottom="0.75" header="0.3" footer="0.3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A2"/>
  <sheetViews>
    <sheetView workbookViewId="0">
      <selection activeCell="K20" sqref="K20"/>
    </sheetView>
  </sheetViews>
  <sheetFormatPr defaultColWidth="9" defaultRowHeight="14.25" outlineLevelRow="1"/>
  <sheetData>
    <row r="1" spans="1:1">
      <c r="A1" t="s">
        <v>3</v>
      </c>
    </row>
    <row r="2" spans="1:1">
      <c r="A2" t="s">
        <v>276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B1"/>
  <sheetViews>
    <sheetView workbookViewId="0">
      <selection activeCell="G14" sqref="G14"/>
    </sheetView>
  </sheetViews>
  <sheetFormatPr defaultColWidth="9" defaultRowHeight="14.25" outlineLevelCol="1"/>
  <cols>
    <col min="2" max="2" width="54.2166666666667" customWidth="1"/>
  </cols>
  <sheetData>
    <row r="1" spans="1:2">
      <c r="A1" t="s">
        <v>277</v>
      </c>
      <c r="B1" t="s">
        <v>275</v>
      </c>
    </row>
  </sheetData>
  <pageMargins left="0.699305555555556" right="0.699305555555556" top="0.75" bottom="0.75" header="0.3" footer="0.3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A2"/>
  <sheetViews>
    <sheetView workbookViewId="0">
      <selection activeCell="K13" sqref="K13"/>
    </sheetView>
  </sheetViews>
  <sheetFormatPr defaultColWidth="9" defaultRowHeight="14.25" outlineLevelRow="1"/>
  <sheetData>
    <row r="1" spans="1:1">
      <c r="A1" t="s">
        <v>3</v>
      </c>
    </row>
    <row r="2" spans="1:1">
      <c r="A2" t="s">
        <v>276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B1"/>
  <sheetViews>
    <sheetView workbookViewId="0">
      <selection activeCell="H11" sqref="H11"/>
    </sheetView>
  </sheetViews>
  <sheetFormatPr defaultColWidth="9" defaultRowHeight="14.25" outlineLevelCol="1"/>
  <cols>
    <col min="1" max="1" width="8.88333333333333" customWidth="1"/>
    <col min="2" max="2" width="38.3333333333333" customWidth="1"/>
  </cols>
  <sheetData>
    <row r="1" spans="1:2">
      <c r="A1" t="s">
        <v>279</v>
      </c>
      <c r="B1" t="s">
        <v>275</v>
      </c>
    </row>
  </sheetData>
  <pageMargins left="0.699305555555556" right="0.699305555555556" top="0.75" bottom="0.75" header="0.3" footer="0.3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D7"/>
  <sheetViews>
    <sheetView workbookViewId="0">
      <selection activeCell="L21" sqref="L21"/>
    </sheetView>
  </sheetViews>
  <sheetFormatPr defaultColWidth="9" defaultRowHeight="14.25" outlineLevelRow="6" outlineLevelCol="3"/>
  <cols>
    <col min="1" max="1" width="8.88333333333333" customWidth="1"/>
    <col min="2" max="4" width="12.1083333333333" customWidth="1"/>
  </cols>
  <sheetData>
    <row r="1" spans="1:4">
      <c r="A1" t="s">
        <v>3</v>
      </c>
      <c r="B1" t="s">
        <v>281</v>
      </c>
      <c r="C1" t="s">
        <v>282</v>
      </c>
      <c r="D1" t="s">
        <v>283</v>
      </c>
    </row>
    <row r="2" spans="1:4">
      <c r="A2" t="s">
        <v>284</v>
      </c>
      <c r="B2" t="s">
        <v>285</v>
      </c>
      <c r="C2">
        <v>2</v>
      </c>
      <c r="D2" t="s">
        <v>285</v>
      </c>
    </row>
    <row r="3" spans="1:4">
      <c r="A3" t="s">
        <v>284</v>
      </c>
      <c r="B3" t="s">
        <v>286</v>
      </c>
      <c r="C3">
        <v>2</v>
      </c>
      <c r="D3" t="s">
        <v>286</v>
      </c>
    </row>
    <row r="4" spans="1:4">
      <c r="A4" t="s">
        <v>284</v>
      </c>
      <c r="B4" t="s">
        <v>287</v>
      </c>
      <c r="C4">
        <v>2</v>
      </c>
      <c r="D4" t="s">
        <v>287</v>
      </c>
    </row>
    <row r="5" spans="1:4">
      <c r="A5" t="s">
        <v>284</v>
      </c>
      <c r="B5" t="s">
        <v>288</v>
      </c>
      <c r="C5">
        <v>2</v>
      </c>
      <c r="D5" t="s">
        <v>288</v>
      </c>
    </row>
    <row r="6" spans="1:4">
      <c r="A6" t="s">
        <v>284</v>
      </c>
      <c r="B6" t="s">
        <v>289</v>
      </c>
      <c r="C6">
        <v>2</v>
      </c>
      <c r="D6" t="s">
        <v>289</v>
      </c>
    </row>
    <row r="7" spans="1:4">
      <c r="A7" t="s">
        <v>284</v>
      </c>
      <c r="B7" t="s">
        <v>290</v>
      </c>
      <c r="C7">
        <v>2</v>
      </c>
      <c r="D7" t="s">
        <v>290</v>
      </c>
    </row>
  </sheetData>
  <pageMargins left="0.75" right="0.75" top="1" bottom="1" header="0.5" footer="0.5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"/>
  <dimension ref="A1:I12"/>
  <sheetViews>
    <sheetView topLeftCell="E1" workbookViewId="0">
      <selection activeCell="M24" sqref="M24"/>
    </sheetView>
  </sheetViews>
  <sheetFormatPr defaultColWidth="9" defaultRowHeight="14.25"/>
  <cols>
    <col min="1" max="2" width="11.2166666666667" customWidth="1"/>
    <col min="3" max="3" width="11" customWidth="1"/>
    <col min="4" max="4" width="11.6666666666667" customWidth="1"/>
    <col min="5" max="6" width="13.8833333333333" customWidth="1"/>
    <col min="7" max="7" width="16.1083333333333" customWidth="1"/>
    <col min="8" max="8" width="22.6666666666667" customWidth="1"/>
    <col min="9" max="9" width="9.66666666666667" customWidth="1"/>
  </cols>
  <sheetData>
    <row r="1" spans="1:9">
      <c r="A1" t="s">
        <v>3</v>
      </c>
      <c r="B1" t="s">
        <v>281</v>
      </c>
      <c r="C1" t="s">
        <v>42</v>
      </c>
      <c r="D1" t="s">
        <v>43</v>
      </c>
      <c r="E1" t="s">
        <v>44</v>
      </c>
      <c r="F1" t="s">
        <v>291</v>
      </c>
      <c r="G1" t="s">
        <v>45</v>
      </c>
      <c r="H1" t="s">
        <v>46</v>
      </c>
      <c r="I1" t="s">
        <v>47</v>
      </c>
    </row>
    <row r="2" spans="1:7">
      <c r="A2" t="s">
        <v>284</v>
      </c>
      <c r="B2" t="s">
        <v>285</v>
      </c>
      <c r="C2" s="3" t="s">
        <v>292</v>
      </c>
      <c r="D2">
        <v>2</v>
      </c>
      <c r="E2" t="s">
        <v>293</v>
      </c>
      <c r="F2" t="s">
        <v>294</v>
      </c>
      <c r="G2">
        <v>3</v>
      </c>
    </row>
    <row r="3" spans="1:7">
      <c r="A3" t="s">
        <v>284</v>
      </c>
      <c r="B3" t="s">
        <v>285</v>
      </c>
      <c r="C3" s="3" t="s">
        <v>295</v>
      </c>
      <c r="D3">
        <v>2</v>
      </c>
      <c r="E3" t="s">
        <v>296</v>
      </c>
      <c r="G3">
        <v>3</v>
      </c>
    </row>
    <row r="4" spans="1:7">
      <c r="A4" t="s">
        <v>284</v>
      </c>
      <c r="B4" s="3" t="s">
        <v>286</v>
      </c>
      <c r="C4" t="s">
        <v>297</v>
      </c>
      <c r="D4">
        <v>2</v>
      </c>
      <c r="E4" t="s">
        <v>298</v>
      </c>
      <c r="F4" t="s">
        <v>294</v>
      </c>
      <c r="G4">
        <v>3</v>
      </c>
    </row>
    <row r="5" spans="1:7">
      <c r="A5" t="s">
        <v>284</v>
      </c>
      <c r="B5" t="s">
        <v>287</v>
      </c>
      <c r="C5" s="3" t="s">
        <v>299</v>
      </c>
      <c r="D5">
        <v>2</v>
      </c>
      <c r="E5" t="s">
        <v>300</v>
      </c>
      <c r="G5">
        <v>3</v>
      </c>
    </row>
    <row r="6" spans="1:7">
      <c r="A6" t="s">
        <v>284</v>
      </c>
      <c r="B6" t="s">
        <v>287</v>
      </c>
      <c r="C6" s="3" t="s">
        <v>301</v>
      </c>
      <c r="D6">
        <v>2</v>
      </c>
      <c r="E6" t="s">
        <v>302</v>
      </c>
      <c r="G6">
        <v>3</v>
      </c>
    </row>
    <row r="7" spans="1:7">
      <c r="A7" t="s">
        <v>284</v>
      </c>
      <c r="B7" t="s">
        <v>288</v>
      </c>
      <c r="C7" t="s">
        <v>303</v>
      </c>
      <c r="D7">
        <v>2</v>
      </c>
      <c r="E7" t="s">
        <v>304</v>
      </c>
      <c r="G7">
        <v>3</v>
      </c>
    </row>
    <row r="8" spans="1:7">
      <c r="A8" t="s">
        <v>284</v>
      </c>
      <c r="B8" t="s">
        <v>289</v>
      </c>
      <c r="C8" s="3" t="s">
        <v>305</v>
      </c>
      <c r="D8">
        <v>2</v>
      </c>
      <c r="E8" t="s">
        <v>306</v>
      </c>
      <c r="G8">
        <v>3</v>
      </c>
    </row>
    <row r="9" spans="1:7">
      <c r="A9" t="s">
        <v>284</v>
      </c>
      <c r="B9" s="3" t="s">
        <v>290</v>
      </c>
      <c r="C9" t="s">
        <v>307</v>
      </c>
      <c r="D9">
        <v>2</v>
      </c>
      <c r="E9" t="s">
        <v>308</v>
      </c>
      <c r="G9">
        <v>3</v>
      </c>
    </row>
    <row r="10" spans="3:3">
      <c r="C10" s="3"/>
    </row>
    <row r="11" spans="3:3">
      <c r="C11" s="3"/>
    </row>
    <row r="12" spans="3:3">
      <c r="C12" s="3"/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3"/>
  <dimension ref="A1:D6"/>
  <sheetViews>
    <sheetView workbookViewId="0">
      <selection activeCell="H17" sqref="H17"/>
    </sheetView>
  </sheetViews>
  <sheetFormatPr defaultColWidth="9" defaultRowHeight="14.25" outlineLevelRow="5" outlineLevelCol="3"/>
  <cols>
    <col min="1" max="1" width="11.6666666666667" customWidth="1"/>
    <col min="2" max="2" width="20.4416666666667" customWidth="1"/>
    <col min="3" max="3" width="25.1083333333333" customWidth="1"/>
    <col min="4" max="4" width="26.4416666666667" customWidth="1"/>
  </cols>
  <sheetData>
    <row r="1" spans="1:4">
      <c r="A1" t="s">
        <v>56</v>
      </c>
      <c r="B1" t="s">
        <v>57</v>
      </c>
      <c r="C1" t="s">
        <v>58</v>
      </c>
      <c r="D1" t="s">
        <v>59</v>
      </c>
    </row>
    <row r="2" spans="1:4">
      <c r="A2" t="s">
        <v>309</v>
      </c>
      <c r="B2">
        <v>2</v>
      </c>
      <c r="C2" t="s">
        <v>310</v>
      </c>
      <c r="D2" t="s">
        <v>311</v>
      </c>
    </row>
    <row r="3" spans="1:4">
      <c r="A3" t="s">
        <v>312</v>
      </c>
      <c r="B3">
        <v>2</v>
      </c>
      <c r="C3" t="s">
        <v>313</v>
      </c>
      <c r="D3" t="s">
        <v>314</v>
      </c>
    </row>
    <row r="4" spans="1:4">
      <c r="A4" t="s">
        <v>315</v>
      </c>
      <c r="B4">
        <v>2</v>
      </c>
      <c r="C4" t="s">
        <v>316</v>
      </c>
      <c r="D4" t="s">
        <v>317</v>
      </c>
    </row>
    <row r="5" spans="1:4">
      <c r="A5" t="s">
        <v>318</v>
      </c>
      <c r="B5">
        <v>2</v>
      </c>
      <c r="C5" t="s">
        <v>319</v>
      </c>
      <c r="D5" t="s">
        <v>320</v>
      </c>
    </row>
    <row r="6" spans="1:4">
      <c r="A6" t="s">
        <v>321</v>
      </c>
      <c r="B6">
        <v>2</v>
      </c>
      <c r="C6" t="s">
        <v>322</v>
      </c>
      <c r="D6" t="s">
        <v>323</v>
      </c>
    </row>
  </sheetData>
  <pageMargins left="0.699305555555556" right="0.699305555555556" top="0.75" bottom="0.75" header="0.3" footer="0.3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E18"/>
  <sheetViews>
    <sheetView workbookViewId="0">
      <selection activeCell="E15" sqref="E15"/>
    </sheetView>
  </sheetViews>
  <sheetFormatPr defaultColWidth="9" defaultRowHeight="14.25" outlineLevelCol="4"/>
  <cols>
    <col min="1" max="1" width="8.88333333333333" customWidth="1"/>
    <col min="2" max="2" width="20" style="3" customWidth="1"/>
    <col min="3" max="3" width="19.8833333333333" style="3" customWidth="1"/>
    <col min="4" max="4" width="19.3333333333333" style="3" customWidth="1"/>
    <col min="5" max="5" width="20.3333333333333" style="3" customWidth="1"/>
    <col min="6" max="16382" width="9" style="3"/>
  </cols>
  <sheetData>
    <row r="1" spans="1:5">
      <c r="A1" t="s">
        <v>324</v>
      </c>
      <c r="B1" s="2" t="s">
        <v>134</v>
      </c>
      <c r="C1" s="2" t="s">
        <v>135</v>
      </c>
      <c r="D1" s="3" t="s">
        <v>325</v>
      </c>
      <c r="E1" s="3" t="s">
        <v>326</v>
      </c>
    </row>
    <row r="2" spans="1:5">
      <c r="A2" t="s">
        <v>327</v>
      </c>
      <c r="B2" s="3" t="s">
        <v>328</v>
      </c>
      <c r="C2" s="3" t="s">
        <v>329</v>
      </c>
      <c r="D2" s="3" t="s">
        <v>330</v>
      </c>
      <c r="E2" s="3" t="s">
        <v>331</v>
      </c>
    </row>
    <row r="3" spans="4:5">
      <c r="D3" s="3" t="s">
        <v>332</v>
      </c>
      <c r="E3" s="3" t="s">
        <v>332</v>
      </c>
    </row>
    <row r="4" spans="4:5">
      <c r="D4" s="3" t="s">
        <v>333</v>
      </c>
      <c r="E4" s="3" t="s">
        <v>333</v>
      </c>
    </row>
    <row r="5" spans="4:5">
      <c r="D5" s="3" t="s">
        <v>334</v>
      </c>
      <c r="E5" s="3" t="s">
        <v>334</v>
      </c>
    </row>
    <row r="6" spans="4:5">
      <c r="D6" s="3" t="s">
        <v>335</v>
      </c>
      <c r="E6" s="3" t="s">
        <v>335</v>
      </c>
    </row>
    <row r="7" spans="4:5">
      <c r="D7" s="3" t="s">
        <v>336</v>
      </c>
      <c r="E7" s="3" t="s">
        <v>336</v>
      </c>
    </row>
    <row r="8" spans="4:5">
      <c r="D8" s="3" t="s">
        <v>337</v>
      </c>
      <c r="E8" s="3" t="s">
        <v>337</v>
      </c>
    </row>
    <row r="9" spans="4:5">
      <c r="D9" s="3" t="s">
        <v>338</v>
      </c>
      <c r="E9" s="3" t="s">
        <v>338</v>
      </c>
    </row>
    <row r="10" spans="4:5">
      <c r="D10" s="3" t="s">
        <v>339</v>
      </c>
      <c r="E10" s="3" t="s">
        <v>339</v>
      </c>
    </row>
    <row r="11" spans="4:5">
      <c r="D11" s="3" t="s">
        <v>340</v>
      </c>
      <c r="E11" s="3" t="s">
        <v>340</v>
      </c>
    </row>
    <row r="18" spans="5:5">
      <c r="E18" s="8"/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1:D2"/>
  <sheetViews>
    <sheetView workbookViewId="0">
      <selection activeCell="A2" sqref="A2"/>
    </sheetView>
  </sheetViews>
  <sheetFormatPr defaultColWidth="9" defaultRowHeight="14.25" outlineLevelRow="1" outlineLevelCol="3"/>
  <cols>
    <col min="1" max="1" width="13.4416666666667" customWidth="1"/>
    <col min="2" max="2" width="34" customWidth="1"/>
    <col min="3" max="4" width="19.6666666666667" style="3" customWidth="1"/>
  </cols>
  <sheetData>
    <row r="1" spans="1:4">
      <c r="A1" t="s">
        <v>0</v>
      </c>
      <c r="B1" t="s">
        <v>341</v>
      </c>
      <c r="C1" s="2" t="s">
        <v>134</v>
      </c>
      <c r="D1" s="2" t="s">
        <v>135</v>
      </c>
    </row>
    <row r="2" spans="1:4">
      <c r="A2" t="s">
        <v>257</v>
      </c>
      <c r="B2" s="3" t="s">
        <v>342</v>
      </c>
      <c r="C2" s="3" t="s">
        <v>343</v>
      </c>
      <c r="D2" s="3" t="s">
        <v>344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6"/>
  <dimension ref="A1:L22"/>
  <sheetViews>
    <sheetView workbookViewId="0">
      <selection activeCell="G27" sqref="G27"/>
    </sheetView>
  </sheetViews>
  <sheetFormatPr defaultColWidth="9" defaultRowHeight="14.25"/>
  <cols>
    <col min="1" max="1" width="13.2166666666667" customWidth="1"/>
    <col min="3" max="3" width="14.2166666666667" customWidth="1"/>
    <col min="5" max="5" width="8.88333333333333" customWidth="1"/>
    <col min="6" max="6" width="10.6666666666667" customWidth="1"/>
    <col min="7" max="7" width="12.775" customWidth="1"/>
    <col min="8" max="8" width="11.6666666666667" customWidth="1"/>
  </cols>
  <sheetData>
    <row r="1" spans="1:12">
      <c r="A1" s="5" t="s">
        <v>345</v>
      </c>
      <c r="B1" s="6" t="s">
        <v>72</v>
      </c>
      <c r="C1" s="6" t="s">
        <v>346</v>
      </c>
      <c r="D1" t="s">
        <v>347</v>
      </c>
      <c r="E1" t="s">
        <v>348</v>
      </c>
      <c r="F1" t="s">
        <v>71</v>
      </c>
      <c r="G1" t="s">
        <v>349</v>
      </c>
      <c r="H1" t="s">
        <v>350</v>
      </c>
      <c r="I1" t="s">
        <v>351</v>
      </c>
      <c r="J1" t="s">
        <v>352</v>
      </c>
      <c r="K1" t="s">
        <v>69</v>
      </c>
      <c r="L1" t="s">
        <v>353</v>
      </c>
    </row>
    <row r="2" spans="1:12">
      <c r="A2" s="5"/>
      <c r="B2" s="7"/>
      <c r="C2" s="7"/>
      <c r="E2" t="s">
        <v>354</v>
      </c>
      <c r="K2" t="s">
        <v>355</v>
      </c>
      <c r="L2" t="s">
        <v>356</v>
      </c>
    </row>
    <row r="3" spans="1:12">
      <c r="A3" s="5"/>
      <c r="B3" s="7"/>
      <c r="C3" s="7"/>
      <c r="E3" t="s">
        <v>354</v>
      </c>
      <c r="K3" t="s">
        <v>357</v>
      </c>
      <c r="L3" t="s">
        <v>358</v>
      </c>
    </row>
    <row r="4" spans="1:12">
      <c r="A4" s="5"/>
      <c r="B4" s="7"/>
      <c r="C4" s="7"/>
      <c r="E4" t="s">
        <v>354</v>
      </c>
      <c r="K4" t="s">
        <v>359</v>
      </c>
      <c r="L4" t="s">
        <v>360</v>
      </c>
    </row>
    <row r="5" spans="1:12">
      <c r="A5" s="5"/>
      <c r="B5" s="7"/>
      <c r="C5" s="7"/>
      <c r="E5" t="s">
        <v>354</v>
      </c>
      <c r="K5" t="s">
        <v>361</v>
      </c>
      <c r="L5" t="s">
        <v>362</v>
      </c>
    </row>
    <row r="6" spans="1:12">
      <c r="A6" s="5"/>
      <c r="B6" s="7"/>
      <c r="C6" s="7"/>
      <c r="E6" t="s">
        <v>354</v>
      </c>
      <c r="K6" t="s">
        <v>363</v>
      </c>
      <c r="L6" t="s">
        <v>364</v>
      </c>
    </row>
    <row r="7" spans="1:12">
      <c r="A7" s="5"/>
      <c r="B7" s="7"/>
      <c r="C7" s="7"/>
      <c r="E7" t="s">
        <v>354</v>
      </c>
      <c r="K7" t="s">
        <v>365</v>
      </c>
      <c r="L7" t="s">
        <v>366</v>
      </c>
    </row>
    <row r="8" spans="1:12">
      <c r="A8" s="5"/>
      <c r="B8" s="7"/>
      <c r="C8" s="7"/>
      <c r="E8" t="s">
        <v>354</v>
      </c>
      <c r="K8" t="s">
        <v>367</v>
      </c>
      <c r="L8" t="s">
        <v>368</v>
      </c>
    </row>
    <row r="9" spans="1:12">
      <c r="A9" s="5"/>
      <c r="B9" s="7"/>
      <c r="C9" s="7"/>
      <c r="E9" t="s">
        <v>354</v>
      </c>
      <c r="K9" t="s">
        <v>369</v>
      </c>
      <c r="L9" t="s">
        <v>370</v>
      </c>
    </row>
    <row r="10" spans="1:12">
      <c r="A10" s="5"/>
      <c r="B10" s="7"/>
      <c r="C10" s="7"/>
      <c r="E10" t="s">
        <v>354</v>
      </c>
      <c r="K10" t="s">
        <v>371</v>
      </c>
      <c r="L10" t="s">
        <v>372</v>
      </c>
    </row>
    <row r="11" spans="1:12">
      <c r="A11" s="5"/>
      <c r="B11" s="7"/>
      <c r="C11" s="7"/>
      <c r="E11" t="s">
        <v>354</v>
      </c>
      <c r="K11" t="s">
        <v>373</v>
      </c>
      <c r="L11" t="s">
        <v>374</v>
      </c>
    </row>
    <row r="12" spans="1:1">
      <c r="A12" s="5"/>
    </row>
    <row r="13" spans="1:12">
      <c r="A13" s="5"/>
      <c r="B13" s="7"/>
      <c r="C13" s="7"/>
      <c r="E13" t="s">
        <v>354</v>
      </c>
      <c r="K13" t="s">
        <v>355</v>
      </c>
      <c r="L13" t="s">
        <v>356</v>
      </c>
    </row>
    <row r="14" spans="1:12">
      <c r="A14" s="5"/>
      <c r="B14" s="7"/>
      <c r="C14" s="7"/>
      <c r="E14" t="s">
        <v>354</v>
      </c>
      <c r="K14" t="s">
        <v>357</v>
      </c>
      <c r="L14" t="s">
        <v>358</v>
      </c>
    </row>
    <row r="15" spans="1:12">
      <c r="A15" s="5"/>
      <c r="B15" s="7"/>
      <c r="C15" s="7"/>
      <c r="E15" t="s">
        <v>354</v>
      </c>
      <c r="K15" t="s">
        <v>359</v>
      </c>
      <c r="L15" t="s">
        <v>360</v>
      </c>
    </row>
    <row r="16" spans="1:12">
      <c r="A16" s="5"/>
      <c r="B16" s="7"/>
      <c r="C16" s="7"/>
      <c r="E16" t="s">
        <v>354</v>
      </c>
      <c r="K16" t="s">
        <v>361</v>
      </c>
      <c r="L16" t="s">
        <v>362</v>
      </c>
    </row>
    <row r="17" spans="1:12">
      <c r="A17" s="5"/>
      <c r="B17" s="7"/>
      <c r="C17" s="7"/>
      <c r="E17" t="s">
        <v>354</v>
      </c>
      <c r="K17" t="s">
        <v>363</v>
      </c>
      <c r="L17" t="s">
        <v>364</v>
      </c>
    </row>
    <row r="18" spans="1:12">
      <c r="A18" s="5"/>
      <c r="B18" s="7"/>
      <c r="C18" s="7"/>
      <c r="E18" t="s">
        <v>354</v>
      </c>
      <c r="K18" t="s">
        <v>365</v>
      </c>
      <c r="L18" t="s">
        <v>366</v>
      </c>
    </row>
    <row r="19" spans="1:12">
      <c r="A19" s="5"/>
      <c r="B19" s="7"/>
      <c r="C19" s="7"/>
      <c r="E19" t="s">
        <v>354</v>
      </c>
      <c r="K19" t="s">
        <v>367</v>
      </c>
      <c r="L19" t="s">
        <v>368</v>
      </c>
    </row>
    <row r="20" spans="1:12">
      <c r="A20" s="5"/>
      <c r="B20" s="7"/>
      <c r="C20" s="7"/>
      <c r="E20" t="s">
        <v>354</v>
      </c>
      <c r="K20" t="s">
        <v>369</v>
      </c>
      <c r="L20" t="s">
        <v>370</v>
      </c>
    </row>
    <row r="21" spans="1:12">
      <c r="A21" s="5"/>
      <c r="B21" s="7"/>
      <c r="C21" s="7"/>
      <c r="E21" t="s">
        <v>354</v>
      </c>
      <c r="K21" t="s">
        <v>371</v>
      </c>
      <c r="L21" t="s">
        <v>372</v>
      </c>
    </row>
    <row r="22" spans="1:12">
      <c r="A22" s="5"/>
      <c r="B22" s="7"/>
      <c r="C22" s="7"/>
      <c r="E22" t="s">
        <v>354</v>
      </c>
      <c r="K22" t="s">
        <v>373</v>
      </c>
      <c r="L22" t="s">
        <v>374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7"/>
  <dimension ref="A1"/>
  <sheetViews>
    <sheetView workbookViewId="0">
      <selection activeCell="J31" sqref="J31"/>
    </sheetView>
  </sheetViews>
  <sheetFormatPr defaultColWidth="9" defaultRowHeight="14.25"/>
  <sheetData/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8"/>
  <dimension ref="A1"/>
  <sheetViews>
    <sheetView workbookViewId="0">
      <selection activeCell="J28" sqref="J28"/>
    </sheetView>
  </sheetViews>
  <sheetFormatPr defaultColWidth="9" defaultRowHeight="14.25"/>
  <sheetData/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9"/>
  <dimension ref="A1:A6"/>
  <sheetViews>
    <sheetView workbookViewId="0">
      <selection activeCell="G22" sqref="G22"/>
    </sheetView>
  </sheetViews>
  <sheetFormatPr defaultColWidth="9" defaultRowHeight="14.25" outlineLevelRow="5"/>
  <cols>
    <col min="1" max="1" width="19.2166666666667" customWidth="1"/>
  </cols>
  <sheetData>
    <row r="1" spans="1:1">
      <c r="A1" t="s">
        <v>250</v>
      </c>
    </row>
    <row r="2" spans="1:1">
      <c r="A2">
        <v>0</v>
      </c>
    </row>
    <row r="3" spans="1:1">
      <c r="A3">
        <v>1</v>
      </c>
    </row>
    <row r="4" spans="1:1">
      <c r="A4">
        <v>2</v>
      </c>
    </row>
    <row r="5" spans="1:1">
      <c r="A5">
        <v>3</v>
      </c>
    </row>
    <row r="6" spans="1:1">
      <c r="A6">
        <v>4</v>
      </c>
    </row>
  </sheetData>
  <pageMargins left="0.699305555555556" right="0.699305555555556" top="0.75" bottom="0.75" header="0.3" footer="0.3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0"/>
  <dimension ref="A1"/>
  <sheetViews>
    <sheetView workbookViewId="0">
      <selection activeCell="D24" sqref="D24"/>
    </sheetView>
  </sheetViews>
  <sheetFormatPr defaultColWidth="9" defaultRowHeight="14.25"/>
  <sheetData/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1"/>
  <dimension ref="A1"/>
  <sheetViews>
    <sheetView workbookViewId="0">
      <selection activeCell="M36" sqref="M36"/>
    </sheetView>
  </sheetViews>
  <sheetFormatPr defaultColWidth="9" defaultRowHeight="14.25"/>
  <sheetData/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2"/>
  <dimension ref="A1"/>
  <sheetViews>
    <sheetView workbookViewId="0">
      <selection activeCell="F14" sqref="F14"/>
    </sheetView>
  </sheetViews>
  <sheetFormatPr defaultColWidth="9" defaultRowHeight="14.25"/>
  <sheetData/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3"/>
  <dimension ref="A1"/>
  <sheetViews>
    <sheetView workbookViewId="0">
      <selection activeCell="F33" sqref="F33"/>
    </sheetView>
  </sheetViews>
  <sheetFormatPr defaultColWidth="9" defaultRowHeight="14.25"/>
  <sheetData/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4"/>
  <dimension ref="A1"/>
  <sheetViews>
    <sheetView workbookViewId="0">
      <selection activeCell="I28" sqref="I28"/>
    </sheetView>
  </sheetViews>
  <sheetFormatPr defaultColWidth="9" defaultRowHeight="14.25"/>
  <sheetData/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5"/>
  <dimension ref="A1"/>
  <sheetViews>
    <sheetView workbookViewId="0">
      <selection activeCell="K17" sqref="K17"/>
    </sheetView>
  </sheetViews>
  <sheetFormatPr defaultColWidth="9" defaultRowHeight="14.25"/>
  <sheetData/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6"/>
  <dimension ref="A1"/>
  <sheetViews>
    <sheetView workbookViewId="0">
      <selection activeCell="G15" sqref="G15"/>
    </sheetView>
  </sheetViews>
  <sheetFormatPr defaultColWidth="9" defaultRowHeight="14.25"/>
  <sheetData/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7"/>
  <dimension ref="A1"/>
  <sheetViews>
    <sheetView workbookViewId="0">
      <selection activeCell="J26" sqref="J26"/>
    </sheetView>
  </sheetViews>
  <sheetFormatPr defaultColWidth="9" defaultRowHeight="14.25"/>
  <sheetData/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8"/>
  <dimension ref="A1:H19"/>
  <sheetViews>
    <sheetView workbookViewId="0">
      <selection activeCell="B2" sqref="B2"/>
    </sheetView>
  </sheetViews>
  <sheetFormatPr defaultColWidth="9" defaultRowHeight="14.25" outlineLevelCol="7"/>
  <cols>
    <col min="1" max="1" width="11.6333333333333" style="3" customWidth="1"/>
    <col min="2" max="2" width="24.75" style="3" customWidth="1"/>
    <col min="3" max="3" width="9.44166666666667" style="3" customWidth="1"/>
    <col min="4" max="4" width="10.1083333333333" style="3" customWidth="1"/>
    <col min="5" max="5" width="20" style="3" customWidth="1"/>
    <col min="6" max="6" width="19.8833333333333" style="3" customWidth="1"/>
    <col min="7" max="8" width="10.1083333333333" style="3" customWidth="1"/>
    <col min="9" max="16384" width="9" style="3"/>
  </cols>
  <sheetData>
    <row r="1" spans="1:8">
      <c r="A1" s="3" t="s">
        <v>0</v>
      </c>
      <c r="B1" s="2" t="s">
        <v>375</v>
      </c>
      <c r="E1" s="2"/>
      <c r="F1" s="2"/>
      <c r="G1" s="4"/>
      <c r="H1" s="4"/>
    </row>
    <row r="2" spans="1:4">
      <c r="A2" t="s">
        <v>376</v>
      </c>
      <c r="B2" t="s">
        <v>377</v>
      </c>
      <c r="D2"/>
    </row>
    <row r="3" spans="1:4">
      <c r="A3"/>
      <c r="B3"/>
      <c r="D3"/>
    </row>
    <row r="4" spans="1:4">
      <c r="A4"/>
      <c r="B4"/>
      <c r="D4"/>
    </row>
    <row r="5" spans="1:4">
      <c r="A5"/>
      <c r="B5"/>
      <c r="D5"/>
    </row>
    <row r="6" spans="4:4">
      <c r="D6"/>
    </row>
    <row r="7" spans="4:4">
      <c r="D7"/>
    </row>
    <row r="8" spans="4:4">
      <c r="D8"/>
    </row>
    <row r="9" spans="4:4">
      <c r="D9"/>
    </row>
    <row r="10" spans="4:4">
      <c r="D10"/>
    </row>
    <row r="11" spans="4:4">
      <c r="D11"/>
    </row>
    <row r="12" spans="4:4">
      <c r="D12"/>
    </row>
    <row r="13" spans="4:4">
      <c r="D13"/>
    </row>
    <row r="14" spans="4:4">
      <c r="D14"/>
    </row>
    <row r="15" spans="4:4">
      <c r="D15"/>
    </row>
    <row r="16" spans="4:4">
      <c r="D16"/>
    </row>
    <row r="17" spans="4:4">
      <c r="D17"/>
    </row>
    <row r="18" spans="4:4">
      <c r="D18"/>
    </row>
    <row r="19" spans="4:4">
      <c r="D19"/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9"/>
  <dimension ref="A1:B2"/>
  <sheetViews>
    <sheetView workbookViewId="0">
      <selection activeCell="B8" sqref="B8"/>
    </sheetView>
  </sheetViews>
  <sheetFormatPr defaultColWidth="9" defaultRowHeight="14.25" outlineLevelRow="1" outlineLevelCol="1"/>
  <cols>
    <col min="1" max="2" width="19.6333333333333" customWidth="1"/>
  </cols>
  <sheetData>
    <row r="1" spans="1:2">
      <c r="A1" s="2" t="s">
        <v>134</v>
      </c>
      <c r="B1" s="2" t="s">
        <v>135</v>
      </c>
    </row>
    <row r="2" spans="1:2">
      <c r="A2" s="3" t="s">
        <v>378</v>
      </c>
      <c r="B2" s="3" t="s">
        <v>379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0"/>
  <dimension ref="A1:I14"/>
  <sheetViews>
    <sheetView workbookViewId="0">
      <selection activeCell="E12" sqref="E12"/>
    </sheetView>
  </sheetViews>
  <sheetFormatPr defaultColWidth="9" defaultRowHeight="14.25"/>
  <sheetData>
    <row r="1" spans="1:1">
      <c r="A1" t="s">
        <v>375</v>
      </c>
    </row>
    <row r="2" spans="1:1">
      <c r="A2" t="s">
        <v>380</v>
      </c>
    </row>
    <row r="14" spans="9:9">
      <c r="I14" s="1"/>
    </row>
  </sheetData>
  <pageMargins left="0.75" right="0.75" top="1" bottom="1" header="0.5" footer="0.5"/>
  <headerFooter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1"/>
  <dimension ref="A1:C7"/>
  <sheetViews>
    <sheetView workbookViewId="0">
      <selection activeCell="F1" sqref="F$1:F$1048576"/>
    </sheetView>
  </sheetViews>
  <sheetFormatPr defaultColWidth="9" defaultRowHeight="14.25" outlineLevelRow="6" outlineLevelCol="2"/>
  <cols>
    <col min="1" max="1" width="11.6666666666667" customWidth="1"/>
    <col min="2" max="2" width="23.1083333333333" customWidth="1"/>
    <col min="3" max="3" width="17.1333333333333" customWidth="1"/>
  </cols>
  <sheetData>
    <row r="1" spans="1:3">
      <c r="A1" t="s">
        <v>381</v>
      </c>
      <c r="B1" t="s">
        <v>382</v>
      </c>
      <c r="C1" t="s">
        <v>383</v>
      </c>
    </row>
    <row r="2" spans="1:3">
      <c r="A2" t="s">
        <v>384</v>
      </c>
      <c r="B2" t="s">
        <v>385</v>
      </c>
      <c r="C2">
        <v>2</v>
      </c>
    </row>
    <row r="3" spans="1:3">
      <c r="A3" t="s">
        <v>386</v>
      </c>
      <c r="B3" t="s">
        <v>385</v>
      </c>
      <c r="C3">
        <v>2</v>
      </c>
    </row>
    <row r="4" spans="1:3">
      <c r="A4" t="s">
        <v>387</v>
      </c>
      <c r="B4" t="s">
        <v>385</v>
      </c>
      <c r="C4">
        <v>2</v>
      </c>
    </row>
    <row r="5" spans="1:3">
      <c r="A5" t="s">
        <v>388</v>
      </c>
      <c r="B5" t="s">
        <v>385</v>
      </c>
      <c r="C5">
        <v>2</v>
      </c>
    </row>
    <row r="6" spans="1:3">
      <c r="A6" t="s">
        <v>389</v>
      </c>
      <c r="B6" t="s">
        <v>385</v>
      </c>
      <c r="C6">
        <v>2</v>
      </c>
    </row>
    <row r="7" spans="1:3">
      <c r="A7" t="s">
        <v>390</v>
      </c>
      <c r="B7" t="s">
        <v>385</v>
      </c>
      <c r="C7">
        <v>2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2"/>
  <dimension ref="A1:H7"/>
  <sheetViews>
    <sheetView workbookViewId="0">
      <selection activeCell="D26" sqref="D26"/>
    </sheetView>
  </sheetViews>
  <sheetFormatPr defaultColWidth="9" defaultRowHeight="14.25" outlineLevelRow="6" outlineLevelCol="7"/>
  <cols>
    <col min="1" max="1" width="11.6666666666667" customWidth="1"/>
    <col min="2" max="2" width="23.1083333333333" customWidth="1"/>
    <col min="3" max="3" width="10.3833333333333" customWidth="1"/>
    <col min="4" max="4" width="16.5" customWidth="1"/>
    <col min="5" max="5" width="9.63333333333333" customWidth="1"/>
    <col min="6" max="6" width="13.75" customWidth="1"/>
  </cols>
  <sheetData>
    <row r="1" spans="1:8">
      <c r="A1" t="s">
        <v>381</v>
      </c>
      <c r="B1" t="s">
        <v>391</v>
      </c>
      <c r="C1" t="s">
        <v>392</v>
      </c>
      <c r="D1" t="s">
        <v>393</v>
      </c>
      <c r="E1" t="s">
        <v>394</v>
      </c>
      <c r="F1" t="s">
        <v>395</v>
      </c>
      <c r="G1" t="s">
        <v>396</v>
      </c>
      <c r="H1" t="s">
        <v>397</v>
      </c>
    </row>
    <row r="2" spans="1:8">
      <c r="A2" t="s">
        <v>398</v>
      </c>
      <c r="B2" t="s">
        <v>384</v>
      </c>
      <c r="C2" t="s">
        <v>399</v>
      </c>
      <c r="D2">
        <v>10051</v>
      </c>
      <c r="E2">
        <v>1</v>
      </c>
      <c r="G2" t="s">
        <v>400</v>
      </c>
      <c r="H2">
        <v>10051</v>
      </c>
    </row>
    <row r="3" spans="1:8">
      <c r="A3" t="s">
        <v>401</v>
      </c>
      <c r="B3" t="s">
        <v>386</v>
      </c>
      <c r="C3" t="s">
        <v>402</v>
      </c>
      <c r="D3">
        <v>10051</v>
      </c>
      <c r="E3">
        <v>1</v>
      </c>
      <c r="G3" t="s">
        <v>403</v>
      </c>
      <c r="H3">
        <v>10051</v>
      </c>
    </row>
    <row r="4" spans="1:8">
      <c r="A4" t="s">
        <v>404</v>
      </c>
      <c r="B4" t="s">
        <v>387</v>
      </c>
      <c r="C4" t="s">
        <v>405</v>
      </c>
      <c r="D4">
        <v>10051</v>
      </c>
      <c r="E4">
        <v>1</v>
      </c>
      <c r="G4" t="s">
        <v>406</v>
      </c>
      <c r="H4">
        <v>10051</v>
      </c>
    </row>
    <row r="5" spans="1:8">
      <c r="A5" t="s">
        <v>407</v>
      </c>
      <c r="B5" t="s">
        <v>388</v>
      </c>
      <c r="C5" t="s">
        <v>408</v>
      </c>
      <c r="D5">
        <v>10051</v>
      </c>
      <c r="E5">
        <v>1</v>
      </c>
      <c r="G5" t="s">
        <v>409</v>
      </c>
      <c r="H5">
        <v>10051</v>
      </c>
    </row>
    <row r="6" spans="1:8">
      <c r="A6" t="s">
        <v>410</v>
      </c>
      <c r="B6" t="s">
        <v>389</v>
      </c>
      <c r="C6" t="s">
        <v>411</v>
      </c>
      <c r="D6">
        <v>10051</v>
      </c>
      <c r="E6">
        <v>1</v>
      </c>
      <c r="G6" t="s">
        <v>412</v>
      </c>
      <c r="H6">
        <v>10051</v>
      </c>
    </row>
    <row r="7" spans="1:8">
      <c r="A7" t="s">
        <v>413</v>
      </c>
      <c r="B7" t="s">
        <v>390</v>
      </c>
      <c r="C7" t="s">
        <v>414</v>
      </c>
      <c r="D7">
        <v>10051</v>
      </c>
      <c r="E7">
        <v>1</v>
      </c>
      <c r="G7" t="s">
        <v>415</v>
      </c>
      <c r="H7">
        <v>10051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3"/>
  <dimension ref="A1:B1"/>
  <sheetViews>
    <sheetView workbookViewId="0">
      <selection activeCell="F3" sqref="F3:F9"/>
    </sheetView>
  </sheetViews>
  <sheetFormatPr defaultColWidth="9" defaultRowHeight="14.25" outlineLevelCol="1"/>
  <cols>
    <col min="1" max="1" width="14.775" customWidth="1"/>
    <col min="2" max="2" width="26.2166666666667" customWidth="1"/>
  </cols>
  <sheetData>
    <row r="1" spans="1:2">
      <c r="A1" t="s">
        <v>69</v>
      </c>
      <c r="B1" t="s">
        <v>381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4"/>
  <dimension ref="A1:B1"/>
  <sheetViews>
    <sheetView workbookViewId="0">
      <selection activeCell="A2" sqref="A2"/>
    </sheetView>
  </sheetViews>
  <sheetFormatPr defaultColWidth="9" defaultRowHeight="14.25" outlineLevelCol="1"/>
  <cols>
    <col min="1" max="1" width="14.775" customWidth="1"/>
    <col min="2" max="2" width="26.2166666666667" customWidth="1"/>
  </cols>
  <sheetData>
    <row r="1" spans="1:2">
      <c r="A1" t="s">
        <v>69</v>
      </c>
      <c r="B1" t="s">
        <v>416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5"/>
  <dimension ref="A1:B2"/>
  <sheetViews>
    <sheetView workbookViewId="0">
      <selection activeCell="F14" sqref="F14"/>
    </sheetView>
  </sheetViews>
  <sheetFormatPr defaultColWidth="9" defaultRowHeight="14.25" outlineLevelRow="1" outlineLevelCol="1"/>
  <sheetData>
    <row r="1" spans="1:2">
      <c r="A1" t="s">
        <v>130</v>
      </c>
      <c r="B1" t="s">
        <v>417</v>
      </c>
    </row>
    <row r="2" spans="1:2">
      <c r="A2" t="s">
        <v>418</v>
      </c>
      <c r="B2">
        <v>1234</v>
      </c>
    </row>
  </sheetData>
  <pageMargins left="0.75" right="0.75" top="1" bottom="1" header="0.5" footer="0.5"/>
  <headerFooter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6"/>
  <dimension ref="A1"/>
  <sheetViews>
    <sheetView workbookViewId="0">
      <selection activeCell="I11" sqref="I11"/>
    </sheetView>
  </sheetViews>
  <sheetFormatPr defaultColWidth="9" defaultRowHeight="14.25"/>
  <sheetData/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7"/>
  <dimension ref="A1"/>
  <sheetViews>
    <sheetView workbookViewId="0">
      <selection activeCell="J28" sqref="J28"/>
    </sheetView>
  </sheetViews>
  <sheetFormatPr defaultColWidth="9" defaultRowHeight="14.25"/>
  <sheetData/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8"/>
  <dimension ref="A1:A3"/>
  <sheetViews>
    <sheetView workbookViewId="0">
      <selection activeCell="A2" sqref="A2"/>
    </sheetView>
  </sheetViews>
  <sheetFormatPr defaultColWidth="9" defaultRowHeight="14.25" outlineLevelRow="2"/>
  <cols>
    <col min="1" max="1" width="11.6666666666667" customWidth="1"/>
    <col min="2" max="2" width="23.1083333333333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58</vt:i4>
      </vt:variant>
    </vt:vector>
  </HeadingPairs>
  <TitlesOfParts>
    <vt:vector size="58" baseType="lpstr">
      <vt:lpstr>01_创建主机组</vt:lpstr>
      <vt:lpstr>02_创建模板</vt:lpstr>
      <vt:lpstr>03_模板添加用户宏</vt:lpstr>
      <vt:lpstr>04_模板关联模板</vt:lpstr>
      <vt:lpstr>05_模板更新标签</vt:lpstr>
      <vt:lpstr>06_模板创建监控项</vt:lpstr>
      <vt:lpstr>07_模板更新监控项标签</vt:lpstr>
      <vt:lpstr>08_模板创建触发器</vt:lpstr>
      <vt:lpstr>09_模板更新触发器标签</vt:lpstr>
      <vt:lpstr>10_创建主机</vt:lpstr>
      <vt:lpstr>11_主机创建接口</vt:lpstr>
      <vt:lpstr>12_主机关联模板</vt:lpstr>
      <vt:lpstr>13_主机关联主机组</vt:lpstr>
      <vt:lpstr>14_按主机批量计算历史值</vt:lpstr>
      <vt:lpstr>15_按主机批量导出历史数据</vt:lpstr>
      <vt:lpstr>16_按主机组导出主机</vt:lpstr>
      <vt:lpstr>17_批量停止已启用触发器</vt:lpstr>
      <vt:lpstr>18_根据监控项历史值关联模板</vt:lpstr>
      <vt:lpstr>19_翻译模板监控项</vt:lpstr>
      <vt:lpstr>20_还原模板监控项</vt:lpstr>
      <vt:lpstr>21_翻译模板触发器</vt:lpstr>
      <vt:lpstr>22_还原模板触发器</vt:lpstr>
      <vt:lpstr>23_翻译模板图形</vt:lpstr>
      <vt:lpstr>24_还原模板图形</vt:lpstr>
      <vt:lpstr>25_翻译模板监控项原型</vt:lpstr>
      <vt:lpstr>26_还原模板监控项原型</vt:lpstr>
      <vt:lpstr>27_翻译模板触发器类型</vt:lpstr>
      <vt:lpstr>28_还原模板触发器类型</vt:lpstr>
      <vt:lpstr>29_翻译模板图形原型</vt:lpstr>
      <vt:lpstr>30_还原模板图形原型</vt:lpstr>
      <vt:lpstr>31_发现规则</vt:lpstr>
      <vt:lpstr>32_模板创建监控项原型</vt:lpstr>
      <vt:lpstr>33_模板创建触发器</vt:lpstr>
      <vt:lpstr>34_获取所有告警信息</vt:lpstr>
      <vt:lpstr>35_获取所有事件信息</vt:lpstr>
      <vt:lpstr>36_下发文件</vt:lpstr>
      <vt:lpstr>37_翻译模板触发器事件名称</vt:lpstr>
      <vt:lpstr>38_翻译模板原型触发器事件名称</vt:lpstr>
      <vt:lpstr>39_批量停止不支持监控项</vt:lpstr>
      <vt:lpstr>40_翻译所有模板标签名称</vt:lpstr>
      <vt:lpstr>41_翻译所有模板监控项标签名称</vt:lpstr>
      <vt:lpstr>42_翻译所有模板触发器标签名称</vt:lpstr>
      <vt:lpstr>43_翻译模板监控项原型标签</vt:lpstr>
      <vt:lpstr>44_翻译模板原型触发器标签</vt:lpstr>
      <vt:lpstr>45_翻译主机组名称</vt:lpstr>
      <vt:lpstr>46_翻译模板组名称</vt:lpstr>
      <vt:lpstr>47_翻译模板应用集名称</vt:lpstr>
      <vt:lpstr>48_按主机组批量导出监控项</vt:lpstr>
      <vt:lpstr>49_获取所有事件信息</vt:lpstr>
      <vt:lpstr>50_为所有主机获取数据</vt:lpstr>
      <vt:lpstr>51_创建Proxy组</vt:lpstr>
      <vt:lpstr>52_创建Proxy</vt:lpstr>
      <vt:lpstr>53_主机关联Proxy</vt:lpstr>
      <vt:lpstr>54_主机关联Proxy</vt:lpstr>
      <vt:lpstr>55_按主机更新可见名</vt:lpstr>
      <vt:lpstr>56_翻译模板描述</vt:lpstr>
      <vt:lpstr>57_翻译模板宏描述</vt:lpstr>
      <vt:lpstr>58_创建模板组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ZSF</dc:creator>
  <cp:lastModifiedBy>Admin</cp:lastModifiedBy>
  <dcterms:created xsi:type="dcterms:W3CDTF">2015-06-05T18:19:00Z</dcterms:created>
  <dcterms:modified xsi:type="dcterms:W3CDTF">2026-08-06T04:44:24Z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KSOReadingLayout">
    <vt:bool>true</vt:bool>
  </property>
  <property fmtid="{D5CDD505-2E9C-101B-9397-08002B2CF9AE}" pid="4" name="ICV">
    <vt:lpwstr>D043F13707F24A31874EF7413D4C03C0_12</vt:lpwstr>
  </property>
</Properties>
</file>