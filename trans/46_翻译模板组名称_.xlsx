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2"/>
  </bookViews>
  <sheets>
    <sheet name="6.0.32" sheetId="17" r:id="rId1"/>
    <sheet name="6.4.14" sheetId="19" r:id="rId2"/>
    <sheet name="7.0.17" sheetId="20" r:id="rId3"/>
    <sheet name="整理" sheetId="2" r:id="rId4"/>
    <sheet name="000" sheetId="3" r:id="rId5"/>
  </sheets>
  <definedNames>
    <definedName name="_xlnm._FilterDatabase" localSheetId="0" hidden="1">'6.0.32'!$A$1:$H$8</definedName>
    <definedName name="_xlnm._FilterDatabase" localSheetId="3" hidden="1">整理!$A$1:$EV$2</definedName>
  </definedNames>
  <calcPr calcId="144525" calcMode="manual"/>
</workbook>
</file>

<file path=xl/sharedStrings.xml><?xml version="1.0" encoding="utf-8"?>
<sst xmlns="http://schemas.openxmlformats.org/spreadsheetml/2006/main" count="226" uniqueCount="92">
  <si>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</si>
  <si>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</si>
  <si>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</si>
  <si>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</si>
  <si>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</si>
  <si>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</si>
  <si>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</si>
  <si>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</si>
  <si>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(7/1)</t>
  </si>
  <si>
    <t/>
  </si>
  <si>
    <t>2</t>
  </si>
  <si>
    <t>Linux服务器</t>
  </si>
  <si>
    <t>(7/2)</t>
  </si>
  <si>
    <t>4</t>
  </si>
  <si>
    <t>Zabbix服务器</t>
  </si>
  <si>
    <t>(7/3)</t>
  </si>
  <si>
    <t>5</t>
  </si>
  <si>
    <t>发现主机</t>
  </si>
  <si>
    <t>(7/4)</t>
  </si>
  <si>
    <t>19</t>
  </si>
  <si>
    <t>应用</t>
  </si>
  <si>
    <t>(7/5)</t>
  </si>
  <si>
    <t>20</t>
  </si>
  <si>
    <t>数据库</t>
  </si>
  <si>
    <t>(7/6)</t>
  </si>
  <si>
    <t>7</t>
  </si>
  <si>
    <t>虚拟化</t>
  </si>
  <si>
    <t>(7/7)</t>
  </si>
  <si>
    <t>6</t>
  </si>
  <si>
    <t>虚拟机</t>
  </si>
  <si>
    <t>(12/1)</t>
  </si>
  <si>
    <t>1</t>
  </si>
  <si>
    <t>Templates</t>
  </si>
  <si>
    <t>模板</t>
  </si>
  <si>
    <t>(12/2)</t>
  </si>
  <si>
    <t>9</t>
  </si>
  <si>
    <t>Templates/Network devices</t>
  </si>
  <si>
    <t>模板/网络设备</t>
  </si>
  <si>
    <t>(12/3)</t>
  </si>
  <si>
    <t>10</t>
  </si>
  <si>
    <t>Templates/Operating systems</t>
  </si>
  <si>
    <t>模板/操作系统</t>
  </si>
  <si>
    <t>(12/4)</t>
  </si>
  <si>
    <t>11</t>
  </si>
  <si>
    <t>Templates/Server hardware</t>
  </si>
  <si>
    <t>模板/服务器硬件</t>
  </si>
  <si>
    <t>(12/5)</t>
  </si>
  <si>
    <t>12</t>
  </si>
  <si>
    <t>Templates/Applications</t>
  </si>
  <si>
    <t>模板/应用</t>
  </si>
  <si>
    <t>(12/6)</t>
  </si>
  <si>
    <t>13</t>
  </si>
  <si>
    <t>Templates/Databases</t>
  </si>
  <si>
    <t>模板/数据库</t>
  </si>
  <si>
    <t>(12/7)</t>
  </si>
  <si>
    <t>14</t>
  </si>
  <si>
    <t>Templates/Virtualization</t>
  </si>
  <si>
    <t>模板/虚拟化</t>
  </si>
  <si>
    <t>(12/8)</t>
  </si>
  <si>
    <t>15</t>
  </si>
  <si>
    <t>Templates/Telephony</t>
  </si>
  <si>
    <t>模板/语音电话</t>
  </si>
  <si>
    <t>(12/9)</t>
  </si>
  <si>
    <t>16</t>
  </si>
  <si>
    <t>Templates/SAN</t>
  </si>
  <si>
    <t>模板/存储</t>
  </si>
  <si>
    <t>(12/10)</t>
  </si>
  <si>
    <t>17</t>
  </si>
  <si>
    <t>Templates/Video surveillance</t>
  </si>
  <si>
    <t>模板/视频监控</t>
  </si>
  <si>
    <t>(12/11)</t>
  </si>
  <si>
    <t>18</t>
  </si>
  <si>
    <t>Templates/Power</t>
  </si>
  <si>
    <t>模板/电源</t>
  </si>
  <si>
    <t>(12/12)</t>
  </si>
  <si>
    <t>21</t>
  </si>
  <si>
    <t>Templates/Cloud</t>
  </si>
  <si>
    <t>模板/云</t>
  </si>
  <si>
    <t>[{'tag': '范围', 'value': '可用性'}, {'tag': '范围', 'value': '性能'}]</t>
  </si>
  <si>
    <t>VPN [{#NETWORK.NAME}][{#SENDER.UPLINK}]=&gt;[{#PEER.NETWORK.NAME}][{#RECEIVER.UPLINK}]: High average VPN connection loss (over &gt;= {$MERAKI.VPN.LOSS.PERCENTILE%)</t>
  </si>
  <si>
    <t>HPE iLO：计算机系统[{#SYSTEM_HOSTNAME}]: BIOS版本已更改（新版本：{ITEM.VALUE}）</t>
  </si>
  <si>
    <t>Interface [{#IFNAME}({#IFALIAS})]: High bandwidth usage (&gt;{$NET.IF.UTIL.MAX:"{#IFNAME}"}%)</t>
  </si>
  <si>
    <t>HPE iLO：计算机系统[{#SYSTEM_HOSTNAME}]: 固件版本已更改（新版本：{ITEM.VALUE}）</t>
  </si>
  <si>
    <t>Interface [{#IFNAME}({#IFALIAS})]: High error rate (&gt;{$NET.IF.ERRORS.WARN:"{#IFKEY}"} for 5m)</t>
  </si>
  <si>
    <t xml:space="preserve">Oracle '{#CON_NAME}' TBS '{#TABLESPACE}'：表空间使用率过高（超过5分钟内的{ORACLE.TBS.USED.PCT.FROM.MAX.HIGH}%）. </t>
  </si>
  <si>
    <t>Service [{#NAME}]: License expires soon (less than {$SERVICE.EXPIRY.WARN:"{#KEY}"} days)</t>
  </si>
  <si>
    <t>Oracle '{#CON_NAME}' TBS '{#TABLESPACE}'：表空间使用率过高（超过5分钟内的{ORACLE.TBS.USED.PCT.FROM.MAX.WARN}%）.</t>
  </si>
  <si>
    <t>Service [{#NAME}]: License status is {ITEM.LASTVALUE1}</t>
  </si>
  <si>
    <t xml:space="preserve">Oracle TBS '{#TABLESPACE}'：表空间利用率过高（超过5分钟内的{ORACLE.TBS.USED.PCT.FROM.MAX.WARN}%）. </t>
  </si>
  <si>
    <t>Nextcloud: User "{#NEXTCLOUD.USER}": inactive over {$NEXTCLOUD.USER.MAX.INACTIVE:"{#NEXTCLOUD.USER}"} days</t>
  </si>
  <si>
    <t>Oracle TBS '{#TABLESPACE}'：表空间利用率过高（超过5分钟内的{ORACLE.TBS.USED.PCT.FROM.MAX.HIGH}%）.</t>
  </si>
  <si>
    <t>Nextcloud: User "{#NEXTCLOUD.USER}" High quota utilization (&gt;{$NEXTCLOUD.USER.QUOTA.PUSED.MAX:"{#NEXTCLOUD.USER}"}% for 5m)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</si>
</sst>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4" fillId="21" borderId="1" applyNumberFormat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8"/>
  <sheetViews>
    <sheetView workbookViewId="0">
      <selection activeCell="D27" sqref="D27"/>
    </sheetView>
  </sheetViews>
  <sheetFormatPr defaultColWidth="9" defaultRowHeight="13.5" outlineLevelRow="7" outlineLevelCol="7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 s="2">
        <v>1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11</v>
      </c>
    </row>
    <row r="3" spans="1:7">
      <c r="A3" s="2">
        <v>2</v>
      </c>
      <c r="B3" s="2" t="s">
        <v>12</v>
      </c>
      <c r="C3" s="2" t="s">
        <v>9</v>
      </c>
      <c r="D3" s="2" t="s">
        <v>9</v>
      </c>
      <c r="E3" s="2" t="s">
        <v>13</v>
      </c>
      <c r="F3" s="2" t="s">
        <v>14</v>
      </c>
      <c r="G3" s="2" t="s">
        <v>14</v>
      </c>
    </row>
    <row r="4" spans="1:7">
      <c r="A4" s="2">
        <v>3</v>
      </c>
      <c r="B4" s="2" t="s">
        <v>15</v>
      </c>
      <c r="C4" s="2" t="s">
        <v>9</v>
      </c>
      <c r="D4" s="2" t="s">
        <v>9</v>
      </c>
      <c r="E4" s="2" t="s">
        <v>16</v>
      </c>
      <c r="F4" s="2" t="s">
        <v>17</v>
      </c>
      <c r="G4" s="2" t="s">
        <v>17</v>
      </c>
    </row>
    <row r="5" spans="1:7">
      <c r="A5" s="2">
        <v>4</v>
      </c>
      <c r="B5" s="2" t="s">
        <v>18</v>
      </c>
      <c r="C5" s="2" t="s">
        <v>9</v>
      </c>
      <c r="D5" s="2" t="s">
        <v>9</v>
      </c>
      <c r="E5" s="2" t="s">
        <v>19</v>
      </c>
      <c r="F5" s="2" t="s">
        <v>20</v>
      </c>
      <c r="G5" s="2" t="s">
        <v>20</v>
      </c>
    </row>
    <row r="6" spans="1:7">
      <c r="A6" s="2">
        <v>5</v>
      </c>
      <c r="B6" s="2" t="s">
        <v>21</v>
      </c>
      <c r="C6" s="2" t="s">
        <v>9</v>
      </c>
      <c r="D6" s="2" t="s">
        <v>9</v>
      </c>
      <c r="E6" s="2" t="s">
        <v>22</v>
      </c>
      <c r="F6" s="2" t="s">
        <v>23</v>
      </c>
      <c r="G6" s="2" t="s">
        <v>23</v>
      </c>
    </row>
    <row r="7" spans="1:7">
      <c r="A7" s="2">
        <v>6</v>
      </c>
      <c r="B7" s="2" t="s">
        <v>24</v>
      </c>
      <c r="C7" s="2" t="s">
        <v>9</v>
      </c>
      <c r="D7" s="2" t="s">
        <v>9</v>
      </c>
      <c r="E7" s="2" t="s">
        <v>25</v>
      </c>
      <c r="F7" s="2" t="s">
        <v>26</v>
      </c>
      <c r="G7" s="2" t="s">
        <v>26</v>
      </c>
    </row>
    <row r="8" spans="1:7">
      <c r="A8" s="2">
        <v>7</v>
      </c>
      <c r="B8" s="2" t="s">
        <v>27</v>
      </c>
      <c r="C8" s="2" t="s">
        <v>9</v>
      </c>
      <c r="D8" s="2" t="s">
        <v>9</v>
      </c>
      <c r="E8" s="2" t="s">
        <v>28</v>
      </c>
      <c r="F8" s="2" t="s">
        <v>29</v>
      </c>
      <c r="G8" s="2" t="s">
        <v>29</v>
      </c>
    </row>
  </sheetData>
  <autoFilter ref="A1:H8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3"/>
  <sheetViews>
    <sheetView workbookViewId="0">
      <selection activeCell="G2" sqref="G2:G13"/>
    </sheetView>
  </sheetViews>
  <sheetFormatPr defaultColWidth="9" defaultRowHeight="13.5" outlineLevelCol="7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 s="2">
        <v>1</v>
      </c>
      <c r="B2" s="2" t="s">
        <v>30</v>
      </c>
      <c r="C2" s="2" t="s">
        <v>9</v>
      </c>
      <c r="D2" s="2" t="s">
        <v>9</v>
      </c>
      <c r="E2" s="2" t="s">
        <v>31</v>
      </c>
      <c r="F2" s="2" t="s">
        <v>32</v>
      </c>
      <c r="G2" s="2" t="s">
        <v>33</v>
      </c>
    </row>
    <row r="3" spans="1:7">
      <c r="A3" s="2">
        <v>2</v>
      </c>
      <c r="B3" s="2" t="s">
        <v>34</v>
      </c>
      <c r="C3" s="2" t="s">
        <v>9</v>
      </c>
      <c r="D3" s="2" t="s">
        <v>9</v>
      </c>
      <c r="E3" s="2" t="s">
        <v>35</v>
      </c>
      <c r="F3" s="2" t="s">
        <v>36</v>
      </c>
      <c r="G3" s="2" t="s">
        <v>37</v>
      </c>
    </row>
    <row r="4" spans="1:7">
      <c r="A4" s="2">
        <v>3</v>
      </c>
      <c r="B4" s="2" t="s">
        <v>38</v>
      </c>
      <c r="C4" s="2" t="s">
        <v>9</v>
      </c>
      <c r="D4" s="2" t="s">
        <v>9</v>
      </c>
      <c r="E4" s="2" t="s">
        <v>39</v>
      </c>
      <c r="F4" s="2" t="s">
        <v>40</v>
      </c>
      <c r="G4" s="2" t="s">
        <v>41</v>
      </c>
    </row>
    <row r="5" spans="1:7">
      <c r="A5" s="2">
        <v>4</v>
      </c>
      <c r="B5" s="2" t="s">
        <v>42</v>
      </c>
      <c r="C5" s="2" t="s">
        <v>9</v>
      </c>
      <c r="D5" s="2" t="s">
        <v>9</v>
      </c>
      <c r="E5" s="2" t="s">
        <v>43</v>
      </c>
      <c r="F5" s="2" t="s">
        <v>44</v>
      </c>
      <c r="G5" s="2" t="s">
        <v>45</v>
      </c>
    </row>
    <row r="6" spans="1:7">
      <c r="A6" s="2">
        <v>5</v>
      </c>
      <c r="B6" s="2" t="s">
        <v>46</v>
      </c>
      <c r="C6" s="2" t="s">
        <v>9</v>
      </c>
      <c r="D6" s="2" t="s">
        <v>9</v>
      </c>
      <c r="E6" s="2" t="s">
        <v>47</v>
      </c>
      <c r="F6" s="2" t="s">
        <v>48</v>
      </c>
      <c r="G6" s="2" t="s">
        <v>49</v>
      </c>
    </row>
    <row r="7" spans="1:7">
      <c r="A7" s="2">
        <v>6</v>
      </c>
      <c r="B7" s="2" t="s">
        <v>50</v>
      </c>
      <c r="C7" s="2" t="s">
        <v>9</v>
      </c>
      <c r="D7" s="2" t="s">
        <v>9</v>
      </c>
      <c r="E7" s="2" t="s">
        <v>51</v>
      </c>
      <c r="F7" s="2" t="s">
        <v>52</v>
      </c>
      <c r="G7" s="2" t="s">
        <v>53</v>
      </c>
    </row>
    <row r="8" spans="1:7">
      <c r="A8" s="2">
        <v>7</v>
      </c>
      <c r="B8" s="2" t="s">
        <v>54</v>
      </c>
      <c r="C8" s="2" t="s">
        <v>9</v>
      </c>
      <c r="D8" s="2" t="s">
        <v>9</v>
      </c>
      <c r="E8" s="2" t="s">
        <v>55</v>
      </c>
      <c r="F8" s="2" t="s">
        <v>56</v>
      </c>
      <c r="G8" s="2" t="s">
        <v>57</v>
      </c>
    </row>
    <row r="9" spans="1:7">
      <c r="A9" s="2">
        <v>8</v>
      </c>
      <c r="B9" s="2" t="s">
        <v>58</v>
      </c>
      <c r="C9" s="2" t="s">
        <v>9</v>
      </c>
      <c r="D9" s="2" t="s">
        <v>9</v>
      </c>
      <c r="E9" s="2" t="s">
        <v>59</v>
      </c>
      <c r="F9" s="2" t="s">
        <v>60</v>
      </c>
      <c r="G9" s="2" t="s">
        <v>61</v>
      </c>
    </row>
    <row r="10" spans="1:7">
      <c r="A10" s="2">
        <v>9</v>
      </c>
      <c r="B10" s="2" t="s">
        <v>62</v>
      </c>
      <c r="C10" s="2" t="s">
        <v>9</v>
      </c>
      <c r="D10" s="2" t="s">
        <v>9</v>
      </c>
      <c r="E10" s="2" t="s">
        <v>63</v>
      </c>
      <c r="F10" s="2" t="s">
        <v>64</v>
      </c>
      <c r="G10" s="2" t="s">
        <v>65</v>
      </c>
    </row>
    <row r="11" spans="1:7">
      <c r="A11" s="2">
        <v>10</v>
      </c>
      <c r="B11" s="2" t="s">
        <v>66</v>
      </c>
      <c r="C11" s="2" t="s">
        <v>9</v>
      </c>
      <c r="D11" s="2" t="s">
        <v>9</v>
      </c>
      <c r="E11" s="2" t="s">
        <v>67</v>
      </c>
      <c r="F11" s="2" t="s">
        <v>68</v>
      </c>
      <c r="G11" s="2" t="s">
        <v>69</v>
      </c>
    </row>
    <row r="12" spans="1:7">
      <c r="A12" s="2">
        <v>11</v>
      </c>
      <c r="B12" s="2" t="s">
        <v>70</v>
      </c>
      <c r="C12" s="2" t="s">
        <v>9</v>
      </c>
      <c r="D12" s="2" t="s">
        <v>9</v>
      </c>
      <c r="E12" s="2" t="s">
        <v>71</v>
      </c>
      <c r="F12" s="2" t="s">
        <v>72</v>
      </c>
      <c r="G12" s="2" t="s">
        <v>73</v>
      </c>
    </row>
    <row r="13" spans="1:7">
      <c r="A13" s="2">
        <v>12</v>
      </c>
      <c r="B13" s="2" t="s">
        <v>74</v>
      </c>
      <c r="C13" s="2" t="s">
        <v>9</v>
      </c>
      <c r="D13" s="2" t="s">
        <v>9</v>
      </c>
      <c r="E13" s="2" t="s">
        <v>75</v>
      </c>
      <c r="F13" s="2" t="s">
        <v>76</v>
      </c>
      <c r="G13" s="2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3"/>
  <sheetViews>
    <sheetView tabSelected="1" workbookViewId="0">
      <selection activeCell="F16" sqref="F16"/>
    </sheetView>
  </sheetViews>
  <sheetFormatPr defaultColWidth="9" defaultRowHeight="13.5" outlineLevelCol="7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 s="2">
        <v>1</v>
      </c>
      <c r="B2" s="2" t="s">
        <v>30</v>
      </c>
      <c r="C2" s="2" t="s">
        <v>9</v>
      </c>
      <c r="D2" s="2" t="s">
        <v>9</v>
      </c>
      <c r="E2" s="2" t="s">
        <v>31</v>
      </c>
      <c r="F2" s="2" t="s">
        <v>32</v>
      </c>
      <c r="G2" s="2" t="s">
        <v>33</v>
      </c>
    </row>
    <row r="3" spans="1:7">
      <c r="A3" s="2">
        <v>2</v>
      </c>
      <c r="B3" s="2" t="s">
        <v>34</v>
      </c>
      <c r="C3" s="2" t="s">
        <v>9</v>
      </c>
      <c r="D3" s="2" t="s">
        <v>9</v>
      </c>
      <c r="E3" s="2" t="s">
        <v>35</v>
      </c>
      <c r="F3" s="2" t="s">
        <v>36</v>
      </c>
      <c r="G3" s="2" t="s">
        <v>37</v>
      </c>
    </row>
    <row r="4" spans="1:7">
      <c r="A4" s="2">
        <v>3</v>
      </c>
      <c r="B4" s="2" t="s">
        <v>38</v>
      </c>
      <c r="C4" s="2" t="s">
        <v>9</v>
      </c>
      <c r="D4" s="2" t="s">
        <v>9</v>
      </c>
      <c r="E4" s="2" t="s">
        <v>39</v>
      </c>
      <c r="F4" s="2" t="s">
        <v>40</v>
      </c>
      <c r="G4" s="2" t="s">
        <v>41</v>
      </c>
    </row>
    <row r="5" spans="1:7">
      <c r="A5" s="2">
        <v>4</v>
      </c>
      <c r="B5" s="2" t="s">
        <v>42</v>
      </c>
      <c r="C5" s="2" t="s">
        <v>9</v>
      </c>
      <c r="D5" s="2" t="s">
        <v>9</v>
      </c>
      <c r="E5" s="2" t="s">
        <v>43</v>
      </c>
      <c r="F5" s="2" t="s">
        <v>44</v>
      </c>
      <c r="G5" s="2" t="s">
        <v>45</v>
      </c>
    </row>
    <row r="6" spans="1:7">
      <c r="A6" s="2">
        <v>5</v>
      </c>
      <c r="B6" s="2" t="s">
        <v>46</v>
      </c>
      <c r="C6" s="2" t="s">
        <v>9</v>
      </c>
      <c r="D6" s="2" t="s">
        <v>9</v>
      </c>
      <c r="E6" s="2" t="s">
        <v>47</v>
      </c>
      <c r="F6" s="2" t="s">
        <v>48</v>
      </c>
      <c r="G6" s="2" t="s">
        <v>49</v>
      </c>
    </row>
    <row r="7" spans="1:7">
      <c r="A7" s="2">
        <v>6</v>
      </c>
      <c r="B7" s="2" t="s">
        <v>50</v>
      </c>
      <c r="C7" s="2" t="s">
        <v>9</v>
      </c>
      <c r="D7" s="2" t="s">
        <v>9</v>
      </c>
      <c r="E7" s="2" t="s">
        <v>51</v>
      </c>
      <c r="F7" s="2" t="s">
        <v>52</v>
      </c>
      <c r="G7" s="2" t="s">
        <v>53</v>
      </c>
    </row>
    <row r="8" spans="1:7">
      <c r="A8" s="2">
        <v>7</v>
      </c>
      <c r="B8" s="2" t="s">
        <v>54</v>
      </c>
      <c r="C8" s="2" t="s">
        <v>9</v>
      </c>
      <c r="D8" s="2" t="s">
        <v>9</v>
      </c>
      <c r="E8" s="2" t="s">
        <v>55</v>
      </c>
      <c r="F8" s="2" t="s">
        <v>56</v>
      </c>
      <c r="G8" s="2" t="s">
        <v>57</v>
      </c>
    </row>
    <row r="9" spans="1:7">
      <c r="A9" s="2">
        <v>8</v>
      </c>
      <c r="B9" s="2" t="s">
        <v>58</v>
      </c>
      <c r="C9" s="2" t="s">
        <v>9</v>
      </c>
      <c r="D9" s="2" t="s">
        <v>9</v>
      </c>
      <c r="E9" s="2" t="s">
        <v>59</v>
      </c>
      <c r="F9" s="2" t="s">
        <v>60</v>
      </c>
      <c r="G9" s="2" t="s">
        <v>61</v>
      </c>
    </row>
    <row r="10" spans="1:7">
      <c r="A10" s="2">
        <v>9</v>
      </c>
      <c r="B10" s="2" t="s">
        <v>62</v>
      </c>
      <c r="C10" s="2" t="s">
        <v>9</v>
      </c>
      <c r="D10" s="2" t="s">
        <v>9</v>
      </c>
      <c r="E10" s="2" t="s">
        <v>63</v>
      </c>
      <c r="F10" s="2" t="s">
        <v>64</v>
      </c>
      <c r="G10" s="2" t="s">
        <v>65</v>
      </c>
    </row>
    <row r="11" spans="1:7">
      <c r="A11" s="2">
        <v>10</v>
      </c>
      <c r="B11" s="2" t="s">
        <v>66</v>
      </c>
      <c r="C11" s="2" t="s">
        <v>9</v>
      </c>
      <c r="D11" s="2" t="s">
        <v>9</v>
      </c>
      <c r="E11" s="2" t="s">
        <v>67</v>
      </c>
      <c r="F11" s="2" t="s">
        <v>68</v>
      </c>
      <c r="G11" s="2" t="s">
        <v>69</v>
      </c>
    </row>
    <row r="12" spans="1:7">
      <c r="A12" s="2">
        <v>11</v>
      </c>
      <c r="B12" s="2" t="s">
        <v>70</v>
      </c>
      <c r="C12" s="2" t="s">
        <v>9</v>
      </c>
      <c r="D12" s="2" t="s">
        <v>9</v>
      </c>
      <c r="E12" s="2" t="s">
        <v>71</v>
      </c>
      <c r="F12" s="2" t="s">
        <v>72</v>
      </c>
      <c r="G12" s="2" t="s">
        <v>73</v>
      </c>
    </row>
    <row r="13" spans="1:7">
      <c r="A13" s="2">
        <v>12</v>
      </c>
      <c r="B13" s="2" t="s">
        <v>74</v>
      </c>
      <c r="C13" s="2" t="s">
        <v>9</v>
      </c>
      <c r="D13" s="2" t="s">
        <v>9</v>
      </c>
      <c r="E13" s="2" t="s">
        <v>75</v>
      </c>
      <c r="F13" s="2" t="s">
        <v>76</v>
      </c>
      <c r="G13" s="2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4"/>
  <dimension ref="A1:EV2"/>
  <sheetViews>
    <sheetView workbookViewId="0">
      <pane ySplit="1" topLeftCell="A2" activePane="bottomLeft" state="frozen"/>
      <selection/>
      <selection pane="bottomLeft" activeCell="B22" sqref="B22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32</v>
      </c>
      <c r="B2" s="2" t="s">
        <v>78</v>
      </c>
      <c r="C2" s="2" t="str">
        <f>IFERROR(INDEX('6.0.32'!G:G,MATCH(A2,'6.0.32'!F:F,0)),IFERROR(INDEX('6.4.14'!G:G,MATCH(A2,'6.4.14'!F:F,0)),""))</f>
        <v>模板</v>
      </c>
      <c r="D2" s="2">
        <f>IF(C2=B2,1,0)</f>
        <v>0</v>
      </c>
      <c r="E2" s="5">
        <f>(LEN(A2)-LEN(SUBSTITUTE(A2,":","")))/LEN(":")</f>
        <v>0</v>
      </c>
      <c r="F2" s="5" t="e">
        <f>J2&amp;","&amp;N2</f>
        <v>#VALUE!</v>
      </c>
      <c r="G2" s="5"/>
      <c r="H2" s="5" t="e">
        <f>FIND(": '",$A2,1)</f>
        <v>#VALUE!</v>
      </c>
      <c r="I2" s="5" t="e">
        <f>FIND("',",$A2,H2+1)</f>
        <v>#VALUE!</v>
      </c>
      <c r="J2" s="5" t="e">
        <f>MID($A2,H2+2,I2-H2-1)</f>
        <v>#VALUE!</v>
      </c>
      <c r="K2" s="5"/>
      <c r="L2" s="5">
        <f>FIND(": '",$B2,1)</f>
        <v>8</v>
      </c>
      <c r="M2" s="5">
        <f>FIND("',",$B2,L2+1)</f>
        <v>13</v>
      </c>
      <c r="N2" s="5" t="str">
        <f>MID($B2,L2+2,M2-L2-1)</f>
        <v>'范围'</v>
      </c>
      <c r="O2" s="5"/>
      <c r="P2" s="5" t="e">
        <f>T2&amp;","&amp;X2</f>
        <v>#VALUE!</v>
      </c>
      <c r="Q2" s="5"/>
      <c r="R2" s="5" t="e">
        <f>FIND(": '",$A2,I2+1)</f>
        <v>#VALUE!</v>
      </c>
      <c r="S2" s="5" t="e">
        <f>FIND("'}",$A2,R2+1)</f>
        <v>#VALUE!</v>
      </c>
      <c r="T2" s="5" t="e">
        <f>MID($A2,R2+2,S2-R2-1)</f>
        <v>#VALUE!</v>
      </c>
      <c r="U2" s="5"/>
      <c r="V2" s="5">
        <f>FIND(": '",$B2,M2+1)</f>
        <v>23</v>
      </c>
      <c r="W2" s="5">
        <f>IFERROR(FIND("'}",$B2,V2+1),FIND("',",$B2,V2+1))</f>
        <v>29</v>
      </c>
      <c r="X2" s="5" t="str">
        <f>MID($B2,V2+2,W2-V2-1)</f>
        <v>'可用性'</v>
      </c>
      <c r="Y2" s="5"/>
      <c r="Z2" s="5" t="e">
        <f>AD2&amp;","&amp;AH2</f>
        <v>#VALUE!</v>
      </c>
      <c r="AA2" s="5"/>
      <c r="AB2" s="5" t="e">
        <f>FIND(": '",$A2,S2+1)</f>
        <v>#VALUE!</v>
      </c>
      <c r="AC2" s="5" t="e">
        <f>IFERROR(FIND("',",$A2,AB2+1),FIND("'}",$A2,AB2+1))</f>
        <v>#VALUE!</v>
      </c>
      <c r="AD2" s="5" t="e">
        <f>MID($A2,AB2+2,AC2-AB2-1)</f>
        <v>#VALUE!</v>
      </c>
      <c r="AE2" s="5"/>
      <c r="AF2" s="5">
        <f>FIND(": '",$B2,W2+1)</f>
        <v>39</v>
      </c>
      <c r="AG2" s="5">
        <f>IFERROR(FIND("',",$B2,AF2+1),FIND("'}",$B2,AF2+1))</f>
        <v>44</v>
      </c>
      <c r="AH2" s="5" t="str">
        <f>MID($B2,AF2+2,AG2-AF2-1)</f>
        <v>'范围'</v>
      </c>
      <c r="AI2" s="5"/>
      <c r="AJ2" s="5" t="e">
        <f>AN2&amp;","&amp;AR2</f>
        <v>#VALUE!</v>
      </c>
      <c r="AK2" s="5"/>
      <c r="AL2" s="5" t="e">
        <f>FIND(": '",$A2,AC2+1)</f>
        <v>#VALUE!</v>
      </c>
      <c r="AM2" s="5" t="e">
        <f>IFERROR(FIND("'}",$A2,AL2+1),FIND("',",$A2,AL2+1))</f>
        <v>#VALUE!</v>
      </c>
      <c r="AN2" s="5" t="e">
        <f>MID($A2,AL2+2,AM2-AL2-1)</f>
        <v>#VALUE!</v>
      </c>
      <c r="AO2" s="5"/>
      <c r="AP2" s="5">
        <f>FIND(": '",$B2,AG2+1)</f>
        <v>54</v>
      </c>
      <c r="AQ2" s="5">
        <f>IFERROR(FIND("'}",$B2,AP2+1),FIND("',",$B2,AP2+1))</f>
        <v>59</v>
      </c>
      <c r="AR2" s="5" t="str">
        <f>MID($B2,AP2+2,AQ2-AP2-1)</f>
        <v>'性能'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workbookViewId="0">
      <selection activeCell="A1" sqref="A1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79</v>
      </c>
      <c r="B1" t="s">
        <v>80</v>
      </c>
      <c r="C1" s="1" t="str">
        <f>INDEX(B:B,MATCH(A1,A:A,0))</f>
        <v>HPE iLO：计算机系统[{#SYSTEM_HOSTNAME}]: BIOS版本已更改（新版本：{ITEM.VALUE}）</v>
      </c>
    </row>
    <row r="2" spans="1:3">
      <c r="A2" t="s">
        <v>81</v>
      </c>
      <c r="B2" t="s">
        <v>82</v>
      </c>
      <c r="C2" s="1" t="str">
        <f t="shared" ref="C2:C8" si="0">INDEX(B:B,MATCH(A2,A:A,0))</f>
        <v>HPE iLO：计算机系统[{#SYSTEM_HOSTNAME}]: 固件版本已更改（新版本：{ITEM.VALUE}）</v>
      </c>
    </row>
    <row r="3" spans="1:3">
      <c r="A3" t="s">
        <v>83</v>
      </c>
      <c r="B3" t="s">
        <v>84</v>
      </c>
      <c r="C3" s="1" t="str">
        <f t="shared" si="0"/>
        <v>Oracle '{#CON_NAME}' TBS '{#TABLESPACE}'：表空间使用率过高（超过5分钟内的{ORACLE.TBS.USED.PCT.FROM.MAX.HIGH}%）. </v>
      </c>
    </row>
    <row r="4" spans="1:3">
      <c r="A4" t="s">
        <v>85</v>
      </c>
      <c r="B4" t="s">
        <v>86</v>
      </c>
      <c r="C4" s="1" t="str">
        <f t="shared" si="0"/>
        <v>Oracle '{#CON_NAME}' TBS '{#TABLESPACE}'：表空间使用率过高（超过5分钟内的{ORACLE.TBS.USED.PCT.FROM.MAX.WARN}%）.</v>
      </c>
    </row>
    <row r="5" spans="1:3">
      <c r="A5" t="s">
        <v>87</v>
      </c>
      <c r="B5" t="s">
        <v>88</v>
      </c>
      <c r="C5" s="1" t="str">
        <f t="shared" si="0"/>
        <v>Oracle TBS '{#TABLESPACE}'：表空间利用率过高（超过5分钟内的{ORACLE.TBS.USED.PCT.FROM.MAX.WARN}%）. </v>
      </c>
    </row>
    <row r="6" spans="1:3">
      <c r="A6" t="s">
        <v>89</v>
      </c>
      <c r="B6" t="s">
        <v>90</v>
      </c>
      <c r="C6" s="1" t="str">
        <f t="shared" si="0"/>
        <v>Oracle TBS '{#TABLESPACE}'：表空间利用率过高（超过5分钟内的{ORACLE.TBS.USED.PCT.FROM.MAX.HIGH}%）.</v>
      </c>
    </row>
    <row r="7" spans="1:3">
      <c r="A7" t="s">
        <v>91</v>
      </c>
      <c r="C7" s="1">
        <f t="shared" si="0"/>
        <v>0</v>
      </c>
    </row>
    <row r="8" spans="3:3">
      <c r="C8" s="1"/>
    </row>
    <row r="9" spans="3:3">
      <c r="C9" s="1"/>
    </row>
    <row r="10" spans="3:3">
      <c r="C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6.0.32</vt:lpstr>
      <vt:lpstr>6.4.14</vt:lpstr>
      <vt:lpstr>7.0.17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2025-08-13T08:53:36Z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