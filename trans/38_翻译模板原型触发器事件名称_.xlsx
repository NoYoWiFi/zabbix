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0490" windowHeight="7605" activeTab="2"/>
  </bookViews>
  <sheets>
    <sheet name="6.0.35" sheetId="26" r:id="rId1"/>
    <sheet name="7.0.17" sheetId="25" r:id="rId2"/>
    <sheet name="整理" sheetId="2" r:id="rId3"/>
    <sheet name="000" sheetId="3" r:id="rId4"/>
    <sheet name="6.4.14" sheetId="23" r:id="rId5"/>
  </sheets>
  <definedNames>
    <definedName name="_xlnm._FilterDatabase" localSheetId="1" hidden="1">'7.0.17'!$A$1:$S$1720</definedName>
    <definedName name="_xlnm._FilterDatabase" localSheetId="2" hidden="1">整理!$A$1:$BS$2</definedName>
    <definedName name="_xlnm._FilterDatabase" localSheetId="3" hidden="1">'000'!$A$1:$H$1645</definedName>
    <definedName name="_xlnm._FilterDatabase" localSheetId="0" hidden="1">'6.0.35'!$H$2:$S$1699</definedName>
    <definedName name="_xlnm._FilterDatabase" localSheetId="4" hidden="1">'6.4.14'!$A$1:$H$1631</definedName>
  </definedNames>
  <calcPr calcId="144525" calcMode="manual"/>
</workbook>
</file>

<file path=xl/sharedStrings.xml><?xml version="1.0" encoding="utf-8"?>
<sst xmlns="http://schemas.openxmlformats.org/spreadsheetml/2006/main" count="33242" uniqueCount="9696">
  <si>
    <t>序号</t>
  </si>
  <si>
    <t>模板序号</t>
  </si>
  <si>
    <t>触发器序号</t>
  </si>
  <si>
    <t>模板名称</t>
  </si>
  <si>
    <t>触发器ID</t>
  </si>
  <si>
    <t>英文名称</t>
  </si>
  <si>
    <t>中文名称</t>
  </si>
  <si>
    <t>原因</t>
  </si>
  <si>
    <t>(3236/5)</t>
  </si>
  <si>
    <t>APC Smart-UPS 2200 RM by SNMP</t>
  </si>
  <si>
    <t>18633</t>
  </si>
  <si>
    <t>{#BATTERY_PACK}.{#CARTRIDGE_INDEX}: Battery has high temperature (over {$BATTERY.TEMP.MAX.WARN}℃ for {$TIME.PERIOD})</t>
  </si>
  <si>
    <t>{#BATTERY_PACK}.{#CARTRIDGE_INDEX}: 电池温度太高(超过{$BATTERY.TEMP.MAX.WARN}℃持续{$TIME.PERIOD})</t>
  </si>
  <si>
    <t>(3236/12)</t>
  </si>
  <si>
    <t>18640</t>
  </si>
  <si>
    <t>{#PHASEINDEX}: Unacceptable phase {#PHASEINDEX} input voltage (out of range {$UPS.INPUT_VOLT.MIN.WARN}-{$UPS.INPUT_VOLT.MAX.WARN}V for {$TIME.PERIOD})</t>
  </si>
  <si>
    <t>{#PHASEINDEX}: 不可接受的相位{#PHASEINDEX}输入电压(超出范围{$UPS.INPUT_VOLT.MIN.WARN}-{$UPS.INPUT_VOLT.MAX.WARN}伏{$TIME.PERIOD})</t>
  </si>
  <si>
    <t>(3236/13)</t>
  </si>
  <si>
    <t>18641</t>
  </si>
  <si>
    <t>{#PHASEINDEX}: Unacceptable phase {#PHASEINDEX} output voltage (out of range {$UPS.INPUT_VOLT.MIN.WARN}-{$UPS.INPUT_VOLT.MAX.WARN}V for {$TIME.PERIOD})</t>
  </si>
  <si>
    <t>{#PHASEINDEX}: 不可接受的阶段{#PHASEINDEX}输出电压(超出范围{$UPS.INPUT_VOLT.MIN.WARN}-{$UPS.INPUT_VOLT.MAX.WARN}伏{$TIME.PERIOD})</t>
  </si>
  <si>
    <t>(3236/16)</t>
  </si>
  <si>
    <t>APC Smart-UPS 3000 XLM by SNMP</t>
  </si>
  <si>
    <t>18666</t>
  </si>
  <si>
    <t>(3236/23)</t>
  </si>
  <si>
    <t>18673</t>
  </si>
  <si>
    <t>(3236/24)</t>
  </si>
  <si>
    <t>18674</t>
  </si>
  <si>
    <t>(3236/27)</t>
  </si>
  <si>
    <t>APC Smart-UPS RT 1000 RM XL by SNMP</t>
  </si>
  <si>
    <t>18699</t>
  </si>
  <si>
    <t>(3236/34)</t>
  </si>
  <si>
    <t>18706</t>
  </si>
  <si>
    <t>(3236/35)</t>
  </si>
  <si>
    <t>18707</t>
  </si>
  <si>
    <t>(3236/38)</t>
  </si>
  <si>
    <t>APC Smart-UPS RT 1000 XL by SNMP</t>
  </si>
  <si>
    <t>18732</t>
  </si>
  <si>
    <t>(3236/45)</t>
  </si>
  <si>
    <t>18739</t>
  </si>
  <si>
    <t>(3236/46)</t>
  </si>
  <si>
    <t>18740</t>
  </si>
  <si>
    <t>(3236/49)</t>
  </si>
  <si>
    <t>APC Smart-UPS SRT 5000 by SNMP</t>
  </si>
  <si>
    <t>18951</t>
  </si>
  <si>
    <t>(3236/56)</t>
  </si>
  <si>
    <t>18958</t>
  </si>
  <si>
    <t>(3236/57)</t>
  </si>
  <si>
    <t>18959</t>
  </si>
  <si>
    <t>(3236/60)</t>
  </si>
  <si>
    <t>APC Smart-UPS SRT 8000 by SNMP</t>
  </si>
  <si>
    <t>18798</t>
  </si>
  <si>
    <t>(3236/67)</t>
  </si>
  <si>
    <t>18805</t>
  </si>
  <si>
    <t>(3236/68)</t>
  </si>
  <si>
    <t>18806</t>
  </si>
  <si>
    <t>(3236/71)</t>
  </si>
  <si>
    <t>APC UPS Galaxy 3500 by SNMP</t>
  </si>
  <si>
    <t>18600</t>
  </si>
  <si>
    <t>(3236/78)</t>
  </si>
  <si>
    <t>18607</t>
  </si>
  <si>
    <t>(3236/79)</t>
  </si>
  <si>
    <t>18608</t>
  </si>
  <si>
    <t>(3236/82)</t>
  </si>
  <si>
    <t>APC UPS Symmetra LX by SNMP</t>
  </si>
  <si>
    <t>18835</t>
  </si>
  <si>
    <t>(3236/89)</t>
  </si>
  <si>
    <t>18842</t>
  </si>
  <si>
    <t>(3236/90)</t>
  </si>
  <si>
    <t>18843</t>
  </si>
  <si>
    <t>(3236/93)</t>
  </si>
  <si>
    <t>APC UPS Symmetra RM by SNMP</t>
  </si>
  <si>
    <t>18868</t>
  </si>
  <si>
    <t>(3236/100)</t>
  </si>
  <si>
    <t>18875</t>
  </si>
  <si>
    <t>(3236/101)</t>
  </si>
  <si>
    <t>18876</t>
  </si>
  <si>
    <t>(3236/104)</t>
  </si>
  <si>
    <t>APC UPS Symmetra RX by SNMP</t>
  </si>
  <si>
    <t>18901</t>
  </si>
  <si>
    <t>(3236/111)</t>
  </si>
  <si>
    <t>18908</t>
  </si>
  <si>
    <t>(3236/112)</t>
  </si>
  <si>
    <t>18909</t>
  </si>
  <si>
    <t>(3236/115)</t>
  </si>
  <si>
    <t>APC UPS by SNMP</t>
  </si>
  <si>
    <t>18499</t>
  </si>
  <si>
    <t>(3236/122)</t>
  </si>
  <si>
    <t>18506</t>
  </si>
  <si>
    <t>(3236/123)</t>
  </si>
  <si>
    <t>18810</t>
  </si>
  <si>
    <t>(3236/124)</t>
  </si>
  <si>
    <t>AWS EC2 by HTTP</t>
  </si>
  <si>
    <t>22986</t>
  </si>
  <si>
    <t>AWS EBS: Burst balance is too low (less {$AWS.EBS.BURST.CREDIT.BALANCE.MIN.WARN}% for 5m)</t>
  </si>
  <si>
    <t>AWS EBS: 突发余额太低(减少{$AWS.EBS.BURST.CREDIT.BALANCE.MIN.WARN}%达5分钟)</t>
  </si>
  <si>
    <t>(3236/130)</t>
  </si>
  <si>
    <t>AWS ECS Cluster by HTTP</t>
  </si>
  <si>
    <t>23209</t>
  </si>
  <si>
    <t>AWS ECS Cluster Service: [{#AWS.ECS.SERVICE.NAME}]: High CPU utilization (over {$AWS.ECS.CLUSTER.SERVICE.CPU.UTIL.WARN}% for 15m)</t>
  </si>
  <si>
    <t>AWS ECS 集群服务: [{#AWS.ECS.SERVICE.NAME}]: CPU 使用率过高(超过 {$AWS.ECS.CLUSTER.SERVICE.CPU.UTIL.WARN}% 达 15 分钟)</t>
  </si>
  <si>
    <t>(3236/131)</t>
  </si>
  <si>
    <t>23210</t>
  </si>
  <si>
    <t>AWS ECS Cluster Service: [{#AWS.ECS.SERVICE.NAME}]: High memory utilization (over {$AWS.ECS.CLUSTER.SERVICE.MEMORY.UTIL.WARN}% for 15m)</t>
  </si>
  <si>
    <t>AWS ECS 集群服务: [{#AWS.ECS.SERVICE.NAME}]: 内存使用率过高(超过 {$AWS.ECS.CLUSTER.SERVICE.MEMORY.UTIL.WARN}% 达 15 分钟)</t>
  </si>
  <si>
    <t>(3236/134)</t>
  </si>
  <si>
    <t>AWS ECS Serverless Cluster by HTTP</t>
  </si>
  <si>
    <t>23217</t>
  </si>
  <si>
    <t>(3236/135)</t>
  </si>
  <si>
    <t>23218</t>
  </si>
  <si>
    <t>(3236/136)</t>
  </si>
  <si>
    <t>AWS ELB Application Load Balancer by HTTP</t>
  </si>
  <si>
    <t>23439</t>
  </si>
  <si>
    <t>AWS ELB ALB Alarms: [{#ALARM_NAME}] has 'Alarm' state (reason: {ITEM.LASTVALUE2})</t>
  </si>
  <si>
    <t>AWS ELB ALB 警报: [{#ALARM_NAME}] 处于 '警报' 状态(原因: {ITEM.LASTVALUE2})</t>
  </si>
  <si>
    <t>(3236/137)</t>
  </si>
  <si>
    <t>23440</t>
  </si>
  <si>
    <t>AWS ELB ALB Alarms: [{#ALARM_NAME}] has 'Insufficient data' state</t>
  </si>
  <si>
    <t>AWS ELB ALB 警报: [{#ALARM_NAME}] 处于 '数据不足' 状态</t>
  </si>
  <si>
    <t>(3236/138)</t>
  </si>
  <si>
    <t>AWS ELB Network Load Balancer by HTTP</t>
  </si>
  <si>
    <t>23569</t>
  </si>
  <si>
    <t>AWS ELB NLB Alarms: [{#ALARM_NAME}] has 'Alarm' state (reason: {ITEM.LASTVALUE2})</t>
  </si>
  <si>
    <t>AWS ELB NLB警报: [{#ALARM_NAME}]处于'警报'状态(原因: {ITEM.LASTVALUE2})</t>
  </si>
  <si>
    <t>(3236/139)</t>
  </si>
  <si>
    <t>23570</t>
  </si>
  <si>
    <t>AWS ELB NLB Alarms: [{#ALARM_NAME}] has 'Insufficient data' state</t>
  </si>
  <si>
    <t>AWS ELB NLB警报: [{#ALARM_NAME}]处于'数据不足'状态</t>
  </si>
  <si>
    <t>(3236/140)</t>
  </si>
  <si>
    <t>23571</t>
  </si>
  <si>
    <t>AWS ELB NLB Target Groups: [{#AWS.ELB.TARGET.GROUP.NAME}]: Healthy Host Count = 0</t>
  </si>
  <si>
    <t>AWS ELB NLB目标组: [{#AWS.ELB.TARGET.GROUP.NAME}]: 健康主机数 = 0</t>
  </si>
  <si>
    <t>(3236/141)</t>
  </si>
  <si>
    <t>23572</t>
  </si>
  <si>
    <t>AWS ELB NLB Target Groups: [{#AWS.ELB.TARGET.GROUP.NAME}]: Unhealthy Host Count &gt; {$AWS.ELB.UNHEALTHY.HOST.MAX}</t>
  </si>
  <si>
    <t>AWS ELB NLB目标组: [{#AWS.ELB.TARGET.GROUP.NAME}]: 非健康主机数 &gt; {$AWS.ELB.UNHEALTHY.HOST.MAX}</t>
  </si>
  <si>
    <t>(3236/142)</t>
  </si>
  <si>
    <t>AWS Lambda by HTTP</t>
  </si>
  <si>
    <t>23608</t>
  </si>
  <si>
    <t>AWS Lambda Alarms: [{#ALARM_NAME}] has 'Alarm' state (reason: {ITEM.LASTVALUE2})</t>
  </si>
  <si>
    <t>AWS Lambda 警报: [{#ALARM_NAME}] 处于"警报"状态(原因: {ITEM.LASTVALUE2})</t>
  </si>
  <si>
    <t>(3236/143)</t>
  </si>
  <si>
    <t>23609</t>
  </si>
  <si>
    <t>AWS Lambda Alarms: [{#ALARM_NAME}] has 'Insufficient data' state</t>
  </si>
  <si>
    <t>AWS Lambda 警报: [{#ALARM_NAME}] 处于"数据不足"状态</t>
  </si>
  <si>
    <t>(3236/148)</t>
  </si>
  <si>
    <t>Acronis Cyber Protect Cloud MSP by HTTP</t>
  </si>
  <si>
    <t>23262</t>
  </si>
  <si>
    <t>Alert [{#ALERT_ID}]: "critical" severity</t>
  </si>
  <si>
    <t>告警 [{#ALERT_ID}]: "critical" 级别告警</t>
  </si>
  <si>
    <t>(3236/149)</t>
  </si>
  <si>
    <t>23263</t>
  </si>
  <si>
    <t>Alert [{#ALERT_ID}]: "error" severity</t>
  </si>
  <si>
    <t>告警 [{#ALERT_ID}]: "error" 级别告警</t>
  </si>
  <si>
    <t>(3236/150)</t>
  </si>
  <si>
    <t>23264</t>
  </si>
  <si>
    <t>Alert [{#ALERT_ID}]: "warning" severity</t>
  </si>
  <si>
    <t>告警 [{#ALERT_ID}]: "warning" 级别告警</t>
  </si>
  <si>
    <t>(3236/167)</t>
  </si>
  <si>
    <t>Alcatel Timetra TiMOS by SNMP</t>
  </si>
  <si>
    <t>21550</t>
  </si>
  <si>
    <t>Interface {#IFNAME}({#IFALIAS}): High bandwidth usage (&gt;{$IF.UTIL.MAX:"{#IFNAME}"}%)</t>
  </si>
  <si>
    <t>接口{#IFNAME}({#IFALIAS}): 带宽使用率太高(&gt;{$IF.UTIL.MAX: "{#IFNAME}"}%)</t>
  </si>
  <si>
    <t>(3236/169)</t>
  </si>
  <si>
    <t>21551</t>
  </si>
  <si>
    <t>Interface {#IFNAME}({#IFALIAS}): High error rate (&gt;{$IF.ERRORS.WARN:"{#IFNAME}"} for 5m)</t>
  </si>
  <si>
    <t>接口{#IFNAME}({#IFALIAS}): 错误率太高(&gt;{$IF.ERRORS.WARN: "{#IFNAME}"}达5分钟)</t>
  </si>
  <si>
    <t>(3236/172)</t>
  </si>
  <si>
    <t>14322</t>
  </si>
  <si>
    <t>{#ENT_NAME}: Device has been replaced (new serial number received)</t>
  </si>
  <si>
    <t>{#ENT_NAME}: 设备已更换(收到新序列号)</t>
  </si>
  <si>
    <t>(3236/173)</t>
  </si>
  <si>
    <t>14319</t>
  </si>
  <si>
    <t>{#SNMPVALUE}: Temperature is above critical threshold: &gt;{$TEMP_CRIT:"{#SNMPVALUE}"}</t>
  </si>
  <si>
    <t>{#SNMPVALUE}: 温度高于临界阈值: &gt;{$TEMP_CRIT: "{#SNMPVALUE}"}</t>
  </si>
  <si>
    <t>(3236/174)</t>
  </si>
  <si>
    <t>14318</t>
  </si>
  <si>
    <t>{#SNMPVALUE}: Temperature is above warning threshold: &gt;{$TEMP_WARN:"{#SNMPVALUE}"}</t>
  </si>
  <si>
    <t>{#SNMPVALUE}: 温度高于告警阈值: &gt;{$TEMP_WARN: "{#SNMPVALUE}"}</t>
  </si>
  <si>
    <t>(3236/175)</t>
  </si>
  <si>
    <t>14320</t>
  </si>
  <si>
    <t>{#SNMPVALUE}: Temperature is too low: &lt;{$TEMP_CRIT_LOW:"{#SNMPVALUE}"}</t>
  </si>
  <si>
    <t>{#SNMPVALUE}: 温度太低: &lt;{$TEMP_CRIT_LOW: "{#SNMPVALUE}"}</t>
  </si>
  <si>
    <t>(3236/176)</t>
  </si>
  <si>
    <t>Apache ActiveMQ by JMX</t>
  </si>
  <si>
    <t>17417</t>
  </si>
  <si>
    <t>Broker {#JMXBROKERNAME}: Consumers count is too low (below {$ACTIVEMQ.BROKER.CONSUMERS.MIN.HIGH:"{#JMXBROKERNAME}"} for {$ACTIVEMQ.BROKER.CONSUMERS.MIN.TIME:"{#JMXBROKERNAME}"})</t>
  </si>
  <si>
    <t>Broker {#JMXBROKERNAME}: 消费者数量太少(少于{$ACTIVEMQ.BROKER.CONSUMERS.MIN.HIGH: "{#JMXBROKERNAME}"}达{$ACTIVEMQ.BROKER.CONSUMERS.MIN.TIME: "{#JMXBROKERNAME}"})</t>
  </si>
  <si>
    <t>(3236/177)</t>
  </si>
  <si>
    <t>17411</t>
  </si>
  <si>
    <t>Broker {#JMXBROKERNAME}: Memory usage is too high (over {$ACTIVEMQ.MEM.MAX.HIGH:"{#JMXBROKERNAME}"}%)</t>
  </si>
  <si>
    <t>Broker {#JMXBROKERNAME}: Memory使用率太高(超过{$ACTIVEMQ.MEM.MAX.HIGH: "{#JMXBROKERNAME}"}%)</t>
  </si>
  <si>
    <t>(3236/178)</t>
  </si>
  <si>
    <t>17412</t>
  </si>
  <si>
    <t>Broker {#JMXBROKERNAME}: Memory usage is too high (over {$ACTIVEMQ.MEM.MAX.WARN:"{#JMXBROKERNAME}"}%)</t>
  </si>
  <si>
    <t>Broker {#JMXBROKERNAME}: Memory使用率太高(超过{$ACTIVEMQ.MEM.MAX.WARN: "{#JMXBROKERNAME}"}%)</t>
  </si>
  <si>
    <t>(3236/179)</t>
  </si>
  <si>
    <t>18522</t>
  </si>
  <si>
    <t>Broker {#JMXBROKERNAME}: Message enqueue rate is higher than dequeue rate for {$ACTIVEMQ.MSG.RATE.WARN.TIME:"{#JMXBROKERNAME}"}</t>
  </si>
  <si>
    <t>Broker {#JMXBROKERNAME}: 消息入队率高于出队率达{$ACTIVEMQ.MSG.RATE.WARN.TIME: "{#JMXBROKERNAME}"}</t>
  </si>
  <si>
    <t>(3236/180)</t>
  </si>
  <si>
    <t>17419</t>
  </si>
  <si>
    <t>Broker {#JMXBROKERNAME}: Producers count is too low (below {$ACTIVEMQ.BROKER.PRODUCERS.MIN.HIGH:"{#JMXBROKERNAME}"} for {$ACTIVEMQ.BROKER.PRODUCERS.MIN.TIME:"{#JMXBROKERNAME}"})</t>
  </si>
  <si>
    <t>Broker {#JMXBROKERNAME}: 生产者数量太少(少于{$ACTIVEMQ.BROKER.PRODUCERS.MIN.HIGH: "{#JMXBROKERNAME}"}达{$ACTIVEMQ.BROKER.PRODUCERS.MIN.TIME: "{#JMXBROKERNAME}"})</t>
  </si>
  <si>
    <t>(3236/181)</t>
  </si>
  <si>
    <t>17413</t>
  </si>
  <si>
    <t>Broker {#JMXBROKERNAME}: Storage usage is too high (over {$ACTIVEMQ.STORE.MAX.HIGH:"{#JMXBROKERNAME}"}%)</t>
  </si>
  <si>
    <t>Broker {#JMXBROKERNAME}: 存储使用率太高(超过{$ACTIVEMQ.STORE.MAX.HIGH: "{#JMXBROKERNAME}"}%)</t>
  </si>
  <si>
    <t>(3236/182)</t>
  </si>
  <si>
    <t>17414</t>
  </si>
  <si>
    <t>Broker {#JMXBROKERNAME}: Storage usage is too high (over {$ACTIVEMQ.STORE.MAX.WARN:"{#JMXBROKERNAME}"}%)</t>
  </si>
  <si>
    <t>Broker {#JMXBROKERNAME}: 存储使用率太高(超过{$ACTIVEMQ.STORE.MAX.WARN: "{#JMXBROKERNAME}"}%)</t>
  </si>
  <si>
    <t>(3236/183)</t>
  </si>
  <si>
    <t>17415</t>
  </si>
  <si>
    <t>Broker {#JMXBROKERNAME}: Temp usage is too high (over {$ACTIVEMQ.TEMP.MAX.WARN:"{#JMXBROKERNAME}"}%)</t>
  </si>
  <si>
    <t>Broker {#JMXBROKERNAME}: Temp使用率太高(超过{$ACTIVEMQ.TEMP.MAX.WARN: "{#JMXBROKERNAME}"}%)</t>
  </si>
  <si>
    <t>(3236/184)</t>
  </si>
  <si>
    <t>17416</t>
  </si>
  <si>
    <t>(3236/185)</t>
  </si>
  <si>
    <t>17420</t>
  </si>
  <si>
    <t>Broker {#JMXBROKERNAME}: Broker has been restarted (uptime &lt; 10m)</t>
  </si>
  <si>
    <t>Broker {#JMXBROKERNAME}: Broker 已重启(正常运行时间&lt;10分钟)</t>
  </si>
  <si>
    <t>(3236/186)</t>
  </si>
  <si>
    <t>17410</t>
  </si>
  <si>
    <t>Broker {#JMXBROKERNAME}: Version has changed (new version: {ITEM.VALUE})</t>
  </si>
  <si>
    <t>Broker {#JMXBROKERNAME}: 版本已变更(新版本: {ITEM.VALUE})</t>
  </si>
  <si>
    <t>(3236/187)</t>
  </si>
  <si>
    <t>17421</t>
  </si>
  <si>
    <t>{#JMXBROKERNAME}: {#JMXDESTINATIONTYPE} {#JMXDESTINATIONNAME}: Consumers count is too low (below {$ACTIVEMQ.DESTINATION.CONSUMERS.MIN.HIGH:"{#JMXDESTINATIONNAME}"} for {$ACTIVEMQ.DESTINATION.CONSUMERS.MIN.TIME:"{#JMXDESTINATIONNAME}"})</t>
  </si>
  <si>
    <t>{#JMXBROKERNAME}: {#JMXDESTINATIONTYPE}{#JMXDESTINATIONNAME}: 消费者数量太低(低于{$ACTIVEMQ.DESTINATION.CONSUMERS.MIN.HIGH: "{#JMXDESTINATIONNAME}"}达{$ACTIVEMQ.DESTINATION.CONSUMERS.MIN.TIME: "{#JMXDESTINATIONNAME}"})</t>
  </si>
  <si>
    <t>(3236/188)</t>
  </si>
  <si>
    <t>18524</t>
  </si>
  <si>
    <t>{#JMXBROKERNAME}: {#JMXDESTINATIONTYPE} {#JMXDESTINATIONNAME}: Expired messages count higher than {$ACTIVEMQ.EXPIRED.WARN:"{#JMXDESTINATIONNAME}"}</t>
  </si>
  <si>
    <t>{#JMXBROKERNAME}: {#JMXDESTINATIONTYPE}{#JMXDESTINATIONNAME}: 过期消息计数很高于{$ACTIVEMQ.EXPIRED.WARN: "{#JMXDESTINATIONNAME}"}</t>
  </si>
  <si>
    <t>(3236/189)</t>
  </si>
  <si>
    <t>17425</t>
  </si>
  <si>
    <t>{#JMXBROKERNAME}: {#JMXDESTINATIONTYPE} {#JMXDESTINATIONNAME}: Memory usage is too high (over {$ACTIVEMQ.MEM.MAX.HIGH:"{#JMXDESTINATIONNAME}"}%)</t>
  </si>
  <si>
    <t>{#JMXBROKERNAME}: {#JMXDESTINATIONTYPE}{#JMXDESTINATIONNAME}: 内存使用率太高(超过{$ACTIVEMQ.MEM.MAX.HIGH: "{#JMXDESTINATIONNAME}"}%)</t>
  </si>
  <si>
    <t>(3236/190)</t>
  </si>
  <si>
    <t>17426</t>
  </si>
  <si>
    <t>{#JMXBROKERNAME}: {#JMXDESTINATIONTYPE} {#JMXDESTINATIONNAME}: Memory usage is too high (over {$ACTIVEMQ.MEM.MAX.WARN:"{#JMXDESTINATIONNAME}"}%)</t>
  </si>
  <si>
    <t>{#JMXBROKERNAME}: {#JMXDESTINATIONTYPE}{#JMXDESTINATIONNAME}: 内存使用率太高(超过{$ACTIVEMQ.MEM.MAX.WARN: "{#JMXDESTINATIONNAME}"}%)</t>
  </si>
  <si>
    <t>(3236/191)</t>
  </si>
  <si>
    <t>18523</t>
  </si>
  <si>
    <t>{#JMXBROKERNAME}: {#JMXDESTINATIONTYPE} {#JMXDESTINATIONNAME}: Message enqueue rate is higher than dequeue rate for {$ACTIVEMQ.MSG.RATE.WARN.TIME:"{#JMXDESTINATIONNAME}"}</t>
  </si>
  <si>
    <t>{#JMXBROKERNAME}: {#JMXDESTINATIONTYPE}{#JMXDESTINATIONNAME}: 消息入队率高于出队率{$ACTIVEMQ.MSG.RATE.WARN.TIME: "{#JMXDESTINATIONNAME}"}</t>
  </si>
  <si>
    <t>(3236/192)</t>
  </si>
  <si>
    <t>17423</t>
  </si>
  <si>
    <t>{#JMXBROKERNAME}: {#JMXDESTINATIONTYPE} {#JMXDESTINATIONNAME}: Producers count is too low (below {$ACTIVEMQ.DESTINATION.PRODUCERS.MIN.HIGH:"{#JMXDESTINATIONNAME}"} for {$ACTIVEMQ.DESTINATION.PRODUCERS.MIN.TIME:"{#JMXDESTINATIONNAME}"})</t>
  </si>
  <si>
    <t>{#JMXBROKERNAME}: {#JMXDESTINATIONTYPE}{#JMXDESTINATIONNAME}: 生产者数量太低(低于{$ACTIVEMQ.DESTINATION.PRODUCERS.MIN.HIGH: "{#JMXDESTINATIONNAME}"}达{$ACTIVEMQ.DESTINATION.PRODUCERS.MIN.TIME: "{#JMXDESTINATIONNAME}"})</t>
  </si>
  <si>
    <t>(3236/193)</t>
  </si>
  <si>
    <t>18525</t>
  </si>
  <si>
    <t>{#JMXBROKERNAME}: {#JMXDESTINATIONTYPE} {#JMXDESTINATIONNAME}: Queue size higher than {$ACTIVEMQ.QUEUE.WARN:"{#JMXDESTINATIONNAME}"} for {$ACTIVEMQ.QUEUE.TIME:"{#JMXDESTINATIONNAME}"}</t>
  </si>
  <si>
    <t>{#JMXBROKERNAME}: {#JMXDESTINATIONTYPE}{#JMXDESTINATIONNAME}: 队列大小大于{$ACTIVEMQ.QUEUE.WARN: "{#JMXDESTINATIONNAME}"}{$ACTIVEMQ.QUEUE.TIME: "{#JMXDESTINATIONNAME}"}</t>
  </si>
  <si>
    <t>(3236/194)</t>
  </si>
  <si>
    <t>Apache Tomcat by JMX</t>
  </si>
  <si>
    <t>17501</t>
  </si>
  <si>
    <t>{#JMXNAME}: Busy worker threads count are more than {$TOMCAT.THREADS.MAX.PCT:"{#JMXNAME}"}% of the limit for {$TOMCAT.THREADS.MAX.TIME:"{#JMXNAME}"}</t>
  </si>
  <si>
    <t>{#JMXNAME}: 繁忙的工作线程数超过{$TOMCAT.THREADS.MAX.PCT: "{#JMXNAME}"}%的限制达{$TOMCAT.THREADS.MAX.TIME: "{#JMXNAME}"}</t>
  </si>
  <si>
    <t>(3236/196)</t>
  </si>
  <si>
    <t>Aranet Cloud</t>
  </si>
  <si>
    <t>17428</t>
  </si>
  <si>
    <t>{#METRIC}: Critically low battery voltage on "[{#GATEWAY_NAME}] {#SENSOR_NAME}" (below {$ARANET.BATT.VOLTAGE.MIN.CRIT:"{#SENSOR_NAME}"}{#UNIT} for 5m)</t>
  </si>
  <si>
    <t>{#METRIC}: "[{#GATEWAY_NAME}]{#SENSOR_NAME}"上的电池电压特别低(低于{$ARANET.BATT.VOLTAGE.MIN.CRIT: "{#SENSOR_NAME}"}{#UNIT}达5分钟)</t>
  </si>
  <si>
    <t>(3236/197)</t>
  </si>
  <si>
    <t>17429</t>
  </si>
  <si>
    <t>{#METRIC}: Low battery voltage on "[{#GATEWAY_NAME}] {#SENSOR_NAME}" (below {$ARANET.BATT.VOLTAGE.MIN.WARN:"{#SENSOR_NAME}"}{#UNIT} for 5m)</t>
  </si>
  <si>
    <t>{#METRIC}: "[{#GATEWAY_NAME}]{#SENSOR_NAME}"上的电池电压低(低于{$ARANET.BATT.VOLTAGE.MIN.WARN: "{#SENSOR_NAME}"}{#UNIT}达5分钟)</t>
  </si>
  <si>
    <t>(3236/198)</t>
  </si>
  <si>
    <t>17430</t>
  </si>
  <si>
    <t>{#METRIC}: Critically high CO2 level on "[{#GATEWAY_NAME}] {#SENSOR_NAME}" (over {$ARANET.CO2.MAX.CRIT:"{#SENSOR_NAME}"}{#UNIT} for 5m)</t>
  </si>
  <si>
    <t>{#METRIC}: "[{#GATEWAY_NAME}]{#SENSOR_NAME}"上的CO2浓度非常高(超过{$ARANET.CO2.MAX.CRIT: "{#SENSOR_NAME}"}{#UNIT}达5分钟)</t>
  </si>
  <si>
    <t>(3236/199)</t>
  </si>
  <si>
    <t>17431</t>
  </si>
  <si>
    <t>{#METRIC}: High CO2 level on "[{#GATEWAY_NAME}] {#SENSOR_NAME}" (over {$ARANET.CO2.MAX.WARN:"{#SENSOR_NAME}"}{#UNIT} for 5m)</t>
  </si>
  <si>
    <t>{#METRIC}: "[{#GATEWAY_NAME}]{#SENSOR_NAME}"上的高二氧化碳浓度(超过{$ARANET.CO2.MAX.WARN: "{#SENSOR_NAME}"}{#UNIT}达5分钟)</t>
  </si>
  <si>
    <t>(3236/200)</t>
  </si>
  <si>
    <t>17433</t>
  </si>
  <si>
    <t>{#METRIC}: Low humidity on "[{#GATEWAY_NAME}] {#SENSOR_NAME}" (below {$ARANET.HUMIDITY.MIN.WARN:"{#SENSOR_NAME}"}{#UNIT} for 5m)</t>
  </si>
  <si>
    <t>{#METRIC}: "[{#GATEWAY_NAME}]{#SENSOR_NAME}"湿度低(低于{$ARANET.HUMIDITY.MIN.WARN: "{#SENSOR_NAME}"}{#UNIT}达5分钟)</t>
  </si>
  <si>
    <t>(3236/201)</t>
  </si>
  <si>
    <t>17432</t>
  </si>
  <si>
    <t>{#METRIC}: High humidity on "[{#GATEWAY_NAME}] {#SENSOR_NAME}" (over {$ARANET.HUMIDITY.MAX.WARN:"{#SENSOR_NAME}"}{#UNIT} for 5m)</t>
  </si>
  <si>
    <t>{#METRIC}: "[{#GATEWAY_NAME}]{#SENSOR_NAME}"湿度高(超过{$ARANET.HUMIDITY.MAX.WARN: "{#SENSOR_NAME}"}{#UNIT}达5分钟)</t>
  </si>
  <si>
    <t>(3236/202)</t>
  </si>
  <si>
    <t>17434</t>
  </si>
  <si>
    <t>{#METRIC}: Sensor data "[{#GATEWAY_NAME}] {#SENSOR_NAME}" is not updated (more than {$ARANET.LAST_UPDATE.MAX.WARN:"{#SENSOR_NAME}"})</t>
  </si>
  <si>
    <t>{#METRIC}: 传感器数据"[{#GATEWAY_NAME}]{#SENSOR_NAME}"未更新(超过{$ARANET.LAST_UPDATE.MAX.WARN: "{#SENSOR_NAME}"})</t>
  </si>
  <si>
    <t>(3236/203)</t>
  </si>
  <si>
    <t>Arista by SNMP</t>
  </si>
  <si>
    <t>21562</t>
  </si>
  <si>
    <t>(3236/205)</t>
  </si>
  <si>
    <t>21563</t>
  </si>
  <si>
    <t>(3236/208)</t>
  </si>
  <si>
    <t>15718</t>
  </si>
  <si>
    <t>(3236/210)</t>
  </si>
  <si>
    <t>21566</t>
  </si>
  <si>
    <t>{#FSNAME}: Disk space is critically low (used &gt; {$VFS.FS.PUSED.MAX.CRIT:"{#FSNAME}"}%)</t>
  </si>
  <si>
    <t>{#FSNAME}: 磁盘空间严重不足(已使用率&gt;{$VFS.FS.PUSED.MAX.CRIT: "{#FSNAME}"}%)</t>
  </si>
  <si>
    <t>(3236/211)</t>
  </si>
  <si>
    <t>21567</t>
  </si>
  <si>
    <t>{#FSNAME}: Disk space is low (used &gt; {$VFS.FS.PUSED.MAX.WARN:"{#FSNAME}"}%)</t>
  </si>
  <si>
    <t>{#FSNAME}: 磁盘空间不足(已使用率&gt;{$VFS.FS.PUSED.MAX.WARN: "{#FSNAME}"}%)</t>
  </si>
  <si>
    <t>(3236/212)</t>
  </si>
  <si>
    <t>21568</t>
  </si>
  <si>
    <t>{#MEMNAME}: High memory utilization (&gt;{$MEMORY.UTIL.MAX}% for 5m)</t>
  </si>
  <si>
    <t>{#MEMNAME}: 内存利用率高了(&gt;{$MEMORY.UTIL.MAX}%达5分钟)</t>
  </si>
  <si>
    <t>(3236/213)</t>
  </si>
  <si>
    <t>17556</t>
  </si>
  <si>
    <t>{#SENSOR_INFO}: Fan speed is below the critical threshold of {#THRESHOLD_LO_CRIT}rpm for 5m</t>
  </si>
  <si>
    <t>{#SENSOR_INFO}: 风扇速度低于临界阈值{#THRESHOLD_LO_CRIT}rpm达5分钟</t>
  </si>
  <si>
    <t>(3236/214)</t>
  </si>
  <si>
    <t>17557</t>
  </si>
  <si>
    <t>{#SENSOR_INFO}: Fan speed is below the warning threshold of {#THRESHOLD_LO_WARN}rpm for 5m</t>
  </si>
  <si>
    <t>{#SENSOR_INFO}: 风扇速度低于告警阈值{#THRESHOLD_LO_WARN}rpm达5分钟</t>
  </si>
  <si>
    <t>(3236/215)</t>
  </si>
  <si>
    <t>17554</t>
  </si>
  <si>
    <t>{#SENSOR_INFO}: Fan speed is above the critical threshold of {#THRESHOLD_HI_CRIT}rpm for 5m</t>
  </si>
  <si>
    <t>{#SENSOR_INFO}: 风扇速度超过临界阈值{#THRESHOLD_HI_CRIT}rpm达5分钟</t>
  </si>
  <si>
    <t>(3236/216)</t>
  </si>
  <si>
    <t>17555</t>
  </si>
  <si>
    <t>{#SENSOR_INFO}: Fan speed is above the warning threshold of {#THRESHOLD_HI_WARN}rpm for 5m</t>
  </si>
  <si>
    <t>{#SENSOR_INFO}: 风扇速度超过告警阈值{#THRESHOLD_HI_WARN}rpm达5分钟</t>
  </si>
  <si>
    <t>(3236/218)</t>
  </si>
  <si>
    <t>17560</t>
  </si>
  <si>
    <t>{#SENSOR_INFO}: Temperature is below the critical threshold of {#THRESHOLD_LO_CRIT}°C for 5m</t>
  </si>
  <si>
    <t>{#SENSOR_INFO}: 温度低于临界阈值{#THRESHOLD_LO_CRIT}°C达5分钟</t>
  </si>
  <si>
    <t>(3236/219)</t>
  </si>
  <si>
    <t>17561</t>
  </si>
  <si>
    <t>{#SENSOR_INFO}: Temperature is below the warning threshold of {#THRESHOLD_LO_WARN}°C for 5m</t>
  </si>
  <si>
    <t>{#SENSOR_INFO}: 温度低于告警阈值{#THRESHOLD_LO_WARN}°C达5分钟</t>
  </si>
  <si>
    <t>(3236/220)</t>
  </si>
  <si>
    <t>17558</t>
  </si>
  <si>
    <t>{#SENSOR_INFO}: Temperature is above the critical threshold of {#THRESHOLD_HI_CRIT}°C for 5m</t>
  </si>
  <si>
    <t>{#SENSOR_INFO}: 温度高于临界阈值{#THRESHOLD_HI_CRIT}°C达5分钟</t>
  </si>
  <si>
    <t>(3236/221)</t>
  </si>
  <si>
    <t>17559</t>
  </si>
  <si>
    <t>{#SENSOR_INFO}: Temperature is above the warning threshold of {#THRESHOLD_HI_WARN}°C for 5m</t>
  </si>
  <si>
    <t>{#SENSOR_INFO}: 温度超过告警阈值{#THRESHOLD_HI_WARN}°C达5分钟</t>
  </si>
  <si>
    <t>(3236/222)</t>
  </si>
  <si>
    <t>17564</t>
  </si>
  <si>
    <t>{#SENSOR_INFO}: Voltage is below the critical threshold of {#THRESHOLD_LO_CRIT}V for 5m</t>
  </si>
  <si>
    <t>{#SENSOR_INFO}: 电压低于临界阈值{#THRESHOLD_LO_CRIT}伏达5分钟</t>
  </si>
  <si>
    <t>(3236/223)</t>
  </si>
  <si>
    <t>17565</t>
  </si>
  <si>
    <t>{#SENSOR_INFO}: Voltage is below the warning threshold of {#THRESHOLD_LO_WARN}V for 5m</t>
  </si>
  <si>
    <t>{#SENSOR_INFO}: 电压低于告警阈值{#THRESHOLD_LO_WARN}伏达5分钟</t>
  </si>
  <si>
    <t>(3236/224)</t>
  </si>
  <si>
    <t>17562</t>
  </si>
  <si>
    <t>{#SENSOR_INFO}: Voltage is above the critical threshold of {#THRESHOLD_HI_CRIT}V for 5m</t>
  </si>
  <si>
    <t>{#SENSOR_INFO}: 电压高于临界阈值{#THRESHOLD_HI_CRIT}伏达5分钟</t>
  </si>
  <si>
    <t>(3236/225)</t>
  </si>
  <si>
    <t>17563</t>
  </si>
  <si>
    <t>{#SENSOR_INFO}: Voltage is above the warning threshold of {#THRESHOLD_HI_WARN}V for 5m</t>
  </si>
  <si>
    <t>{#SENSOR_INFO}: 电压高于告警阈值{#THRESHOLD_HI_WARN}伏达5分钟</t>
  </si>
  <si>
    <t>(3236/226)</t>
  </si>
  <si>
    <t>Asterisk by HTTP</t>
  </si>
  <si>
    <t>17951</t>
  </si>
  <si>
    <t>"{#QUEUE}": Number of callers in the queue "{#QUEUE}" is too high (over {$AMI.QUEUE_CALLERS.MAX.WARN:"{#QUEUE}"} for 10m)</t>
  </si>
  <si>
    <t>"{#QUEUE}": 队列"{#QUEUE}"中的呼叫者数量太高(超过{$AMI.QUEUE_CALLERS.MAX.WARN: "{#QUEUE}"}达10分钟)</t>
  </si>
  <si>
    <t>(3236/227)</t>
  </si>
  <si>
    <t>17949</t>
  </si>
  <si>
    <t>IAX trunk "{#OBJECTNAME}": Number of the IAX trunk "{#OBJECTNAME}" active channels is too high (over {$AMI.TRUNK_ACTIVE_CHANNELS.MAX.WARN:"{#OBJECTNAME}"} for 10m)</t>
  </si>
  <si>
    <t>IAXtrunk"{#OBJECTNAME}": IAXtrunk"{#OBJECTNAME}"活跃信道数太高(超过{$AMI.TRUNK_ACTIVE_CHANNELS.MAX.WARN: "{#OBJECTNAME}"}达10分钟)</t>
  </si>
  <si>
    <t>(3236/229)</t>
  </si>
  <si>
    <t>17950</t>
  </si>
  <si>
    <t>PJSIP trunk "{#OBJECTNAME}": Number of the PJSIP trunk "{#OBJECTNAME}" active channels is too high (over {$AMI.TRUNK_ACTIVE_CHANNELS.MAX.WARN:"{#OBJECTNAME}"} for 10m)</t>
  </si>
  <si>
    <t>PJSIPtrunk"{#OBJECTNAME}": PJSIPtrunk"{#OBJECTNAME}"活动信道数太高(超过{$AMI.TRUNK_ACTIVE_CHANNELS.MAX.WARN: "{#OBJECTNAME}"}达10分钟)</t>
  </si>
  <si>
    <t>(3236/231)</t>
  </si>
  <si>
    <t>17952</t>
  </si>
  <si>
    <t>SIP trunk "{#OBJECTNAME}": Number of the SIP trunk "{#OBJECTNAME}" active channels is too high (over {$AMI.TRUNK_ACTIVE_CHANNELS.MAX.WARN:"{#OBJECTNAME}"} for 10m)</t>
  </si>
  <si>
    <t>SIPtrunk"{#OBJECTNAME}": SIPtrunk"{#OBJECTNAME}"活动信道数太高(超过{$AMI.TRUNK_ACTIVE_CHANNELS.MAX.WARN: "{#OBJECTNAME}"}达10分钟)</t>
  </si>
  <si>
    <t>(3236/233)</t>
  </si>
  <si>
    <t>Azure by HTTP</t>
  </si>
  <si>
    <t>23136</t>
  </si>
  <si>
    <t>Azure: Storage account [{#NAME} availability is too low (less than {$AZURE.STORAGE.ACC.AVAILABILITY:"{#NAME}"}%)</t>
  </si>
  <si>
    <t>Azure: 存储账户[{#NAME}]的可用性太低(低于{$AZURE.STORAGE.ACC.AVAILABILITY: "{#NAME}"}%)</t>
  </si>
  <si>
    <t>(3236/234)</t>
  </si>
  <si>
    <t>23137</t>
  </si>
  <si>
    <t>Azure: Storage account [{#NAME} blob availability are too low (less than {$AZURE.STORAGE.ACC.BLOB.AVAILABILITY:"{#NAME}"}%)</t>
  </si>
  <si>
    <t>Azure: 存储帐户[{#NAME}blob可用性太低(低于{$AZURE.STORAGE.ACC.BLOB.AVAILABILITY: "{#NAME}"}%)</t>
  </si>
  <si>
    <t>(3236/235)</t>
  </si>
  <si>
    <t>23138</t>
  </si>
  <si>
    <t>Azure: Storage account [{#NAME} table availability is too low (less than {$AZURE.STORAGE.ACC.TABLE.AVAILABILITY:"{#NAME}"}%)</t>
  </si>
  <si>
    <t>Azure: 存储账户[{#NAME}]的表可用性太低(低于{$AZURE.STORAGE.ACC.TABLE.AVAILABILITY: "{#NAME}"}%)</t>
  </si>
  <si>
    <t>(3236/236)</t>
  </si>
  <si>
    <t>Brocade FC by SNMP</t>
  </si>
  <si>
    <t>21576</t>
  </si>
  <si>
    <t>(3236/237)</t>
  </si>
  <si>
    <t>21577</t>
  </si>
  <si>
    <t>(3236/244)</t>
  </si>
  <si>
    <t>17322</t>
  </si>
  <si>
    <t>{#SENSOR_INFO}: Temperature is above warning threshold: &gt;{$TEMP_WARN:"{#SENSOR_INFO}"}</t>
  </si>
  <si>
    <t>{#SENSOR_INFO}: 温度高于告警阈值: &gt;{$TEMP_WARN: "{#SENSOR_INFO}"}</t>
  </si>
  <si>
    <t>(3236/245)</t>
  </si>
  <si>
    <t>14339</t>
  </si>
  <si>
    <t>{#SENSOR_INFO}: Temperature is above critical threshold: &gt;{$TEMP_CRIT:"{#SENSOR_INFO}"}</t>
  </si>
  <si>
    <t>{#SENSOR_INFO}: 温度高于临界阈值: &gt;{$TEMP_CRIT: "{#SENSOR_INFO}"}</t>
  </si>
  <si>
    <t>(3236/246)</t>
  </si>
  <si>
    <t>14340</t>
  </si>
  <si>
    <t>{#SENSOR_INFO}: Temperature is too low: &lt;{$TEMP_CRIT_LOW:"{#SENSOR_INFO}"}</t>
  </si>
  <si>
    <t>{#SENSOR_INFO}: 温度太低: &lt;{$TEMP_CRIT_LOW: "{#SENSOR_INFO}"}</t>
  </si>
  <si>
    <t>(3236/247)</t>
  </si>
  <si>
    <t>Brocade_Foundry Nonstackable by SNMP</t>
  </si>
  <si>
    <t>16504</t>
  </si>
  <si>
    <t>Chassis #{#SNMPINDEX}: Temperature is above warning threshold: &gt;{$TEMP_WARN:"Chassis"}</t>
  </si>
  <si>
    <t>主板#{#SNMPINDEX}: 温度高于告警阈值: &gt;{$TEMP_WARN: "Chassis"}</t>
  </si>
  <si>
    <t>(3236/248)</t>
  </si>
  <si>
    <t>16505</t>
  </si>
  <si>
    <t>Chassis #{#SNMPINDEX}: Temperature is above critical threshold: &gt;{$TEMP_CRIT:"Chassis"}</t>
  </si>
  <si>
    <t>主板#{#SNMPINDEX}: 温度高于临界阈值: &gt;{$TEMP_CRIT: "Chassis"}</t>
  </si>
  <si>
    <t>(3236/249)</t>
  </si>
  <si>
    <t>16506</t>
  </si>
  <si>
    <t>Chassis #{#SNMPINDEX}: Temperature is too low: &lt;{$TEMP_CRIT_LOW:"Chassis"}</t>
  </si>
  <si>
    <t>主板#{#SNMPINDEX}: 温度太低: &lt;{$TEMP_CRIT_LOW: "Chassis"}</t>
  </si>
  <si>
    <t>(3236/252)</t>
  </si>
  <si>
    <t>21596</t>
  </si>
  <si>
    <t>(3236/253)</t>
  </si>
  <si>
    <t>21597</t>
  </si>
  <si>
    <t>(3236/258)</t>
  </si>
  <si>
    <t>14373</t>
  </si>
  <si>
    <t>{#SENSOR_DESCR}: Temperature is above critical threshold: &gt;{$TEMP_CRIT:"{#SENSOR_DESCR}"}</t>
  </si>
  <si>
    <t>{#SENSOR_DESCR}: 温度高于临界阈值: &gt;{$TEMP_CRIT: "{#SENSOR_DESCR}"}</t>
  </si>
  <si>
    <t>(3236/259)</t>
  </si>
  <si>
    <t>14372</t>
  </si>
  <si>
    <t>{#SENSOR_DESCR}: Temperature is above warning threshold: &gt;{$TEMP_WARN:"{#SENSOR_DESCR}"}</t>
  </si>
  <si>
    <t>{#SENSOR_DESCR}: 温度高于告警阈值: &gt;{$TEMP_WARN: "{#SENSOR_DESCR}"}</t>
  </si>
  <si>
    <t>(3236/260)</t>
  </si>
  <si>
    <t>14374</t>
  </si>
  <si>
    <t>{#SENSOR_DESCR}: Temperature is too low: &lt;{$TEMP_CRIT_LOW:"{#SENSOR_DESCR}"}</t>
  </si>
  <si>
    <t>{#SENSOR_DESCR}: 温度太低: &lt;{$TEMP_CRIT_LOW: "{#SENSOR_DESCR}"}</t>
  </si>
  <si>
    <t>(3236/261)</t>
  </si>
  <si>
    <t>Brocade_Foundry Stackable by SNMP</t>
  </si>
  <si>
    <t>21600</t>
  </si>
  <si>
    <t>(3236/262)</t>
  </si>
  <si>
    <t>21601</t>
  </si>
  <si>
    <t>(3236/269)</t>
  </si>
  <si>
    <t>14383</t>
  </si>
  <si>
    <t>Unit {#SNMPVALUE}: Device has been replaced (new serial number received)</t>
  </si>
  <si>
    <t>单元{#SNMPVALUE}: 设备已更换(收到新序列号)</t>
  </si>
  <si>
    <t>(3236/270)</t>
  </si>
  <si>
    <t>14381</t>
  </si>
  <si>
    <t>(3236/271)</t>
  </si>
  <si>
    <t>14380</t>
  </si>
  <si>
    <t>(3236/272)</t>
  </si>
  <si>
    <t>14382</t>
  </si>
  <si>
    <t>(3236/277)</t>
  </si>
  <si>
    <t>Chassis by IPMI</t>
  </si>
  <si>
    <t>16768</t>
  </si>
  <si>
    <t>IPMI: {#SENSOR_ID} value is below non-critical low (less than {#SENSOR_LO_WARN} for 5m)</t>
  </si>
  <si>
    <t>IPMI: {#SENSOR_ID}值触发了告警值(低于{#SENSOR_LO_WARN}达5分钟)</t>
  </si>
  <si>
    <t>(3236/278)</t>
  </si>
  <si>
    <t>16769</t>
  </si>
  <si>
    <t>IPMI: {#SENSOR_ID} value is below critical low (less than {#SENSOR_LO_CRIT} for 5m)</t>
  </si>
  <si>
    <t>IPMI: {#SENSOR_ID}值触发了严重告警值(低于{#SENSOR_LO_CRIT}达5分钟)</t>
  </si>
  <si>
    <t>(3236/279)</t>
  </si>
  <si>
    <t>16770</t>
  </si>
  <si>
    <t>IPMI: {#SENSOR_ID} value is below non-recoverable low (less than {#SENSOR_LO_DISAST} for 5m)</t>
  </si>
  <si>
    <t>IPMI: {#SENSOR_ID}值触发了灾难告警值(低于{#SENSOR_LO_DISAST}达5分钟)</t>
  </si>
  <si>
    <t>(3236/280)</t>
  </si>
  <si>
    <t>16771</t>
  </si>
  <si>
    <t>IPMI: {#SENSOR_ID} value is above non-critical high (greater than {#SENSOR_HI_WARN} for 5m)</t>
  </si>
  <si>
    <t>IPMI: {#SENSOR_ID}值触发了告警值(高于{#SENSOR_HI_WARN}达5分钟)</t>
  </si>
  <si>
    <t>(3236/281)</t>
  </si>
  <si>
    <t>16772</t>
  </si>
  <si>
    <t>IPMI: {#SENSOR_ID} value is above critical high (greater than {#SENSOR_HI_CRIT} for 5m)</t>
  </si>
  <si>
    <t>IPMI: {#SENSOR_ID}值触发了严重告警值(高于{#SENSOR_HI_CRIT}达5分钟)</t>
  </si>
  <si>
    <t>(3236/282)</t>
  </si>
  <si>
    <t>16773</t>
  </si>
  <si>
    <t>IPMI: {#SENSOR_ID} value is above non-recoverable high (greater than {#SENSOR_HI_DISAST} for 5m)</t>
  </si>
  <si>
    <t>IPMI: {#SENSOR_ID}值触发了灾难告警值(高于{#SENSOR_HI_DISAST}达5分钟)</t>
  </si>
  <si>
    <t>(3236/283)</t>
  </si>
  <si>
    <t>Check Point Next Generation Firewall by SNMP</t>
  </si>
  <si>
    <t>23508</t>
  </si>
  <si>
    <t>Check Point Firewall: Number of dropped packets has been increased: &gt;{$FW.DROPPED.PACKETS.TH}</t>
  </si>
  <si>
    <t>Check Point 防火墙: 丢弃的数据包数量已增加: &gt;{$FW.DROPPED.PACKETS.TH}</t>
  </si>
  <si>
    <t>(3236/285)</t>
  </si>
  <si>
    <t>23510</t>
  </si>
  <si>
    <t>Interface {#IFNAME}({#IFALIAS}): High bandwidth usage (&gt;{$NET.IF.UTIL.MAX:"{#IFNAME}"}%)</t>
  </si>
  <si>
    <t>接口 {#IFNAME}({#IFALIAS}): 带宽使用率过高(&gt;{$NET.IF.UTIL.MAX: "{#IFNAME}"}%)</t>
  </si>
  <si>
    <t>(3236/286)</t>
  </si>
  <si>
    <t>23511</t>
  </si>
  <si>
    <t>Interface {#IFNAME}({#IFALIAS}): High error rate (&gt;{$NET.IF.ERRORS.WARN:"{#IFNAME}"} for 5m)</t>
  </si>
  <si>
    <t>接口 {#IFNAME}({#IFALIAS}): 错误率过高(&gt;{$NET.IF.ERRORS.WARN: "{#IFNAME}"} 达 5 分钟)</t>
  </si>
  <si>
    <t>(3236/291)</t>
  </si>
  <si>
    <t>23519</t>
  </si>
  <si>
    <t>{#DISK.NAME}: Disk space is critically low (used &gt; {$DISK.PUSED.MAX.CRIT:"{#DISK.NAME}"}%)</t>
  </si>
  <si>
    <t>{#DISK.NAME}: 磁盘空间严重不足(已使用 &gt; {$DISK.PUSED.MAX.CRIT: "{#DISK.NAME}"}%)</t>
  </si>
  <si>
    <t>(3236/292)</t>
  </si>
  <si>
    <t>23520</t>
  </si>
  <si>
    <t>{#DISK.NAME}: Disk space is low (used &gt; {$DISK.PUSED.MAX.WARN:"{#DISK.NAME}"}%)</t>
  </si>
  <si>
    <t>{#DISK.NAME}: 磁盘空间不足(已使用 &gt; {$DISK.PUSED.MAX.WARN: "{#DISK.NAME}"}%)</t>
  </si>
  <si>
    <t>(3236/293)</t>
  </si>
  <si>
    <t>23516</t>
  </si>
  <si>
    <t>{#SENSOR.NAME}: Temperature is above critical threshold: &gt;{$TEMP.VALUE.CRIT:"{#SENSOR.NAME}"}</t>
  </si>
  <si>
    <t>{#SENSOR.NAME}: 温度超过临界阈值: &gt;{$TEMP.VALUE.CRIT: "{#SENSOR.NAME}"}</t>
  </si>
  <si>
    <t>(3236/294)</t>
  </si>
  <si>
    <t>23517</t>
  </si>
  <si>
    <t>{#SENSOR.NAME}: Temperature is above warning threshold: &gt;{$TEMP.VALUE.WARN:"{#SENSOR.NAME}"}</t>
  </si>
  <si>
    <t>{#SENSOR.NAME}: 温度超过警告阈值: &gt;{$TEMP.VALUE.WARN: "{#SENSOR.NAME}"}</t>
  </si>
  <si>
    <t>(3236/295)</t>
  </si>
  <si>
    <t>23518</t>
  </si>
  <si>
    <t>{#SENSOR.NAME}: Temperature is too low: &lt;{$TEMP.VALUE.LOW:"{#SENSOR.NAME}"}</t>
  </si>
  <si>
    <t>{#SENSOR.NAME}: 温度过低: &lt;{$TEMP.VALUE.LOW: "{#SENSOR.NAME}"}</t>
  </si>
  <si>
    <t>(3236/296)</t>
  </si>
  <si>
    <t>23514</t>
  </si>
  <si>
    <t>{#SW.NAME}: License expires soon (less than {$LICENSE.EXPIRY.WARN:"{#SW.NAME}"} days)</t>
  </si>
  <si>
    <t>{#SW.NAME}: 许可证即将到期(少于 {$LICENSE.EXPIRY.WARN: "{#SW.NAME}"} 天)</t>
  </si>
  <si>
    <t>(3236/298)</t>
  </si>
  <si>
    <t>Cisco ASAv by SNMP</t>
  </si>
  <si>
    <t>19014</t>
  </si>
  <si>
    <t>Cisco ASAv: High CPU utilization (over {$CPU.UTIL.CRIT}% for 5m)</t>
  </si>
  <si>
    <t>Cisco ASAv: CPU利用率高了(超过{$CPU.UTIL.CRIT}%达5分钟)</t>
  </si>
  <si>
    <t>(3236/299)</t>
  </si>
  <si>
    <t>19017</t>
  </si>
  <si>
    <t>Cisco ASAv: {#CISCO.ASAV.PHYS.NAME} has been replaced (new serial number received)</t>
  </si>
  <si>
    <t>Cisco ASAv: {#CISCO.ASAV.PHYS.NAME}已被替换(收到新序列号)</t>
  </si>
  <si>
    <t>(3236/301)</t>
  </si>
  <si>
    <t>19015</t>
  </si>
  <si>
    <t>Cisco ASAv: High memory utilization (&gt;{$MEMORY.UTIL.MAX}% for 5m)</t>
  </si>
  <si>
    <t>Cisco ASAv: 内存利用率高了(&gt;{$MEMORY.UTIL.MAX}%达5分钟)</t>
  </si>
  <si>
    <t>(3236/306)</t>
  </si>
  <si>
    <t>Cisco CISCO-ENVMON-MIB by SNMP</t>
  </si>
  <si>
    <t>16871</t>
  </si>
  <si>
    <t>(3236/307)</t>
  </si>
  <si>
    <t>17566</t>
  </si>
  <si>
    <t>(3236/308)</t>
  </si>
  <si>
    <t>17567</t>
  </si>
  <si>
    <t>(3236/309)</t>
  </si>
  <si>
    <t>Cisco CISCO-MEMORY-POOL-MIB by SNMP</t>
  </si>
  <si>
    <t>18113</t>
  </si>
  <si>
    <t>{#SNMPVALUE}: High memory utilization (&gt;{$MEMORY.UTIL.MAX}% for 5m)</t>
  </si>
  <si>
    <t>{#SNMPVALUE}: 内存利用率高了(&gt;{$MEMORY.UTIL.MAX}%达5分钟)</t>
  </si>
  <si>
    <t>(3236/310)</t>
  </si>
  <si>
    <t>Cisco CISCO-PROCESS-MIB IOS versions 12.0_3_T-12.2_3.5 by SNMP</t>
  </si>
  <si>
    <t>16514</t>
  </si>
  <si>
    <t>{#SNMPVALUE}: High CPU utilization (over {$CPU.UTIL.CRIT}% for 5m)</t>
  </si>
  <si>
    <t>{#SNMPVALUE}: CPU使用率高了(超过{$CPU.UTIL.CRIT}%达5分钟)</t>
  </si>
  <si>
    <t>(3236/311)</t>
  </si>
  <si>
    <t>Cisco CISCO-PROCESS-MIB by SNMP</t>
  </si>
  <si>
    <t>16515</t>
  </si>
  <si>
    <t>#{#SNMPINDEX}: High CPU utilization (over {$CPU.UTIL.CRIT}% for 5m)</t>
  </si>
  <si>
    <t>#{#SNMPINDEX}: CPU使用率高了(超过{$CPU.UTIL.CRIT}%达5分钟)</t>
  </si>
  <si>
    <t>(3236/312)</t>
  </si>
  <si>
    <t>Cisco Catalyst 3750V2-24FS by SNMP</t>
  </si>
  <si>
    <t>18306</t>
  </si>
  <si>
    <t>(3236/313)</t>
  </si>
  <si>
    <t>18312</t>
  </si>
  <si>
    <t>Interface {#IFNAME}({#IFALIAS}): High inbound bandwidth usage ( &gt; {$IF.UTIL.MAX:"{#IFNAME}"}% )</t>
  </si>
  <si>
    <t>接口{#IFNAME}({#IFALIAS}): 入方向带宽使用率高了(&gt;{$IF.UTIL.MAX: "{#IFNAME}"}%)</t>
  </si>
  <si>
    <t>(3236/314)</t>
  </si>
  <si>
    <t>18313</t>
  </si>
  <si>
    <t>Interface {#IFNAME}({#IFALIAS}): High outbound bandwidth usage ( &gt; {$IF.UTIL.MAX:"{#IFNAME}"}% )</t>
  </si>
  <si>
    <t>接口{#IFNAME}({#IFALIAS}): 出方向带宽使用率高了(&gt;{$IF.UTIL.MAX: "{#IFNAME}"}%)</t>
  </si>
  <si>
    <t>(3236/316)</t>
  </si>
  <si>
    <t>18314</t>
  </si>
  <si>
    <t>Interface {#IFNAME}({#IFALIAS}): High input error rate ( &gt; {$IF.ERRORS.WARN:"{#IFNAME}"} for 5m)</t>
  </si>
  <si>
    <t>接口{#IFNAME}({#IFALIAS}): 入方向错误率高了(&gt;{$IF.ERRORS.WARN: "{#IFNAME}"}达5分钟)</t>
  </si>
  <si>
    <t>(3236/319)</t>
  </si>
  <si>
    <t>18315</t>
  </si>
  <si>
    <t>Interface {#IFNAME}({#IFALIAS}): High output error rate ( &gt; {$IF.ERRORS.WARN:"{#IFNAME}"} for 5m)</t>
  </si>
  <si>
    <t>接口{#IFNAME}({#IFALIAS}): 出方向错误率高了(&gt;{$IF.ERRORS.WARN: "{#IFNAME}"}达5分钟)</t>
  </si>
  <si>
    <t>(3236/320)</t>
  </si>
  <si>
    <t>18307</t>
  </si>
  <si>
    <t>(3236/323)</t>
  </si>
  <si>
    <t>18310</t>
  </si>
  <si>
    <t>{#SNMPVALUE}: High memory utilization ( &gt;{$MEMORY.UTIL.MAX}% for 5m)</t>
  </si>
  <si>
    <t>(3236/326)</t>
  </si>
  <si>
    <t>18322</t>
  </si>
  <si>
    <t>(3236/327)</t>
  </si>
  <si>
    <t>18323</t>
  </si>
  <si>
    <t>(3236/328)</t>
  </si>
  <si>
    <t>18324</t>
  </si>
  <si>
    <t>(3236/331)</t>
  </si>
  <si>
    <t>Cisco Catalyst 3750V2-24PS by SNMP</t>
  </si>
  <si>
    <t>18333</t>
  </si>
  <si>
    <t>(3236/332)</t>
  </si>
  <si>
    <t>18339</t>
  </si>
  <si>
    <t>(3236/333)</t>
  </si>
  <si>
    <t>18340</t>
  </si>
  <si>
    <t>(3236/335)</t>
  </si>
  <si>
    <t>18341</t>
  </si>
  <si>
    <t>(3236/338)</t>
  </si>
  <si>
    <t>18342</t>
  </si>
  <si>
    <t>(3236/339)</t>
  </si>
  <si>
    <t>18334</t>
  </si>
  <si>
    <t>(3236/342)</t>
  </si>
  <si>
    <t>18337</t>
  </si>
  <si>
    <t>(3236/345)</t>
  </si>
  <si>
    <t>18349</t>
  </si>
  <si>
    <t>(3236/346)</t>
  </si>
  <si>
    <t>18350</t>
  </si>
  <si>
    <t>(3236/347)</t>
  </si>
  <si>
    <t>18351</t>
  </si>
  <si>
    <t>(3236/350)</t>
  </si>
  <si>
    <t>Cisco Catalyst 3750V2-24TS by SNMP</t>
  </si>
  <si>
    <t>18360</t>
  </si>
  <si>
    <t>(3236/351)</t>
  </si>
  <si>
    <t>18366</t>
  </si>
  <si>
    <t>(3236/352)</t>
  </si>
  <si>
    <t>18367</t>
  </si>
  <si>
    <t>(3236/354)</t>
  </si>
  <si>
    <t>18368</t>
  </si>
  <si>
    <t>(3236/357)</t>
  </si>
  <si>
    <t>18369</t>
  </si>
  <si>
    <t>(3236/358)</t>
  </si>
  <si>
    <t>18361</t>
  </si>
  <si>
    <t>(3236/361)</t>
  </si>
  <si>
    <t>18364</t>
  </si>
  <si>
    <t>(3236/364)</t>
  </si>
  <si>
    <t>18376</t>
  </si>
  <si>
    <t>(3236/365)</t>
  </si>
  <si>
    <t>18377</t>
  </si>
  <si>
    <t>(3236/366)</t>
  </si>
  <si>
    <t>18378</t>
  </si>
  <si>
    <t>(3236/369)</t>
  </si>
  <si>
    <t>Cisco Catalyst 3750V2-48PS by SNMP</t>
  </si>
  <si>
    <t>18387</t>
  </si>
  <si>
    <t>(3236/370)</t>
  </si>
  <si>
    <t>18393</t>
  </si>
  <si>
    <t>(3236/371)</t>
  </si>
  <si>
    <t>18394</t>
  </si>
  <si>
    <t>(3236/373)</t>
  </si>
  <si>
    <t>18395</t>
  </si>
  <si>
    <t>(3236/376)</t>
  </si>
  <si>
    <t>18396</t>
  </si>
  <si>
    <t>(3236/377)</t>
  </si>
  <si>
    <t>18388</t>
  </si>
  <si>
    <t>(3236/380)</t>
  </si>
  <si>
    <t>18391</t>
  </si>
  <si>
    <t>(3236/383)</t>
  </si>
  <si>
    <t>18403</t>
  </si>
  <si>
    <t>(3236/384)</t>
  </si>
  <si>
    <t>18404</t>
  </si>
  <si>
    <t>(3236/385)</t>
  </si>
  <si>
    <t>18405</t>
  </si>
  <si>
    <t>(3236/388)</t>
  </si>
  <si>
    <t>Cisco Catalyst 3750V2-48TS by SNMP</t>
  </si>
  <si>
    <t>18414</t>
  </si>
  <si>
    <t>(3236/389)</t>
  </si>
  <si>
    <t>18420</t>
  </si>
  <si>
    <t>(3236/390)</t>
  </si>
  <si>
    <t>18421</t>
  </si>
  <si>
    <t>(3236/392)</t>
  </si>
  <si>
    <t>18422</t>
  </si>
  <si>
    <t>(3236/395)</t>
  </si>
  <si>
    <t>18423</t>
  </si>
  <si>
    <t>(3236/396)</t>
  </si>
  <si>
    <t>18415</t>
  </si>
  <si>
    <t>(3236/399)</t>
  </si>
  <si>
    <t>18418</t>
  </si>
  <si>
    <t>(3236/402)</t>
  </si>
  <si>
    <t>18430</t>
  </si>
  <si>
    <t>(3236/403)</t>
  </si>
  <si>
    <t>18431</t>
  </si>
  <si>
    <t>(3236/404)</t>
  </si>
  <si>
    <t>18432</t>
  </si>
  <si>
    <t>(3236/407)</t>
  </si>
  <si>
    <t>Cisco IOS by SNMP</t>
  </si>
  <si>
    <t>21637</t>
  </si>
  <si>
    <t>(3236/408)</t>
  </si>
  <si>
    <t>21643</t>
  </si>
  <si>
    <t>(3236/410)</t>
  </si>
  <si>
    <t>21644</t>
  </si>
  <si>
    <t>(3236/413)</t>
  </si>
  <si>
    <t>21638</t>
  </si>
  <si>
    <t>(3236/418)</t>
  </si>
  <si>
    <t>21641</t>
  </si>
  <si>
    <t>(3236/419)</t>
  </si>
  <si>
    <t>21649</t>
  </si>
  <si>
    <t>(3236/420)</t>
  </si>
  <si>
    <t>21650</t>
  </si>
  <si>
    <t>(3236/421)</t>
  </si>
  <si>
    <t>21651</t>
  </si>
  <si>
    <t>(3236/422)</t>
  </si>
  <si>
    <t>Cisco IOS prior to 12.0_3_T by SNMP</t>
  </si>
  <si>
    <t>21628</t>
  </si>
  <si>
    <t>(3236/427)</t>
  </si>
  <si>
    <t>21631</t>
  </si>
  <si>
    <t>(3236/428)</t>
  </si>
  <si>
    <t>21634</t>
  </si>
  <si>
    <t>(3236/429)</t>
  </si>
  <si>
    <t>21635</t>
  </si>
  <si>
    <t>(3236/430)</t>
  </si>
  <si>
    <t>21636</t>
  </si>
  <si>
    <t>(3236/431)</t>
  </si>
  <si>
    <t>Cisco IOS versions 12.0_3_T-12.2_3.5 by SNMP</t>
  </si>
  <si>
    <t>21658</t>
  </si>
  <si>
    <t>(3236/432)</t>
  </si>
  <si>
    <t>21659</t>
  </si>
  <si>
    <t>(3236/435)</t>
  </si>
  <si>
    <t>21653</t>
  </si>
  <si>
    <t>(3236/440)</t>
  </si>
  <si>
    <t>21652</t>
  </si>
  <si>
    <t>(3236/441)</t>
  </si>
  <si>
    <t>21656</t>
  </si>
  <si>
    <t>(3236/442)</t>
  </si>
  <si>
    <t>21663</t>
  </si>
  <si>
    <t>(3236/443)</t>
  </si>
  <si>
    <t>21664</t>
  </si>
  <si>
    <t>(3236/444)</t>
  </si>
  <si>
    <t>21665</t>
  </si>
  <si>
    <t>(3236/445)</t>
  </si>
  <si>
    <t>Cisco Inventory by SNMP</t>
  </si>
  <si>
    <t>14417</t>
  </si>
  <si>
    <t>(3236/449)</t>
  </si>
  <si>
    <t>Cisco Meraki organization by HTTP</t>
  </si>
  <si>
    <t>23366</t>
  </si>
  <si>
    <t>VPN [{#NETWORK.NAME}][{#SENDER.UPLINK}]=&gt;[{#PEER.NETWORK.NAME}][{#RECEIVER.UPLINK}]: High average VPN connection loss (over &gt;= {$MERAKI.VPN.LOSS.PERCENTILE%)</t>
  </si>
  <si>
    <t>VPN [{#NETWORK.NAME}][{#SENDER.UPLINK}]=&gt;[{#PEER.NETWORK.NAME}][{#RECEIVER.UPLINK}]: 平均VPN连接丢失率高(超过&gt;= {$MERAKI.VPN.LOSS.PERCENTILE}%)</t>
  </si>
  <si>
    <t>(3236/450)</t>
  </si>
  <si>
    <t>Cisco Nexus 9000 Series by SNMP</t>
  </si>
  <si>
    <t>23112</t>
  </si>
  <si>
    <t>(3236/451)</t>
  </si>
  <si>
    <t>23119</t>
  </si>
  <si>
    <t>(3236/452)</t>
  </si>
  <si>
    <t>23120</t>
  </si>
  <si>
    <t>(3236/454)</t>
  </si>
  <si>
    <t>23121</t>
  </si>
  <si>
    <t>(3236/457)</t>
  </si>
  <si>
    <t>23122</t>
  </si>
  <si>
    <t>(3236/458)</t>
  </si>
  <si>
    <t>23113</t>
  </si>
  <si>
    <t>(3236/462)</t>
  </si>
  <si>
    <t>23117</t>
  </si>
  <si>
    <t>(3236/466)</t>
  </si>
  <si>
    <t>23130</t>
  </si>
  <si>
    <t>{#SNMPVALUE}: Temperature is above critical threshold: &gt;{$TEMP_CRIT:"{#SNMPVALUE}"}°C</t>
  </si>
  <si>
    <t>{#SNMPVALUE}: 温度高于临界阈值: &gt;{$TEMP_CRIT: "{#SNMPVALUE}"}°C</t>
  </si>
  <si>
    <t>(3236/467)</t>
  </si>
  <si>
    <t>23131</t>
  </si>
  <si>
    <t>{#SNMPVALUE}: Temperature is above warning threshold: &gt;{$TEMP_WARN:"{#SNMPVALUE}°C"}</t>
  </si>
  <si>
    <t>{#SNMPVALUE}: 温度高于告警阈值: &gt;{$TEMP_WARN: "{#SNMPVALUE}°C"}</t>
  </si>
  <si>
    <t>(3236/468)</t>
  </si>
  <si>
    <t>23132</t>
  </si>
  <si>
    <t>{#SNMPVALUE}: Temperature is too low: &lt;{$TEMP_CRIT_LOW:"{#SNMPVALUE}°C"}</t>
  </si>
  <si>
    <t>{#SNMPVALUE}: 温度太低了: &lt;{$TEMP_CRIT_LOW: "{#SNMPVALUE}°C"}</t>
  </si>
  <si>
    <t>(3236/471)</t>
  </si>
  <si>
    <t>Cisco SD-WAN device by HTTP</t>
  </si>
  <si>
    <t>23259</t>
  </si>
  <si>
    <t>Interface ["{#IFNAME}"]: High bandwidth usage (&gt;{$SDWAN.IF.UTIL.MAX:"{#IFNAME}"}%)</t>
  </si>
  <si>
    <t>接口["{#IFNAME}"]: 带宽使用率高(&gt;{$SDWAN.IF.UTIL.MAX: "{#IFNAME}"}%)</t>
  </si>
  <si>
    <t>(3236/472)</t>
  </si>
  <si>
    <t>23260</t>
  </si>
  <si>
    <t>Interface ["{#IFNAME}"]: High error rate (&gt;{$SDWAN.IF.ERRORS.WARN:"{#IFNAME}"} for 5m)</t>
  </si>
  <si>
    <t>接口["{#IFNAME}"]: 错误率高(&gt;{$SDWAN.IF.ERRORS.WARN: "{#IFNAME}"}达5分钟)</t>
  </si>
  <si>
    <t>(3236/475)</t>
  </si>
  <si>
    <t>23256</t>
  </si>
  <si>
    <t>["{#FSNAME}"]: Disk space is critically low (used &gt; {$SDWAN.FS.PUSED.MAX.CRIT:"{#FSNAME}"}%)</t>
  </si>
  <si>
    <t>["{#FSNAME}"]: 磁盘空间严重不足(已使用率&gt;{$SDWAN.FS.PUSED.MAX.CRIT: "{#FSNAME}"}%)</t>
  </si>
  <si>
    <t>(3236/476)</t>
  </si>
  <si>
    <t>23257</t>
  </si>
  <si>
    <t>["{#FSNAME}"]: Disk space is low (used &gt; {$SDWAN.FS.PUSED.MAX.WARN:"{#FSNAME}"}%)</t>
  </si>
  <si>
    <t>["{#FSNAME}"]: 磁盘空间不足(已使用率&gt;{$SDWAN.FS.PUSED.MAX.WARN: "{#FSNAME}"}%)</t>
  </si>
  <si>
    <t>(3236/477)</t>
  </si>
  <si>
    <t>Cisco UCS Manager by SNMP</t>
  </si>
  <si>
    <t>19239</t>
  </si>
  <si>
    <t>Interface {#IFNAME}({#IFALIAS}): High error rate on {#IFNAME} ( &gt; {$IF.ERRORS.WARN:"{#IFNAME}"} for 5m)</t>
  </si>
  <si>
    <t>接口{#IFNAME}({#IFALIAS}): {#IFNAME}上的错误率高了(&gt;{$IF.ERRORS.WARN: "{#IFNAME}"}达5分钟)</t>
  </si>
  <si>
    <t>(3236/484)</t>
  </si>
  <si>
    <t>19241</t>
  </si>
  <si>
    <t>{#DISK_LOCATION}: Disk has been replaced (new serial number received)</t>
  </si>
  <si>
    <t>{#DISK_LOCATION}: 磁盘已更换(收到新序列号)</t>
  </si>
  <si>
    <t>(3236/491)</t>
  </si>
  <si>
    <t>19250</t>
  </si>
  <si>
    <t>{#SENSOR_LOCATION}.Ambient: Temperature is above critical threshold: &gt;{$TEMP.MAX.CRIT:"Ambient"}</t>
  </si>
  <si>
    <t>{#SENSOR_LOCATION}.Ambient: 温度高于临界阈值: &gt;{$TEMP.MAX.CRIT: "Ambient"}</t>
  </si>
  <si>
    <t>(3236/492)</t>
  </si>
  <si>
    <t>19251</t>
  </si>
  <si>
    <t>{#SENSOR_LOCATION}.Ambient: Temperature is above warning threshold: &gt;{$TEMP.MAX.WARN:"Ambient"}</t>
  </si>
  <si>
    <t>{#SENSOR_LOCATION}.Ambient: 温度高于告警阈值: &gt;{$TEMP.MAX.WARN: "Ambient"}</t>
  </si>
  <si>
    <t>(3236/493)</t>
  </si>
  <si>
    <t>19252</t>
  </si>
  <si>
    <t>{#SENSOR_LOCATION}.Front: Temperature is above critical threshold: &gt;{$TEMP.MAX.CRIT:"Ambient"}</t>
  </si>
  <si>
    <t>{#SENSOR_LOCATION}.Front: 温度高于临界阈值: &gt;{$TEMP.MAX.CRIT: "Ambient"}</t>
  </si>
  <si>
    <t>(3236/494)</t>
  </si>
  <si>
    <t>19253</t>
  </si>
  <si>
    <t>{#SENSOR_LOCATION}.Front: Temperature is above warning threshold: &gt;{$TEMP.MAX.WARN:"Ambient"}</t>
  </si>
  <si>
    <t>{#SENSOR_LOCATION}.Front: 温度高于告警阈值: &gt;{$TEMP.MAX.WARN: "Ambient"}</t>
  </si>
  <si>
    <t>(3236/495)</t>
  </si>
  <si>
    <t>19248</t>
  </si>
  <si>
    <t>{#SENSOR_LOCATION}.IOH: Temperature is above critical threshold: &gt;{$TEMP.MAX.CRIT:"Ambient"}</t>
  </si>
  <si>
    <t>{#SENSOR_LOCATION}.IOH: 温度高于临界阈值: &gt;{$TEMP.MAX.CRIT: "Ambient"}</t>
  </si>
  <si>
    <t>(3236/496)</t>
  </si>
  <si>
    <t>19249</t>
  </si>
  <si>
    <t>{#SENSOR_LOCATION}.IOH: Temperature is above warning threshold: &gt;{$TEMP.MAX.WARN:"Ambient"}</t>
  </si>
  <si>
    <t>{#SENSOR_LOCATION}.IOH: 温度高于告警阈值: &gt;{$TEMP.MAX.WARN: "Ambient"}</t>
  </si>
  <si>
    <t>(3236/497)</t>
  </si>
  <si>
    <t>19254</t>
  </si>
  <si>
    <t>{#SENSOR_LOCATION}.Rear: Temperature is above critical threshold: &gt;{$TEMP.MAX.CRIT:"Ambient"}</t>
  </si>
  <si>
    <t>{#SENSOR_LOCATION}.Rear: 温度高于临界阈值: &gt;{$TEMP.MAX.CRIT: "Ambient"}</t>
  </si>
  <si>
    <t>(3236/498)</t>
  </si>
  <si>
    <t>19255</t>
  </si>
  <si>
    <t>{#SENSOR_LOCATION}.Rear: Temperature is above warning threshold: &gt;{$TEMP.MAX.WARN:"Ambient"}</t>
  </si>
  <si>
    <t>{#SENSOR_LOCATION}.Rear: 温度高于告警阈值: &gt;{$TEMP.MAX.WARN: "Ambient"}</t>
  </si>
  <si>
    <t>(3236/499)</t>
  </si>
  <si>
    <t>19246</t>
  </si>
  <si>
    <t>{#SENSOR_LOCATION}: Temperature is above critical threshold: &gt;{$TEMP.MAX.CRIT:"CPU"}</t>
  </si>
  <si>
    <t>{#SENSOR_LOCATION}: 温度高于临界阈值: &gt;{$TEMP.MAX.CRIT: "CPU"}</t>
  </si>
  <si>
    <t>(3236/500)</t>
  </si>
  <si>
    <t>19247</t>
  </si>
  <si>
    <t>{#SENSOR_LOCATION}: Temperature is above warning threshold: &gt;{$TEMP.MAX.WARN:"CPU"}</t>
  </si>
  <si>
    <t>{#SENSOR_LOCATION}: 温度高于告警阈值: &gt;{$TEMP.MAX.WARN: "CPU"}</t>
  </si>
  <si>
    <t>(3236/501)</t>
  </si>
  <si>
    <t>19256</t>
  </si>
  <si>
    <t>{#UNIT_LOCATION}: Device has been replaced (new serial number received)</t>
  </si>
  <si>
    <t>{#UNIT_LOCATION}: 设备已更换(收到新序列号)</t>
  </si>
  <si>
    <t>(3236/516)</t>
  </si>
  <si>
    <t>Cisco UCS by SNMP</t>
  </si>
  <si>
    <t>16459</t>
  </si>
  <si>
    <t>{#SENSOR_LOCATION}.Ambient: Temperature is above warning threshold: &gt;{$TEMP_WARN:"Ambient"}</t>
  </si>
  <si>
    <t>{#SENSOR_LOCATION}.Ambient: 温度高于告警阈值: &gt;{$TEMP_WARN: "Ambient"}</t>
  </si>
  <si>
    <t>(3236/517)</t>
  </si>
  <si>
    <t>16460</t>
  </si>
  <si>
    <t>{#SENSOR_LOCATION}.Ambient: Temperature is above critical threshold: &gt;{$TEMP_CRIT:"Ambient"}</t>
  </si>
  <si>
    <t>{#SENSOR_LOCATION}.Ambient: 温度高于临界阈值: &gt;{$TEMP_CRIT: "Ambient"}</t>
  </si>
  <si>
    <t>(3236/518)</t>
  </si>
  <si>
    <t>16461</t>
  </si>
  <si>
    <t>{#SENSOR_LOCATION}.Ambient: Temperature is too low: &lt;{$TEMP_CRIT_LOW:"Ambient"}</t>
  </si>
  <si>
    <t>{#SENSOR_LOCATION}.Ambient: 温度太低: &lt;{$TEMP_CRIT_LOW: "Ambient"}</t>
  </si>
  <si>
    <t>(3236/519)</t>
  </si>
  <si>
    <t>16462</t>
  </si>
  <si>
    <t>{#SENSOR_LOCATION}.Front: Temperature is above warning threshold: &gt;{$TEMP_WARN:"Ambient"}</t>
  </si>
  <si>
    <t>{#SENSOR_LOCATION}.Front: 温度高于告警阈值: &gt;{$TEMP_WARN: "Ambient"}</t>
  </si>
  <si>
    <t>(3236/520)</t>
  </si>
  <si>
    <t>16463</t>
  </si>
  <si>
    <t>{#SENSOR_LOCATION}.Front: Temperature is above critical threshold: &gt;{$TEMP_CRIT:"Ambient"}</t>
  </si>
  <si>
    <t>{#SENSOR_LOCATION}.Front: 温度高于临界阈值: &gt;{$TEMP_CRIT: "Ambient"}</t>
  </si>
  <si>
    <t>(3236/521)</t>
  </si>
  <si>
    <t>16464</t>
  </si>
  <si>
    <t>{#SENSOR_LOCATION}.Front: Temperature is too low: &lt;{$TEMP_CRIT_LOW:"Ambient"}</t>
  </si>
  <si>
    <t>{#SENSOR_LOCATION}.Front: 温度太低: &lt;{$TEMP_CRIT_LOW: "Ambient"}</t>
  </si>
  <si>
    <t>(3236/522)</t>
  </si>
  <si>
    <t>16468</t>
  </si>
  <si>
    <t>{#SENSOR_LOCATION}.IOH: Temperature is above warning threshold: &gt;{$TEMP_WARN:"Ambient"}</t>
  </si>
  <si>
    <t>{#SENSOR_LOCATION}.IOH: 温度高于告警阈值: &gt;{$TEMP_WARN: "Ambient"}</t>
  </si>
  <si>
    <t>(3236/523)</t>
  </si>
  <si>
    <t>16469</t>
  </si>
  <si>
    <t>{#SENSOR_LOCATION}.IOH: Temperature is above critical threshold: &gt;{$TEMP_CRIT:"Ambient"}</t>
  </si>
  <si>
    <t>{#SENSOR_LOCATION}.IOH: 温度高于临界阈值: &gt;{$TEMP_CRIT: "Ambient"}</t>
  </si>
  <si>
    <t>(3236/524)</t>
  </si>
  <si>
    <t>16470</t>
  </si>
  <si>
    <t>{#SENSOR_LOCATION}.IOH: Temperature is too low: &lt;{$TEMP_CRIT_LOW:"Ambient"}</t>
  </si>
  <si>
    <t>{#SENSOR_LOCATION}.IOH: 温度太低: &lt;{$TEMP_CRIT_LOW: "Ambient"}</t>
  </si>
  <si>
    <t>(3236/525)</t>
  </si>
  <si>
    <t>16465</t>
  </si>
  <si>
    <t>{#SENSOR_LOCATION}.Rear: Temperature is above warning threshold: &gt;{$TEMP_WARN:"Ambient"}</t>
  </si>
  <si>
    <t>{#SENSOR_LOCATION}.Rear: 温度高于告警阈值: &gt;{$TEMP_WARN: "Ambient"}</t>
  </si>
  <si>
    <t>(3236/526)</t>
  </si>
  <si>
    <t>16466</t>
  </si>
  <si>
    <t>{#SENSOR_LOCATION}.Rear: Temperature is above critical threshold: &gt;{$TEMP_CRIT:"Ambient"}</t>
  </si>
  <si>
    <t>{#SENSOR_LOCATION}.Rear: 温度高于临界阈值: &gt;{$TEMP_CRIT: "Ambient"}</t>
  </si>
  <si>
    <t>(3236/527)</t>
  </si>
  <si>
    <t>16467</t>
  </si>
  <si>
    <t>{#SENSOR_LOCATION}.Rear: Temperature is too low: &lt;{$TEMP_CRIT_LOW:"Ambient"}</t>
  </si>
  <si>
    <t>{#SENSOR_LOCATION}.Rear: 温度太低: &lt;{$TEMP_CRIT_LOW: "Ambient"}</t>
  </si>
  <si>
    <t>(3236/528)</t>
  </si>
  <si>
    <t>16471</t>
  </si>
  <si>
    <t>{#SENSOR_LOCATION}: Temperature is above warning threshold: &gt;{$TEMP_WARN:"CPU"}</t>
  </si>
  <si>
    <t>{#SENSOR_LOCATION}: 温度高于告警阈值: &gt;{$TEMP_WARN: "CPU"}</t>
  </si>
  <si>
    <t>(3236/529)</t>
  </si>
  <si>
    <t>16472</t>
  </si>
  <si>
    <t>{#SENSOR_LOCATION}: Temperature is above critical threshold: &gt;{$TEMP_CRIT:"CPU"}</t>
  </si>
  <si>
    <t>{#SENSOR_LOCATION}: 温度高于临界阈值: &gt;{$TEMP_CRIT: "CPU"}</t>
  </si>
  <si>
    <t>(3236/530)</t>
  </si>
  <si>
    <t>16473</t>
  </si>
  <si>
    <t>{#SENSOR_LOCATION}: Temperature is too low: &lt;{$TEMP_CRIT_LOW:"CPU"}</t>
  </si>
  <si>
    <t>{#SENSOR_LOCATION}: 温度太低: &lt;{$TEMP_CRIT_LOW: "CPU"}</t>
  </si>
  <si>
    <t>(3236/531)</t>
  </si>
  <si>
    <t>16478</t>
  </si>
  <si>
    <t>(3236/536)</t>
  </si>
  <si>
    <t>ClickHouse by HTTP</t>
  </si>
  <si>
    <t>16839</t>
  </si>
  <si>
    <t>ClickHouse: {#DB}.{#TABLE}: Difference between log_max_index and log_pointer is too high (More than {$CLICKHOUSE.LOG_POSITION.DIFF.MAX.WARN} for 5m)</t>
  </si>
  <si>
    <t>ClickHouse: {#DB}.{#TABLE}: log_max_index和log_pointer之间的差异太大(超过{$CLICKHOUSE.LOG_POSITION.DIFF.MAX.WARN}达5分钟)</t>
  </si>
  <si>
    <t>(3236/537)</t>
  </si>
  <si>
    <t>16840</t>
  </si>
  <si>
    <t>ClickHouse: {#DB}.{#TABLE}: Too many operations in queue (over {$CLICKHOUSE.QUEUE.SIZE.MAX.WARN} for 5m)</t>
  </si>
  <si>
    <t>ClickHouse: {#DB}.{#TABLE}: 队列中的操作太多(超过{$CLICKHOUSE.QUEUE.SIZE.MAX.WARN}达5分钟)</t>
  </si>
  <si>
    <t>(3236/540)</t>
  </si>
  <si>
    <t>CockroachDB by HTTP</t>
  </si>
  <si>
    <t>22688</t>
  </si>
  <si>
    <t>CockroachDB: Storage [{#STORE}]: Available storage capacity is critically low (less than {$COCKROACHDB.STORE.USED.MIN.CRIT}%)</t>
  </si>
  <si>
    <t>CockroachDB: 存储[{#STORE}]: 可用存储容量严重不足(小于{$COCKROACHDB.STORE.USED.MIN.CRIT}%)</t>
  </si>
  <si>
    <t>(3236/541)</t>
  </si>
  <si>
    <t>22689</t>
  </si>
  <si>
    <t>CockroachDB: Storage [{#STORE}]: Available storage capacity is low (less than {$COCKROACHDB.STORE.USED.MIN.WARN}%)</t>
  </si>
  <si>
    <t>CockroachDB: 存储[{#STORE}]: 可用存储容量低(小于{$COCKROACHDB.STORE.USED.MIN.WARN}%)</t>
  </si>
  <si>
    <t>(3236/550)</t>
  </si>
  <si>
    <t>D-Link DES 7200 by SNMP</t>
  </si>
  <si>
    <t>21684</t>
  </si>
  <si>
    <t>(3236/551)</t>
  </si>
  <si>
    <t>21685</t>
  </si>
  <si>
    <t>(3236/554)</t>
  </si>
  <si>
    <t>18118</t>
  </si>
  <si>
    <t>{#SNMPINDEX}: High memory utilization (&gt;{$MEMORY.UTIL.MAX}% for 5m)</t>
  </si>
  <si>
    <t>{#SNMPINDEX}: 内存利用率高了(&gt;{$MEMORY.UTIL.MAX}%达5分钟)</t>
  </si>
  <si>
    <t>(3236/557)</t>
  </si>
  <si>
    <t>14477</t>
  </si>
  <si>
    <t>(3236/558)</t>
  </si>
  <si>
    <t>14476</t>
  </si>
  <si>
    <t>(3236/559)</t>
  </si>
  <si>
    <t>14478</t>
  </si>
  <si>
    <t>(3236/561)</t>
  </si>
  <si>
    <t>D-Link DES_DGS Switch by SNMP</t>
  </si>
  <si>
    <t>18119</t>
  </si>
  <si>
    <t>#{#SNMPVALUE}: High memory utilization (&gt;{$MEMORY.UTIL.MAX}% for 5m)</t>
  </si>
  <si>
    <t>#{#SNMPVALUE}: 内存利用率高了(&gt;{$MEMORY.UTIL.MAX}%达5分钟)</t>
  </si>
  <si>
    <t>(3236/563)</t>
  </si>
  <si>
    <t>14496</t>
  </si>
  <si>
    <t>#{#SNMPVALUE}: Temperature is above critical threshold: &gt;{$TEMP_CRIT:"{#SNMPVALUE}"}</t>
  </si>
  <si>
    <t>#{#SNMPVALUE}: 温度高于临界阈值: &gt;{$TEMP_CRIT: "{#SNMPVALUE}"}</t>
  </si>
  <si>
    <t>(3236/564)</t>
  </si>
  <si>
    <t>14495</t>
  </si>
  <si>
    <t>#{#SNMPVALUE}: Temperature is above warning threshold: &gt;{$TEMP_WARN:"{#SNMPVALUE}"}</t>
  </si>
  <si>
    <t>#{#SNMPVALUE}: 温度高于告警阈值: &gt;{$TEMP_WARN: "{#SNMPVALUE}"}</t>
  </si>
  <si>
    <t>(3236/565)</t>
  </si>
  <si>
    <t>14497</t>
  </si>
  <si>
    <t>#{#SNMPVALUE}: Temperature is too low: &lt;{$TEMP_CRIT_LOW:"{#SNMPVALUE}"}</t>
  </si>
  <si>
    <t>#{#SNMPVALUE}: 温度太低: &lt;{$TEMP_CRIT_LOW: "{#SNMPVALUE}"}</t>
  </si>
  <si>
    <t>(3236/566)</t>
  </si>
  <si>
    <t>21694</t>
  </si>
  <si>
    <t>(3236/568)</t>
  </si>
  <si>
    <t>21695</t>
  </si>
  <si>
    <t>(3236/575)</t>
  </si>
  <si>
    <t>DELL PowerEdge R720 by HTTP</t>
  </si>
  <si>
    <t>19274</t>
  </si>
  <si>
    <t>Dell R720: {#DISK_NAME} has been replaced (new serial number received)</t>
  </si>
  <si>
    <t>Dell R720: {#DISK_NAME}已更换(收到新序列号)</t>
  </si>
  <si>
    <t>(3236/596)</t>
  </si>
  <si>
    <t>DELL PowerEdge R720 by SNMP</t>
  </si>
  <si>
    <t>19300</t>
  </si>
  <si>
    <t>(3236/612)</t>
  </si>
  <si>
    <t>DELL PowerEdge R740 by HTTP</t>
  </si>
  <si>
    <t>19325</t>
  </si>
  <si>
    <t>Dell R740: {#DISK_NAME} has been replaced (new serial number received)</t>
  </si>
  <si>
    <t>Dell R740: {#DISK_NAME}已更换(收到新序列号)</t>
  </si>
  <si>
    <t>(3236/633)</t>
  </si>
  <si>
    <t>DELL PowerEdge R740 by SNMP</t>
  </si>
  <si>
    <t>19351</t>
  </si>
  <si>
    <t>(3236/649)</t>
  </si>
  <si>
    <t>DELL PowerEdge R820 by HTTP</t>
  </si>
  <si>
    <t>19376</t>
  </si>
  <si>
    <t>Dell R820: {#DISK_NAME} has been replaced (new serial number received)</t>
  </si>
  <si>
    <t>Dell R820: {#DISK_NAME}已更换(收到新序列号)</t>
  </si>
  <si>
    <t>(3236/670)</t>
  </si>
  <si>
    <t>DELL PowerEdge R820 by SNMP</t>
  </si>
  <si>
    <t>19402</t>
  </si>
  <si>
    <t>(3236/686)</t>
  </si>
  <si>
    <t>DELL PowerEdge R840 by HTTP</t>
  </si>
  <si>
    <t>19427</t>
  </si>
  <si>
    <t>Dell R840: {#DISK_NAME} has been replaced (new serial number received)</t>
  </si>
  <si>
    <t>Dell R840: {#DISK_NAME}已更换(收到新序列号)</t>
  </si>
  <si>
    <t>(3236/707)</t>
  </si>
  <si>
    <t>DELL PowerEdge R840 by SNMP</t>
  </si>
  <si>
    <t>19453</t>
  </si>
  <si>
    <t>(3236/719)</t>
  </si>
  <si>
    <t>Dell Force S-Series by SNMP</t>
  </si>
  <si>
    <t>16521</t>
  </si>
  <si>
    <t>(3236/720)</t>
  </si>
  <si>
    <t>18117</t>
  </si>
  <si>
    <t>#{#SNMPINDEX}: High memory utilization (&gt;{$MEMORY.UTIL.MAX}% for 5m)</t>
  </si>
  <si>
    <t>#{#SNMPINDEX}: 内存利用率高了(&gt;{$MEMORY.UTIL.MAX}%达5分钟)</t>
  </si>
  <si>
    <t>(3236/721)</t>
  </si>
  <si>
    <t>14463</t>
  </si>
  <si>
    <t>#{#SNMPVALUE}: Device has been replaced (new serial number received)</t>
  </si>
  <si>
    <t>#{#SNMPVALUE}: 设备已更换(收到新序列号)</t>
  </si>
  <si>
    <t>(3236/723)</t>
  </si>
  <si>
    <t>14461</t>
  </si>
  <si>
    <t>Device {#SNMPVALUE}: Temperature is above critical threshold: &gt;{$TEMP_CRIT:"{#SNMPVALUE}"}</t>
  </si>
  <si>
    <t>设备{#SNMPVALUE}: 温度高于临界阈值: &gt;{$TEMP_CRIT: "{#SNMPVALUE}"}</t>
  </si>
  <si>
    <t>(3236/724)</t>
  </si>
  <si>
    <t>14460</t>
  </si>
  <si>
    <t>Device {#SNMPVALUE}: Temperature is above warning threshold: &gt;{$TEMP_WARN:"{#SNMPVALUE}"}</t>
  </si>
  <si>
    <t>设备{#SNMPVALUE}: 温度高于告警阈值: &gt;{$TEMP_WARN: "{#SNMPVALUE}"}</t>
  </si>
  <si>
    <t>(3236/725)</t>
  </si>
  <si>
    <t>14462</t>
  </si>
  <si>
    <t>Device {#SNMPVALUE}: Temperature is too low: &lt;{$TEMP_CRIT_LOW:"{#SNMPVALUE}"}</t>
  </si>
  <si>
    <t>设备{#SNMPVALUE}: 温度太低: &lt;{$TEMP_CRIT_LOW: "{#SNMPVALUE}"}</t>
  </si>
  <si>
    <t>(3236/728)</t>
  </si>
  <si>
    <t>21673</t>
  </si>
  <si>
    <t>(3236/730)</t>
  </si>
  <si>
    <t>21674</t>
  </si>
  <si>
    <t>(3236/744)</t>
  </si>
  <si>
    <t>Dell iDRAC by SNMP</t>
  </si>
  <si>
    <t>15745</t>
  </si>
  <si>
    <t>{#DISK_NAME}: Disk has been replaced (new serial number received)</t>
  </si>
  <si>
    <t>{#DISK_NAME}: 磁盘已更换(收到新序列号)</t>
  </si>
  <si>
    <t>(3236/751)</t>
  </si>
  <si>
    <t>15735</t>
  </si>
  <si>
    <t>{#SENSOR_LOCALE}: Temperature is too low: &lt;{$TEMP_CRIT_LOW:"CPU"}</t>
  </si>
  <si>
    <t>{#SENSOR_LOCALE}: 温度太低: &lt;{$TEMP_CRIT_LOW: "CPU"}</t>
  </si>
  <si>
    <t>(3236/752)</t>
  </si>
  <si>
    <t>17947</t>
  </si>
  <si>
    <t>{#SENSOR_LOCALE}: Temperature is above critical threshold: &gt;{$TEMP_CRIT:"CPU"}</t>
  </si>
  <si>
    <t>{#SENSOR_LOCALE}: 温度高于临界阈值: &gt;{$TEMP_CRIT: "CPU"}</t>
  </si>
  <si>
    <t>(3236/753)</t>
  </si>
  <si>
    <t>17948</t>
  </si>
  <si>
    <t>{#SENSOR_LOCALE}: Temperature is above warning threshold: &gt;{$TEMP_WARN:"CPU"}</t>
  </si>
  <si>
    <t>{#SENSOR_LOCALE}: 温度高于告警阈值: &gt;{$TEMP_WARN: "CPU"}</t>
  </si>
  <si>
    <t>(3236/754)</t>
  </si>
  <si>
    <t>15738</t>
  </si>
  <si>
    <t>{#SENSOR_LOCALE}: Temperature is too low: &lt;{$TEMP_CRIT_LOW:"Ambient"}</t>
  </si>
  <si>
    <t>{#SENSOR_LOCALE}: 温度太低: &lt;{$TEMP_CRIT_LOW: "Ambient"}</t>
  </si>
  <si>
    <t>(3236/755)</t>
  </si>
  <si>
    <t>17945</t>
  </si>
  <si>
    <t>{#SENSOR_LOCALE}: Temperature is above critical threshold: &gt;{$TEMP_CRIT:"Ambient"}</t>
  </si>
  <si>
    <t>{#SENSOR_LOCALE}: 温度高于临界阈值: &gt;{$TEMP_CRIT: "Ambient"}</t>
  </si>
  <si>
    <t>(3236/756)</t>
  </si>
  <si>
    <t>17946</t>
  </si>
  <si>
    <t>{#SENSOR_LOCALE}: Temperature is above warning threshold: &gt;{$TEMP_WARN:"Ambient"}</t>
  </si>
  <si>
    <t>{#SENSOR_LOCALE}: 温度高于告警阈值: &gt;{$TEMP_WARN: "Ambient"}</t>
  </si>
  <si>
    <t>(3236/757)</t>
  </si>
  <si>
    <t>Docker by Zabbix agent 2</t>
  </si>
  <si>
    <t>16747</t>
  </si>
  <si>
    <t>Container {#NAME}: Version has changed (new version: {ITEM.VALUE})</t>
  </si>
  <si>
    <t>容器{#NAME}: 版本已变更(新版本: {ITEM.VALUE})</t>
  </si>
  <si>
    <t>(3236/760)</t>
  </si>
  <si>
    <t>Elasticsearch Cluster by HTTP</t>
  </si>
  <si>
    <t>16788</t>
  </si>
  <si>
    <t>ES {#ES.NODE}: Fetch latency is too high (over {$ELASTICSEARCH.FETCH_LATENCY.MAX.WARN}ms for 5m)</t>
  </si>
  <si>
    <t>ES{#ES.NODE}: 获取延迟太高(超过{$ELASTICSEARCH.FETCH_LATENCY.MAX.WARN}毫秒达5分钟)</t>
  </si>
  <si>
    <t>(3236/761)</t>
  </si>
  <si>
    <t>16786</t>
  </si>
  <si>
    <t>ES {#ES.NODE}: Flush latency is too high (over {$ELASTICSEARCH.FLUSH_LATENCY.MAX.WARN}ms for 5m)</t>
  </si>
  <si>
    <t>ES{#ES.NODE}: 刷新延迟太高(超过{$ELASTICSEARCH.FLUSH_LATENCY.MAX.WARN}毫秒达5分钟)</t>
  </si>
  <si>
    <t>(3236/762)</t>
  </si>
  <si>
    <t>16787</t>
  </si>
  <si>
    <t>ES {#ES.NODE}: Indexing latency is too high (over {$ELASTICSEARCH.INDEXING_LATENCY.MAX.WARN}ms for 5m)</t>
  </si>
  <si>
    <t>ES{#ES.NODE}: 索引延迟太高(超过{$ELASTICSEARCH.INDEXING_LATENCY.MAX.WARN}毫秒达5分钟)</t>
  </si>
  <si>
    <t>(3236/763)</t>
  </si>
  <si>
    <t>16792</t>
  </si>
  <si>
    <t>ES {#ES.NODE}: has been restarted (uptime &lt; 10m)</t>
  </si>
  <si>
    <t>ES{#ES.NODE}: 已重启(正常运行时间&lt;10分钟)</t>
  </si>
  <si>
    <t>(3236/764)</t>
  </si>
  <si>
    <t>16790</t>
  </si>
  <si>
    <t>ES {#ES.NODE}: Percent of JVM heap in use is high (over {$ELASTICSEARCH.HEAP_USED.MAX.WARN}% for 1h)</t>
  </si>
  <si>
    <t>ES{#ES.NODE}: 正在使用率的JVM堆百分比(超过{$ELASTICSEARCH.HEAP_USED.MAX.WARN}%已持续1小时)</t>
  </si>
  <si>
    <t>(3236/765)</t>
  </si>
  <si>
    <t>16791</t>
  </si>
  <si>
    <t>ES {#ES.NODE}: Percent of JVM heap in use is critical (over {$ELASTICSEARCH.HEAP_USED.MAX.CRIT}% for 1h)</t>
  </si>
  <si>
    <t>ES{#ES.NODE}: 正在使用率的JVM堆百分比(超过{$ELASTICSEARCH.HEAP_USED.MAX.CRIT}%已持续1小时)</t>
  </si>
  <si>
    <t>(3236/766)</t>
  </si>
  <si>
    <t>16789</t>
  </si>
  <si>
    <t>ES {#ES.NODE}: Query latency is too high (over {$ELASTICSEARCH.QUERY_LATENCY.MAX.WARN}ms for 5m)</t>
  </si>
  <si>
    <t>ES{#ES.NODE}: 查询延迟太高(超过{$ELASTICSEARCH.QUERY_LATENCY.MAX.WARN}毫秒达5分钟)</t>
  </si>
  <si>
    <t>(3236/767)</t>
  </si>
  <si>
    <t>16793</t>
  </si>
  <si>
    <t>ES {#ES.NODE}: Refresh thread pool executor has the rejected tasks (for 5m)</t>
  </si>
  <si>
    <t>ES{#ES.NODE}: 刷新线程池执行器有被拒绝的任务(达5分钟)</t>
  </si>
  <si>
    <t>(3236/768)</t>
  </si>
  <si>
    <t>16794</t>
  </si>
  <si>
    <t>ES {#ES.NODE}: Search thread pool executor has the rejected tasks (for 5m)</t>
  </si>
  <si>
    <t>ES{#ES.NODE}: 搜索线程池执行器有被拒绝的任务(达5分钟)</t>
  </si>
  <si>
    <t>(3236/769)</t>
  </si>
  <si>
    <t>16795</t>
  </si>
  <si>
    <t>ES {#ES.NODE}: Write thread pool executor has the rejected tasks (for 5m)</t>
  </si>
  <si>
    <t>ES{#ES.NODE}: 写线程池执行器有被拒绝的任务(达5分钟)</t>
  </si>
  <si>
    <t>(3236/771)</t>
  </si>
  <si>
    <t>Etcd by HTTP</t>
  </si>
  <si>
    <t>16901</t>
  </si>
  <si>
    <t>Etcd: Too many failed gRPC requests with code: {#GRPC.CODE} (over {$ETCD.GRPC.ERRORS.MAX.WARN} in 5m)</t>
  </si>
  <si>
    <t>Etcd: 太多失败的gRPC请求,代码为: {#GRPC.CODE}(超过{$ETCD.GRPC.ERRORS.MAX.WARN}达5分钟)</t>
  </si>
  <si>
    <t>(3236/773)</t>
  </si>
  <si>
    <t>Extreme EXOS by SNMP</t>
  </si>
  <si>
    <t>18120</t>
  </si>
  <si>
    <t>(3236/775)</t>
  </si>
  <si>
    <t>21705</t>
  </si>
  <si>
    <t>(3236/777)</t>
  </si>
  <si>
    <t>21706</t>
  </si>
  <si>
    <t>(3236/781)</t>
  </si>
  <si>
    <t>F5 Big-IP by SNMP</t>
  </si>
  <si>
    <t>19021</t>
  </si>
  <si>
    <t>F5 BIG-IP: Less than {$BIGIP.CERT.MIN} days left until the certificate expires ({#CERT.NAME})</t>
  </si>
  <si>
    <t>F5 BIG-IP: 距离证书到期还剩不到{$BIGIP.CERT.MIN}天({#CERT.NAME})</t>
  </si>
  <si>
    <t>(3236/784)</t>
  </si>
  <si>
    <t>19024</t>
  </si>
  <si>
    <t>F5 BIG-IP: High CPU utilization (over {$BIGIP.CPU.UTIL.WARN.MAX}% for 5m)</t>
  </si>
  <si>
    <t>F5 BIG-IP: CPU使用率(超过{$BIGIP.CPU.UTIL.WARN.MAX}%达5分钟)</t>
  </si>
  <si>
    <t>(3236/785)</t>
  </si>
  <si>
    <t>19026</t>
  </si>
  <si>
    <t>F5 BIG-IP: High memory utilization in host [{#HOST.ID}] (over {$BIGIP.MEMORY.UTIL.WARN.MAX}%)</t>
  </si>
  <si>
    <t>F5 BIG-IP: 主机[{#HOST.ID}]内存利用率(超过{$BIGIP.MEMORY.UTIL.WARN.MAX}%)</t>
  </si>
  <si>
    <t>(3236/786)</t>
  </si>
  <si>
    <t>19027</t>
  </si>
  <si>
    <t>F5 BIG-IP: High swap utilization in host [{#HOST.ID}] (over {$BIGIP.SWAP.UTIL.WARN.MAX}%)</t>
  </si>
  <si>
    <t>F5 BIG-IP: 主机[{#HOST.ID}]中的交换利用率(超过{$BIGIP.SWAP.UTIL.WARN.MAX}%)</t>
  </si>
  <si>
    <t>(3236/787)</t>
  </si>
  <si>
    <t>19028</t>
  </si>
  <si>
    <t>F5 BIG-IP: There are errors on the network interface ({#IF.NAME})</t>
  </si>
  <si>
    <t>F5 BIG-IP: 网络接口有错误({#IF.NAME})</t>
  </si>
  <si>
    <t>(3236/788)</t>
  </si>
  <si>
    <t>19025</t>
  </si>
  <si>
    <t>F5 BIG-IP: Low free space in file system [{#PART.NAME}] (less than {$BIGIP.FS.FREE.WARN.MIN}% for 5m)</t>
  </si>
  <si>
    <t>F5 BIG-IP: 文件系统[{#PART.NAME}]中的可用空间不足(小于{$BIGIP.FS.FREE.WARN.MIN}%达5分钟)</t>
  </si>
  <si>
    <t>(3236/793)</t>
  </si>
  <si>
    <t>19665</t>
  </si>
  <si>
    <t>F5 BIG-IP: Chassis temperature ({ITEM.LASTVALUE}) of sensor {#TEMP.INDEX} exceeds threshold of {$BIGIP.TEMP.HIGH} °C</t>
  </si>
  <si>
    <t>F5 BIG-IP: 传感器{#TEMP.INDEX}的主板温度({ITEM.LASTVALUE})超过阈值{$BIGIP.TEMP.HIGH}°C</t>
  </si>
  <si>
    <t>(3236/794)</t>
  </si>
  <si>
    <t>19666</t>
  </si>
  <si>
    <t>F5 BIG-IP: Chassis temperature ({ITEM.LASTVALUE}) of sensor {#TEMP.INDEX} exceeds threshold of {$BIGIP.TEMP.WARN} °C</t>
  </si>
  <si>
    <t>F5 BIG-IP: 传感器{#TEMP.INDEX}的主板温度({ITEM.LASTVALUE})超过阈值{$BIGIP.TEMP.WARN}°C</t>
  </si>
  <si>
    <t>(3236/795)</t>
  </si>
  <si>
    <t>FortiGate by HTTP</t>
  </si>
  <si>
    <t>23343</t>
  </si>
  <si>
    <t>Interface [{#IFNAME}({#IFALIAS})]: High bandwidth usage (&gt;{$NET.IF.UTIL.MAX:"{#IFNAME}"}%)</t>
  </si>
  <si>
    <t>接口 [{#IFNAME}({#IFALIAS})]: 带宽使用量过高(大于 {$NET.IF.UTIL.MAX: "{#IFNAME}"}%)</t>
  </si>
  <si>
    <t>(3236/796)</t>
  </si>
  <si>
    <t>23344</t>
  </si>
  <si>
    <t>Interface [{#IFNAME}({#IFALIAS})]: High error rate (&gt;{$NET.IF.ERRORS.WARN:"{#IFKEY}"} for 5m)</t>
  </si>
  <si>
    <t>接口 [{#IFNAME}({#IFALIAS})]: 错误率高(过去 5 分钟大于 {$NET.IF.ERRORS.WARN: "{#IFKEY}"})</t>
  </si>
  <si>
    <t>(3236/803)</t>
  </si>
  <si>
    <t>23350</t>
  </si>
  <si>
    <t>Service [{#NAME}]: License expires soon (less than {$SERVICE.EXPIRY.WARN:"{#KEY}"} days)</t>
  </si>
  <si>
    <t>服务 [{#NAME}]: 许可证即将过期(少于 {$SERVICE.EXPIRY.WARN: "{#KEY}"} 天)</t>
  </si>
  <si>
    <t>(3236/804)</t>
  </si>
  <si>
    <t>23351</t>
  </si>
  <si>
    <t>Service [{#NAME}]: License status is {ITEM.LASTVALUE1}</t>
  </si>
  <si>
    <t>服务[{#NAME}]: 许可证状态为{ITEM.LASTVALUE1}</t>
  </si>
  <si>
    <t>(3236/805)</t>
  </si>
  <si>
    <t>FortiGate by SNMP</t>
  </si>
  <si>
    <t>23363</t>
  </si>
  <si>
    <t>(3236/806)</t>
  </si>
  <si>
    <t>23364</t>
  </si>
  <si>
    <t>(3236/815)</t>
  </si>
  <si>
    <t>23562</t>
  </si>
  <si>
    <t>WTP {#WC.NAME}: High CPU utilization (over {$WC.CPU.UTIL.CRIT:"{#WC.NAME}"}% for 5m)</t>
  </si>
  <si>
    <t>WTP {#WC.NAME}: CPU利用率高了(超过{$WC.CPU.UTIL.CRIT: "{#WC.NAME}"}%达5分钟)</t>
  </si>
  <si>
    <t>(3236/816)</t>
  </si>
  <si>
    <t>23563</t>
  </si>
  <si>
    <t>WTP {#WC.NAME}: High memory utilization (&gt;{$WC.MEMORY.UTIL.MAX:"{#WC.NAME}"}% for 5m)</t>
  </si>
  <si>
    <t>WTP {#WC.NAME}: 内存利用率高了(超过{$WC.MEMORY.UTIL.MAX: "{#WC.NAME}"}%达5分钟)</t>
  </si>
  <si>
    <t>(3236/817)</t>
  </si>
  <si>
    <t>23564</t>
  </si>
  <si>
    <t>WTP {#WC.NAME}: Session has been restarted (uptime &lt; 10m)</t>
  </si>
  <si>
    <t>WTP {#WC.NAME}: 会话已重新启动(运行时间少于10分钟)</t>
  </si>
  <si>
    <t>(3236/823)</t>
  </si>
  <si>
    <t>Generic Java JMX</t>
  </si>
  <si>
    <t>22583</t>
  </si>
  <si>
    <t>Memory pool: {#JMXNAME} memory usage more than {$JMX.MP.USAGE.MAX:"{#JMXNAME}"}% for {$JMX.MP.USAGE.TIME:"{#JMXNAME}"}</t>
  </si>
  <si>
    <t>Memory pool: {#JMXNAME}内存使用率量超过{$JMX.MP.USAGE.MAX: "{#JMXNAME}"}%达{$JMX.MP.USAGE.TIME: "{#JMXNAME}"}</t>
  </si>
  <si>
    <t>(3236/826)</t>
  </si>
  <si>
    <t>GitHub repository by HTTP</t>
  </si>
  <si>
    <t>23618</t>
  </si>
  <si>
    <t>GitHub: Workflow [{#WORKFLOW_NAME}]: The workflow has been in progress for too long (over {$GITHUB.WORKFLOW.STATUS.IN_PROGRESS.THRESH:"workflow_in_progress:{#WORKFLOW_NAME}"})</t>
  </si>
  <si>
    <t>GitHub: 工作流 [{#WORKFLOW_NAME}]: 该工作流已进行太久（超过 {$GITHUB.WORKFLOW.STATUS.IN_PROGRESS.THRESH: "workflow_in_progress: {#WORKFLOW_NAME}"}）。</t>
  </si>
  <si>
    <t>(3236/827)</t>
  </si>
  <si>
    <t>23619</t>
  </si>
  <si>
    <t>GitHub: Workflow [{#WORKFLOW_NAME}]: The workflow has been in the queue for too long (over {$GITHUB.WORKFLOW.STATUS.QUEUED.THRESH:"workflow_queued:{#WORKFLOW_NAME}"})</t>
  </si>
  <si>
    <t>GitHub: 工作流 [{#WORKFLOW_NAME}]: 该工作流已在队列中等待太久（超过 {$GITHUB.WORKFLOW.STATUS.QUEUED.THRESH: "workflow_queued: {#WORKFLOW_NAME}"}）。</t>
  </si>
  <si>
    <t>(3236/828)</t>
  </si>
  <si>
    <t>GitLab by HTTP</t>
  </si>
  <si>
    <t>18526</t>
  </si>
  <si>
    <t>GitLab: Puma instance thread utilization is too high (over {$GITLAB.PUMA.UTILIZATION.MAX.WARN}% for 5m)</t>
  </si>
  <si>
    <t>GitLab: Puma实例线程利用率太高(超过{$GITLAB.PUMA.UTILIZATION.MAX.WARN}%达5分钟)</t>
  </si>
  <si>
    <t>(3236/829)</t>
  </si>
  <si>
    <t>17465</t>
  </si>
  <si>
    <t>GitLab: Puma is queueing requests (over {$GITLAB.PUMA.QUEUE.MAX.WARN}% for 15m)</t>
  </si>
  <si>
    <t>GitLab: Puma正在排队请求(超过{$GITLAB.PUMA.QUEUE.MAX.WARN}%达15分钟)</t>
  </si>
  <si>
    <t>(3236/830)</t>
  </si>
  <si>
    <t>17466</t>
  </si>
  <si>
    <t>GitLab: Unicorn worker utilization is too high (over {$GITLAB.UNICORN.UTILIZATION.MAX.WARN}% for 5m)</t>
  </si>
  <si>
    <t>GitLab: Puma工人利用率太高(超过{$GITLAB.UNICORN.UTILIZATION.MAX.WARN}%达5分钟)</t>
  </si>
  <si>
    <t>(3236/831)</t>
  </si>
  <si>
    <t>17467</t>
  </si>
  <si>
    <t>GitLab: Unicorn is queueing requests (over {$GITLAB.UNICORN.QUEUE.MAX.WARN}% for 5m)</t>
  </si>
  <si>
    <t>GitLab: Puma正在排队请求(超过{$GITLAB.UNICORN.QUEUE.MAX.WARN}%达5分钟)</t>
  </si>
  <si>
    <t>(3236/836)</t>
  </si>
  <si>
    <t>GridGain by JMX</t>
  </si>
  <si>
    <t>19004</t>
  </si>
  <si>
    <t>Cache group [{#JMXNAME}]: Version has changed (new version: {ITEM.VALUE})</t>
  </si>
  <si>
    <t>缓存组[{#JMXNAME}]: 版本已变更(新版本: {ITEM.VALUE})</t>
  </si>
  <si>
    <t>(3236/839)</t>
  </si>
  <si>
    <t>18986</t>
  </si>
  <si>
    <t>Data region {#JMXNAME}: Checkpoint buffer utilization is too high (over {$GRIDGAIN.CHECKPOINT.PUSED.MAX.HIGH} in 5m)</t>
  </si>
  <si>
    <t>数据区域{#JMXNAME}: 检查点缓冲区利用率太高(5分钟内超过{$GRIDGAIN.CHECKPOINT.PUSED.MAX.HIGH})</t>
  </si>
  <si>
    <t>(3236/840)</t>
  </si>
  <si>
    <t>18987</t>
  </si>
  <si>
    <t>Data region {#JMXNAME}: Checkpoint buffer utilization is too high (over {$GRIDGAIN.CHECKPOINT.PUSED.MAX.WARN} in 5m)</t>
  </si>
  <si>
    <t>数据区域{#JMXNAME}: 检查点缓冲区利用率太高(5分钟内超过{$GRIDGAIN.CHECKPOINT.PUSED.MAX.WARN})</t>
  </si>
  <si>
    <t>(3236/842)</t>
  </si>
  <si>
    <t>18988</t>
  </si>
  <si>
    <t>Data region {#JMXNAME}: Data region utilization is too high (over {$GRIDGAIN.DATA.REGION.PUSED.MAX.HIGH} in 5m)</t>
  </si>
  <si>
    <t>数据区域{#JMXNAME}: 数据区域利用率太高(5分钟内超过{$GRIDGAIN.DATA.REGION.PUSED.MAX.HIGH})</t>
  </si>
  <si>
    <t>(3236/843)</t>
  </si>
  <si>
    <t>18989</t>
  </si>
  <si>
    <t>Data region {#JMXNAME}: Data region utilization is too high (over {$GRIDGAIN.DATA.REGION.PUSED.MAX.WARN} in 5m)</t>
  </si>
  <si>
    <t>数据区域{#JMXNAME}: 数据区域利用率太高(5分钟内超过{$GRIDGAIN.DATA.REGION.PUSED.MAX.WARN})</t>
  </si>
  <si>
    <t>(3236/845)</t>
  </si>
  <si>
    <t>19002</t>
  </si>
  <si>
    <t>GridGain [{#JMXIGNITEINSTANCENAME}]: Version has changed (new version: {ITEM.VALUE})</t>
  </si>
  <si>
    <t>GridGain[{#JMXIGNITEINSTANCENAME}]: 版本已变更(新版本: {ITEM.VALUE})</t>
  </si>
  <si>
    <t>(3236/846)</t>
  </si>
  <si>
    <t>18995</t>
  </si>
  <si>
    <t>GridGain [{#JMXIGNITEINSTANCENAME}]: Number of queued jobs is too high (over {$GRIDGAIN.JOBS.QUEUE.MAX.WARN} for 15 min)</t>
  </si>
  <si>
    <t>GridGain[{#JMXIGNITEINSTANCENAME}]: 排队任务的数量太高(超过{$GRIDGAIN.JOBS.QUEUE.MAX.WARN}15分钟)</t>
  </si>
  <si>
    <t>(3236/850)</t>
  </si>
  <si>
    <t>18992</t>
  </si>
  <si>
    <t>GridGain [{#JMXIGNITEINSTANCENAME}]: PME duration is too long (over {$GRIDGAIN.PME.DURATION.MAX.HIGH} for 5 min)</t>
  </si>
  <si>
    <t>GridGain[{#JMXIGNITEINSTANCENAME}]: PME持续时间太长(超过{$GRIDGAIN.PME.DURATION.MAX.HIGH}5分钟)</t>
  </si>
  <si>
    <t>(3236/851)</t>
  </si>
  <si>
    <t>18993</t>
  </si>
  <si>
    <t>GridGain [{#JMXIGNITEINSTANCENAME}]: PME duration is too long (over {$GRIDGAIN.PME.DURATION.MAX.WARN} for 5 min)</t>
  </si>
  <si>
    <t>GridGain[{#JMXIGNITEINSTANCENAME}]: PME持续时间太长(超过{$GRIDGAIN.PME.DURATION.MAX.WARN}5分钟)</t>
  </si>
  <si>
    <t>(3236/852)</t>
  </si>
  <si>
    <t>18994</t>
  </si>
  <si>
    <t>GridGain [{#JMXIGNITEINSTANCENAME}]: Number of running threads is too high (over {$GRIDGAIN.THREADS.COUNT.MAX.WARN} for 15 min)</t>
  </si>
  <si>
    <t>GridGain[{#JMXIGNITEINSTANCENAME}]: 正在运行的线程数太高(超过{$GRIDGAIN.THREADS.COUNT.MAX.WARN}15分钟)</t>
  </si>
  <si>
    <t>(3236/853)</t>
  </si>
  <si>
    <t>19001</t>
  </si>
  <si>
    <t>GridGain [{#JMXIGNITEINSTANCENAME}]: has been restarted (uptime &lt; 10m)</t>
  </si>
  <si>
    <t>GridGain[{#JMXIGNITEINSTANCENAME}]: 已重启(正常运行时间&lt;10分钟)</t>
  </si>
  <si>
    <t>(3236/854)</t>
  </si>
  <si>
    <t>19000</t>
  </si>
  <si>
    <t>GridGain [{#JMXIGNITEINSTANCENAME}]: Failed to fetch info data (or no data for 10m)</t>
  </si>
  <si>
    <t>GridGain[{#JMXIGNITEINSTANCENAME}]: 获取信息数据失败(或10分钟无数据)</t>
  </si>
  <si>
    <t>(3236/855)</t>
  </si>
  <si>
    <t>18999</t>
  </si>
  <si>
    <t>(3236/856)</t>
  </si>
  <si>
    <t>19007</t>
  </si>
  <si>
    <t>Thread pool [{#JMXNAME}]: Too many messages in queue (over {$GRIDGAIN.THREAD.QUEUE.MAX.WARN:"{#JMXNAME}"} for 5 min)</t>
  </si>
  <si>
    <t>线程池[{#JMXNAME}]: 队列中的消息过多(超过{$GRIDGAIN.THREAD.QUEUE.MAX.WARN: "{#JMXNAME}"}5分钟)</t>
  </si>
  <si>
    <t>(3236/857)</t>
  </si>
  <si>
    <t>HAProxy by HTTP</t>
  </si>
  <si>
    <t>16665</t>
  </si>
  <si>
    <t>HAProxy backend {#PXNAME}: Number of responses with error is more than {$HAPROXY.BACK_ERESP.MAX.WARN} for 5m</t>
  </si>
  <si>
    <t>HAProxy后端{#PXNAME}: 错误响应数超过{$HAPROXY.BACK_ERESP.MAX.WARN}达5分钟</t>
  </si>
  <si>
    <t>(3236/858)</t>
  </si>
  <si>
    <t>16668</t>
  </si>
  <si>
    <t>HAProxy backend {#PXNAME}: Average response time is more than {$HAPROXY.BACK_RTIME.MAX.WARN} for 5m</t>
  </si>
  <si>
    <t>HAProxy后端{#PXNAME}: 平均响应时间超过{$HAPROXY.BACK_RTIME.MAX.WARN}达5分钟</t>
  </si>
  <si>
    <t>(3236/860)</t>
  </si>
  <si>
    <t>16667</t>
  </si>
  <si>
    <t>HAProxy backend {#PXNAME}: Average time spent in queue is more than {$HAPROXY.BACK_QTIME.MAX.WARN} for 5m</t>
  </si>
  <si>
    <t>HAProxy后端{#PXNAME}: 队列中花费的平均时间超过{$HAPROXY.BACK_QTIME.MAX.WARN}达5分钟</t>
  </si>
  <si>
    <t>(3236/861)</t>
  </si>
  <si>
    <t>16666</t>
  </si>
  <si>
    <t>HAProxy backend {#PXNAME}: Current number of requests unassigned in queue is more than {$HAPROXY.BACK_QCUR.MAX.WARN} for 5m</t>
  </si>
  <si>
    <t>HAProxy后端{#PXNAME}: 队列中当前未分配的请求数超过{$HAPROXY.BACK_QCUR.MAX.WARN}达5分钟</t>
  </si>
  <si>
    <t>(3236/862)</t>
  </si>
  <si>
    <t>16670</t>
  </si>
  <si>
    <t>HAProxy frontend {#PXNAME}: Number of requests denied is more than {$HAPROXY.FRONT_DREQ.MAX.WARN} for 5m</t>
  </si>
  <si>
    <t>HAProxy前端{#PXNAME}: 被拒绝的请求数超过{$HAPROXY.FRONT_DREQ.MAX.WARN}达5分钟</t>
  </si>
  <si>
    <t>(3236/863)</t>
  </si>
  <si>
    <t>16671</t>
  </si>
  <si>
    <t>HAProxy frontend {#PXNAME}: Number of request errors is more than {$HAPROXY.FRONT_EREQ.MAX.WARN} for 5m</t>
  </si>
  <si>
    <t>HAProxy前端{#PXNAME}: 请求错误数超过{$HAPROXY.FRONT_EREQ.MAX.WARN}达5分钟</t>
  </si>
  <si>
    <t>(3236/864)</t>
  </si>
  <si>
    <t>16672</t>
  </si>
  <si>
    <t>HAProxy frontend {#PXNAME}: Session utilization is more than {$HAPROXY.FRONT_SUTIL.MAX.WARN}% for 5m</t>
  </si>
  <si>
    <t>HAProxy前端{#PXNAME}: 会话利用率超过{$HAPROXY.FRONT_SUTIL.MAX.WARN}%达5分钟</t>
  </si>
  <si>
    <t>(3236/865)</t>
  </si>
  <si>
    <t>16673</t>
  </si>
  <si>
    <t>HAProxy {#PXNAME} {#SVNAME}: Number of responses with error is more than {$HAPROXY.SERVER_ERESP.MAX.WARN} for 5m</t>
  </si>
  <si>
    <t>HAProxy{#PXNAME}{#SVNAME}: 错误响应数超过{$HAPROXY.SERVER_ERESP.MAX.WARN}达5分钟</t>
  </si>
  <si>
    <t>(3236/866)</t>
  </si>
  <si>
    <t>16676</t>
  </si>
  <si>
    <t>HAProxy {#PXNAME} {#SVNAME}: Average response time is more than {$HAPROXY.SERVER_RTIME.MAX.WARN} for 5m</t>
  </si>
  <si>
    <t>HAProxy{#PXNAME}{#SVNAME}: 平均响应时间超过{$HAPROXY.SERVER_RTIME.MAX.WARN}达5分钟</t>
  </si>
  <si>
    <t>(3236/869)</t>
  </si>
  <si>
    <t>16675</t>
  </si>
  <si>
    <t>HAProxy {#PXNAME} {#SVNAME}: Average time spent in queue is more than {$HAPROXY.SERVER_QTIME.MAX.WARN} for 5m</t>
  </si>
  <si>
    <t>HAProxy{#PXNAME}{#SVNAME}: 队列中花费的平均时间超过{$HAPROXY.SERVER_QTIME.MAX.WARN}达5分钟</t>
  </si>
  <si>
    <t>(3236/870)</t>
  </si>
  <si>
    <t>16674</t>
  </si>
  <si>
    <t>HAProxy {#PXNAME} {#SVNAME}: Current number of requests unassigned in queue is more than {$HAPROXY.SERVER_QCUR.MAX.WARN} for 5m</t>
  </si>
  <si>
    <t>HAProxy{#PXNAME}{#SVNAME}: 队列中未分配的当前请求数超过{$HAPROXY.SERVER_QCUR.MAX.WARN}达5分钟</t>
  </si>
  <si>
    <t>(3236/871)</t>
  </si>
  <si>
    <t>HAProxy by Zabbix agent</t>
  </si>
  <si>
    <t>16648</t>
  </si>
  <si>
    <t>(3236/872)</t>
  </si>
  <si>
    <t>16651</t>
  </si>
  <si>
    <t>(3236/874)</t>
  </si>
  <si>
    <t>16650</t>
  </si>
  <si>
    <t>(3236/875)</t>
  </si>
  <si>
    <t>16649</t>
  </si>
  <si>
    <t>(3236/876)</t>
  </si>
  <si>
    <t>16653</t>
  </si>
  <si>
    <t>(3236/877)</t>
  </si>
  <si>
    <t>16654</t>
  </si>
  <si>
    <t>(3236/878)</t>
  </si>
  <si>
    <t>16655</t>
  </si>
  <si>
    <t>(3236/879)</t>
  </si>
  <si>
    <t>16656</t>
  </si>
  <si>
    <t>(3236/880)</t>
  </si>
  <si>
    <t>16659</t>
  </si>
  <si>
    <t>(3236/883)</t>
  </si>
  <si>
    <t>16658</t>
  </si>
  <si>
    <t>(3236/884)</t>
  </si>
  <si>
    <t>16657</t>
  </si>
  <si>
    <t>(3236/885)</t>
  </si>
  <si>
    <t>HOST-RESOURCES-MIB by SNMP</t>
  </si>
  <si>
    <t>21534</t>
  </si>
  <si>
    <t>(3236/886)</t>
  </si>
  <si>
    <t>21535</t>
  </si>
  <si>
    <t>(3236/887)</t>
  </si>
  <si>
    <t>21536</t>
  </si>
  <si>
    <t>(3236/888)</t>
  </si>
  <si>
    <t>HOST-RESOURCES-MIB memory by SNMP</t>
  </si>
  <si>
    <t>18035</t>
  </si>
  <si>
    <t>(3236/889)</t>
  </si>
  <si>
    <t>HOST-RESOURCES-MIB storage by SNMP</t>
  </si>
  <si>
    <t>16630</t>
  </si>
  <si>
    <t>(3236/890)</t>
  </si>
  <si>
    <t>16631</t>
  </si>
  <si>
    <t>(3236/891)</t>
  </si>
  <si>
    <t>HP Comware HH3C by SNMP</t>
  </si>
  <si>
    <t>21727</t>
  </si>
  <si>
    <t>(3236/893)</t>
  </si>
  <si>
    <t>21728</t>
  </si>
  <si>
    <t>(3236/898)</t>
  </si>
  <si>
    <t>14556</t>
  </si>
  <si>
    <t>(3236/901)</t>
  </si>
  <si>
    <t>16533</t>
  </si>
  <si>
    <t>{#MODULE_NAME}: High CPU utilization (over {$CPU.UTIL.CRIT}% for 5m)</t>
  </si>
  <si>
    <t>{#MODULE_NAME}: CPU使用率高了(超过{$CPU.UTIL.CRIT}%达5分钟)</t>
  </si>
  <si>
    <t>(3236/902)</t>
  </si>
  <si>
    <t>18121</t>
  </si>
  <si>
    <t>{#MODULE_NAME}: High memory utilization (&gt;{$MEMORY.UTIL.MAX}% for 5m)</t>
  </si>
  <si>
    <t>{#MODULE_NAME}: 内存利用率高了(&gt;{$MEMORY.UTIL.MAX}%达5分钟)</t>
  </si>
  <si>
    <t>(3236/903)</t>
  </si>
  <si>
    <t>14552</t>
  </si>
  <si>
    <t>(3236/904)</t>
  </si>
  <si>
    <t>14551</t>
  </si>
  <si>
    <t>(3236/905)</t>
  </si>
  <si>
    <t>14553</t>
  </si>
  <si>
    <t>(3236/906)</t>
  </si>
  <si>
    <t>HP Enterprise Switch by SNMP</t>
  </si>
  <si>
    <t>18122</t>
  </si>
  <si>
    <t>(3236/907)</t>
  </si>
  <si>
    <t>21738</t>
  </si>
  <si>
    <t>(3236/909)</t>
  </si>
  <si>
    <t>21739</t>
  </si>
  <si>
    <t>(3236/916)</t>
  </si>
  <si>
    <t>14915</t>
  </si>
  <si>
    <t>(3236/917)</t>
  </si>
  <si>
    <t>14914</t>
  </si>
  <si>
    <t>(3236/918)</t>
  </si>
  <si>
    <t>14916</t>
  </si>
  <si>
    <t>(3236/951)</t>
  </si>
  <si>
    <t>HP iLO by SNMP</t>
  </si>
  <si>
    <t>15795</t>
  </si>
  <si>
    <t>(3236/959)</t>
  </si>
  <si>
    <t>HPE MSA 2040 Storage by HTTP</t>
  </si>
  <si>
    <t>22695</t>
  </si>
  <si>
    <t>Controller [{#CONTROLLER.ID}]: High CPU utilization (over {$HPE.MSA.CONTROLLER.CPU.UTIL.CRIT}% for 5m)</t>
  </si>
  <si>
    <t>控制器[{#CONTROLLER.ID}]: CPU使用率高了(超过{$HPE.MSA.CONTROLLER.CPU.UTIL.CRIT}%达5分钟)</t>
  </si>
  <si>
    <t>(3236/964)</t>
  </si>
  <si>
    <t>22700</t>
  </si>
  <si>
    <t>Controller [{#CONTROLLER.ID}]: Controller has been restarted (uptime &lt; 10m)</t>
  </si>
  <si>
    <t>控制器[{#CONTROLLER.ID}]: 控制器已重启(正常运行时间&lt;10分钟)</t>
  </si>
  <si>
    <t>(3236/968)</t>
  </si>
  <si>
    <t>22707</t>
  </si>
  <si>
    <t>Disk group [{#NAME}]: Disk group space is critically low (used &gt; {$HPE.MSA.DISKS.GROUP.PUSED.MAX.CRIT:"{#NAME}"}%)</t>
  </si>
  <si>
    <t>磁盘组[{#NAME}]: 磁盘组空间严重不足(已使用率&gt;{$HPE.MSA.DISKS.GROUP.PUSED.MAX.CRIT: "{#NAME}"}%)</t>
  </si>
  <si>
    <t>(3236/969)</t>
  </si>
  <si>
    <t>22708</t>
  </si>
  <si>
    <t>Disk group [{#NAME}]: Disk group space is low (used &gt; {$HPE.MSA.DISKS.GROUP.PUSED.MAX.WARN:"{#NAME}"}%)</t>
  </si>
  <si>
    <t>磁盘组[{#NAME}]: 磁盘组空间不足(已使用率&gt;{$HPE.MSA.DISKS.GROUP.PUSED.MAX.WARN: "{#NAME}"}%)</t>
  </si>
  <si>
    <t>(3236/1005)</t>
  </si>
  <si>
    <t>22738</t>
  </si>
  <si>
    <t>Pool [{#NAME}]: Pool space is critically low (used &gt; {$HPE.MSA.POOL.PUSED.MAX.CRIT:"{#NAME}"}%)</t>
  </si>
  <si>
    <t>池[{#NAME}]: 池空间严重不足(已使用率&gt;{$HPE.MSA.POOL.PUSED.MAX.CRIT: "{#NAME}"}%)</t>
  </si>
  <si>
    <t>(3236/1006)</t>
  </si>
  <si>
    <t>22739</t>
  </si>
  <si>
    <t>Pool [{#NAME}]: Pool space is low (used &gt; {$HPE.MSA.POOL.PUSED.MAX.WARN:"{#NAME}"}%)</t>
  </si>
  <si>
    <t>池[{#NAME}]: 池空间不足(已使用率&gt;{$HPE.MSA.POOL.PUSED.MAX.WARN: "{#NAME}"}%)</t>
  </si>
  <si>
    <t>(3236/1022)</t>
  </si>
  <si>
    <t>HPE MSA 2060 Storage by HTTP</t>
  </si>
  <si>
    <t>22760</t>
  </si>
  <si>
    <t>(3236/1027)</t>
  </si>
  <si>
    <t>22765</t>
  </si>
  <si>
    <t>(3236/1031)</t>
  </si>
  <si>
    <t>22772</t>
  </si>
  <si>
    <t>(3236/1032)</t>
  </si>
  <si>
    <t>22773</t>
  </si>
  <si>
    <t>(3236/1068)</t>
  </si>
  <si>
    <t>22803</t>
  </si>
  <si>
    <t>(3236/1069)</t>
  </si>
  <si>
    <t>22804</t>
  </si>
  <si>
    <t>(3236/1135)</t>
  </si>
  <si>
    <t>HPE ProLiant BL460 by SNMP</t>
  </si>
  <si>
    <t>19481</t>
  </si>
  <si>
    <t>(3236/1175)</t>
  </si>
  <si>
    <t>HPE ProLiant BL920 by SNMP</t>
  </si>
  <si>
    <t>19527</t>
  </si>
  <si>
    <t>(3236/1215)</t>
  </si>
  <si>
    <t>HPE ProLiant DL360 by SNMP</t>
  </si>
  <si>
    <t>19573</t>
  </si>
  <si>
    <t>(3236/1255)</t>
  </si>
  <si>
    <t>HPE ProLiant DL380 by SNMP</t>
  </si>
  <si>
    <t>19619</t>
  </si>
  <si>
    <t>(3236/1375)</t>
  </si>
  <si>
    <t>HPE iLO by HTTP</t>
  </si>
  <si>
    <t>23374</t>
  </si>
  <si>
    <t>HPE iLO: Computer system [{#SYSTEM_HOSTNAME}]: BIOS version has changed (new version: {ITEM.VALUE})</t>
  </si>
  <si>
    <t>HPE iLO: 计算机系统[{#SYSTEM_HOSTNAME}]: BIOS版本已更改(新版本: {ITEM.VALUE})</t>
  </si>
  <si>
    <t>(3236/1389)</t>
  </si>
  <si>
    <t>23386</t>
  </si>
  <si>
    <t>HPE iLO: Computer system [{#SYSTEM_HOSTNAME}]: Firmware version has changed (new version: {ITEM.VALUE})</t>
  </si>
  <si>
    <t>HPE iLO: 计算机系统[{#SYSTEM_HOSTNAME}]: 固件版本已更改(新版本: {ITEM.VALUE})</t>
  </si>
  <si>
    <t>(3236/1394)</t>
  </si>
  <si>
    <t>Hadoop by HTTP</t>
  </si>
  <si>
    <t>17484</t>
  </si>
  <si>
    <t>{#HOSTNAME}: Service has been restarted (uptime &lt; 10m)</t>
  </si>
  <si>
    <t>{#HOSTNAME}: 服务已重启(正常运行时间&lt;10分钟)</t>
  </si>
  <si>
    <t>(3236/1395)</t>
  </si>
  <si>
    <t>17483</t>
  </si>
  <si>
    <t>{#HOSTNAME}: Failed to fetch DataNode API page (or no data for 30m)</t>
  </si>
  <si>
    <t>{#HOSTNAME}: 无法获取数据节点API页面(或30分钟内无数据)</t>
  </si>
  <si>
    <t>(3236/1396)</t>
  </si>
  <si>
    <t>17487</t>
  </si>
  <si>
    <t>(3236/1397)</t>
  </si>
  <si>
    <t>17486</t>
  </si>
  <si>
    <t>{#HOSTNAME}: Failed to fetch NodeManager API page (or no data for 30m)</t>
  </si>
  <si>
    <t>{#HOSTNAME}: 无法获取NodeManagerAPI页面(或30分钟内无数据)</t>
  </si>
  <si>
    <t>(3236/1398)</t>
  </si>
  <si>
    <t>HashiCorp Consul Cluster by HTTP</t>
  </si>
  <si>
    <t>22669</t>
  </si>
  <si>
    <t>Consul: Service ["{#SERVICE_NAME}"]: Too many nodes with service status 'critical' (over {$CONSUL.CLUSTER.SERVICE_NODES.CRITICAL.MAX.AVG:"{#SERVICE_NAME}"})</t>
  </si>
  <si>
    <t>Consul: 服务["{#SERVICE_NAME}"]: 服务状态为"严重告警"的节点过多(超过{$CONSUL.CLUSTER.SERVICE_NODES.CRITICAL.MAX.AVG: "{#SERVICE_NAME}"})</t>
  </si>
  <si>
    <t>(3236/1399)</t>
  </si>
  <si>
    <t>HashiCorp Consul Node by HTTP</t>
  </si>
  <si>
    <t>22664</t>
  </si>
  <si>
    <t>Consul: Node's health score is over {$CONSUL.NODE.HEALTH_SCORE.MAX.HIGH}</t>
  </si>
  <si>
    <t>Consul: 节点的健康分数超过{$CONSUL.NODE.HEALTH_SCORE.MAX.HIGH}</t>
  </si>
  <si>
    <t>(3236/1401)</t>
  </si>
  <si>
    <t>HashiCorp Nomad Client by HTTP</t>
  </si>
  <si>
    <t>23301</t>
  </si>
  <si>
    <t>Running out of free inodes on [{#DEV.NAME}]  (free &lt; {$NOMAD.INODES.FREE.MIN.CRIT:"{#DEV.NAME}"}%)</t>
  </si>
  <si>
    <t>Running out of free inodes on [{#DEV.NAME}]  (free &lt; {$NOMAD.INODES.FREE.MIN.CRIT: {#DEV.NAME}"}%)</t>
  </si>
  <si>
    <t>(3236/1402)</t>
  </si>
  <si>
    <t>23302</t>
  </si>
  <si>
    <t>Running out of free inodes on [{#DEV.NAME}]  (free &lt; {$NOMAD.INODES.FREE.MIN.WARN:"{#DEV.NAME}"}%)</t>
  </si>
  <si>
    <t>Running out of free inodes on [{#DEV.NAME}]  (free &lt; {$NOMAD.INODES.FREE.MIN.WARN: {#DEV.NAME}"}%)</t>
  </si>
  <si>
    <t>(3236/1403)</t>
  </si>
  <si>
    <t>23303</t>
  </si>
  <si>
    <t>Disk [{#DEV.NAME}] space low (utilization: &gt;= {$NOMAD.DISK.UTIL.MIN.CRIT:"{#DEV.NAME}"}%)</t>
  </si>
  <si>
    <t>Disk [{#DEV.NAME}] space low (utilization: &gt;= {$NOMAD.DISK.UTIL.MIN.CRIT: "{#DEV.NAME}"}%)</t>
  </si>
  <si>
    <t>(3236/1404)</t>
  </si>
  <si>
    <t>23304</t>
  </si>
  <si>
    <t>Disk [{#DEV.NAME}] space low (utilization: &gt;= {$NOMAD.DISK.UTIL.MIN.WARN:"{#DEV.NAME}"}%)</t>
  </si>
  <si>
    <t>Disk [{#DEV.NAME}] space low (utilization: &gt;= {$NOMAD.DISK.UTIL.MIN.WARN: "{#DEV.NAME}"}%)</t>
  </si>
  <si>
    <t>(3236/1408)</t>
  </si>
  <si>
    <t>HashiCorp Vault by HTTP</t>
  </si>
  <si>
    <t>17511</t>
  </si>
  <si>
    <t>Vault: Token [{#TOKEN_NAME}] will expire soon (less than {$VAULT.TOKEN.TTL.MIN.CRIT})</t>
  </si>
  <si>
    <t>Vault: Token[{#TOKEN_NAME}]即将过期(小于{$VAULT.TOKEN.TTL.MIN.CRIT})</t>
  </si>
  <si>
    <t>(3236/1409)</t>
  </si>
  <si>
    <t>17512</t>
  </si>
  <si>
    <t>Vault: Token [{#TOKEN_NAME}] will expire soon (less than {$VAULT.TOKEN.TTL.MIN.WARN})</t>
  </si>
  <si>
    <t>Vault: Token[{#TOKEN_NAME}]即将过期(小于{$VAULT.TOKEN.TTL.MIN.WARN})</t>
  </si>
  <si>
    <t>(3236/1417)</t>
  </si>
  <si>
    <t>Huawei OceanStor 5300 V5 by SNMP</t>
  </si>
  <si>
    <t>18186</t>
  </si>
  <si>
    <t>Controller {#ID}: High CPU utilization (over {$CPU.UTIL.CRIT}% for 5m)</t>
  </si>
  <si>
    <t>控制器{#ID}: CPU使用率高了(超过{$CPU.UTIL.CRIT}%达5分钟)</t>
  </si>
  <si>
    <t>(3236/1419)</t>
  </si>
  <si>
    <t>18188</t>
  </si>
  <si>
    <t>Controller {#ID}: Memory usage is too high (over {$HUAWEI.5300.MEM.MAX.WARN} for {$HUAWEI.5300.MEM.MAX.TIME})</t>
  </si>
  <si>
    <t>控制器{#ID}: 内存使用率太高了(超过{$HUAWEI.5300.MEM.MAX.WARN}达{$HUAWEI.5300.MEM.MAX.TIME})</t>
  </si>
  <si>
    <t>(3236/1424)</t>
  </si>
  <si>
    <t>18193</t>
  </si>
  <si>
    <t>Disk {#MODEL} on {#LOCATION}: Temperature is too high (over {$HUAWEI.5300.DISK.TEMP.MAX.WARN:"{#MODEL}"} for {$HUAWEI.5300.DISK.TEMP.MAX.TIME})</t>
  </si>
  <si>
    <t>{#LOCATION}上的磁盘{#MODEL}: 温度太高(超过{$HUAWEI.5300.DISK.TEMP.MAX.WARN: "{#MODEL}"}达{$HUAWEI.5300.DISK.TEMP.MAX.TIME})</t>
  </si>
  <si>
    <t>(3236/1427)</t>
  </si>
  <si>
    <t>18196</t>
  </si>
  <si>
    <t>Enclosure {#NAME}: Temperature is too high (over {$HUAWEI.5300.TEMP.MAX.WARN} for {$HUAWEI.5300.TEMP.MAX.TIME})</t>
  </si>
  <si>
    <t>机柜{#NAME}: 温度太高(超过{$HUAWEI.5300.TEMP.MAX.WARN}达{$HUAWEI.5300.TEMP.MAX.TIME})</t>
  </si>
  <si>
    <t>(3236/1430)</t>
  </si>
  <si>
    <t>18199</t>
  </si>
  <si>
    <t>LUN {#NAME}: Average I/O response time is too high (over {$HUAWEI.5300.LUN.IO.TIME.MAX.WARN}ms for {$HUAWEI.5300.LUN.IO.TIME.MAX.TIME})</t>
  </si>
  <si>
    <t>LUN{#NAME}: 平均I/O响应时间太长(超过{$HUAWEI.5300.LUN.IO.TIME.MAX.WARN}毫秒{$HUAWEI.5300.LUN.IO.TIME.MAX.TIME})</t>
  </si>
  <si>
    <t>(3236/1432)</t>
  </si>
  <si>
    <t>18202</t>
  </si>
  <si>
    <t>Node {#NODE}: Average I/O latency is too high (over {$HUAWEI.5300.NODE.IO.DELAY.MAX.WARN}ms for {$HUAWEI.5300.NODE.IO.DELAY.MAX.TIME})</t>
  </si>
  <si>
    <t>节点{#NODE}: 平均I/O延迟太高(超过{$HUAWEI.5300.NODE.IO.DELAY.MAX.WARN}毫秒,持续{$HUAWEI.5300.NODE.IO.DELAY.MAX.TIME})</t>
  </si>
  <si>
    <t>(3236/1433)</t>
  </si>
  <si>
    <t>18201</t>
  </si>
  <si>
    <t>Node {#NODE}: High CPU utilization (over {$CPU.UTIL.CRIT}% for 5m)</t>
  </si>
  <si>
    <t>节点{#NODE}: CPU使用率高了(超过{$CPU.UTIL.CRIT}%达5分钟)</t>
  </si>
  <si>
    <t>(3236/1434)</t>
  </si>
  <si>
    <t>18203</t>
  </si>
  <si>
    <t>Pool {#NAME}: Used capacity is too high (over {#THRESHOLD}%)</t>
  </si>
  <si>
    <t>池{#NAME}: 已用容量太高(超过{#THRESHOLD}%)</t>
  </si>
  <si>
    <t>(3236/1439)</t>
  </si>
  <si>
    <t>Huawei OceanStor V6 by SNMP</t>
  </si>
  <si>
    <t>23637</t>
  </si>
  <si>
    <t>Huawei OceanStor V6: Controller [{#ID}]: High CPU utilization (over {$CPU.UTIL.CRIT}% for 5m)</t>
  </si>
  <si>
    <t>华为 OceanStor V6: 控制器[{#ID}]: CPU 利用率过高（5 分钟内超过{$CPU.UTIL.CRIT}%）</t>
  </si>
  <si>
    <t>(3236/1441)</t>
  </si>
  <si>
    <t>23639</t>
  </si>
  <si>
    <t>Huawei OceanStor V6: Controller [{#ID}]: Memory usage is too high (over {$HUAWEI.OCEANSTOR_V6.MEM.MAX.WARN} for {$HUAWEI.OCEANSTOR_V6.MEM.MAX.TIME})</t>
  </si>
  <si>
    <t>华为 OceanStor V6: 控制器[{#ID}]: 内存使用率过高（超过{$HUAWEI.OCEANSTOR_V6.MEM.MAX.WARN}持续{$HUAWEI.OCEANSTOR_V6.MEM.MAX.TIME}时间）</t>
  </si>
  <si>
    <t>(3236/1446)</t>
  </si>
  <si>
    <t>23644</t>
  </si>
  <si>
    <t>Huawei OceanStor V6: Disk [{#MODEL}] on [{#LOCATION}]: Temperature is too high (over {$HUAWEI.OCEANSTOR_V6.DISK.TEMP.MAX.WARN:"{#MODEL}"} for {$HUAWEI.OCEANSTOR_V6.DISK.TEMP.MAX.TIME})</t>
  </si>
  <si>
    <t>华为 OceanStor V6: 位于[{#LOCATION}]的磁盘[{#MODEL}]: 温度过高（超过{$HUAWEI.OCEANSTOR_V6.DISK.TEMP.MAX.WARN: "{#MODEL}"}持续{$HUAWEI.OCEANSTOR_V6.DISK.TEMP.MAX.TIME}时间）</t>
  </si>
  <si>
    <t>(3236/1449)</t>
  </si>
  <si>
    <t>23647</t>
  </si>
  <si>
    <t>Huawei OceanStor V6: Enclosure [{#NAME}]: Temperature is too high (over {$HUAWEI.OCEANSTOR_V6.TEMP.MAX.WARN} for {$HUAWEI.OCEANSTOR_V6.TEMP.MAX.TIME})</t>
  </si>
  <si>
    <t>华为 OceanStor V6: 机框[{#NAME}]: 温度过高（超过{$HUAWEI.OCEANSTOR_V6.TEMP.MAX.WARN}持续{$HUAWEI.OCEANSTOR_V6.TEMP.MAX.TIME}时间）</t>
  </si>
  <si>
    <t>(3236/1452)</t>
  </si>
  <si>
    <t>23650</t>
  </si>
  <si>
    <t>Huawei OceanStor V6: LUN [{#NAME}]: Average I/O response time is too high (over {$HUAWEI.OCEANSTOR_V6.LUN.IO.TIME.MAX.WARN}μs for {$HUAWEI.OCEANSTOR_V6.LUN.IO.TIME.MAX.TIME})</t>
  </si>
  <si>
    <t>华为 OceanStor V6: 逻辑单元号（LUN）[{#NAME}]: 平均 I/O 响应时间过高（超过{$HUAWEI.OCEANSTOR_V6.LUN.IO.TIME.MAX.WARN}微秒持续{$HUAWEI.OCEANSTOR_V6.LUN.IO.TIME.MAX.TIME}时间）</t>
  </si>
  <si>
    <t>(3236/1454)</t>
  </si>
  <si>
    <t>23652</t>
  </si>
  <si>
    <t>Huawei OceanStor V6: Node [{#NODE}]: High CPU utilization (over {$CPU.UTIL.CRIT}% for 5m)</t>
  </si>
  <si>
    <t>华为 OceanStor V6: 节点[{#NODE}]: CPU 利用率过高（5 分钟内超过{$CPU.UTIL.CRIT}%）</t>
  </si>
  <si>
    <t>(3236/1458)</t>
  </si>
  <si>
    <t>Huawei VRP by SNMP</t>
  </si>
  <si>
    <t>21749</t>
  </si>
  <si>
    <t>(3236/1460)</t>
  </si>
  <si>
    <t>21750</t>
  </si>
  <si>
    <t>(3236/1463)</t>
  </si>
  <si>
    <t>16537</t>
  </si>
  <si>
    <t>{#ENT_NAME}: High CPU utilization (over {$CPU.UTIL.CRIT}% for 5m)</t>
  </si>
  <si>
    <t>{#ENT_NAME}: CPU使用率高了(超过{$CPU.UTIL.CRIT}%达5分钟)</t>
  </si>
  <si>
    <t>(3236/1464)</t>
  </si>
  <si>
    <t>14592</t>
  </si>
  <si>
    <t>(3236/1465)</t>
  </si>
  <si>
    <t>18123</t>
  </si>
  <si>
    <t>{#ENT_NAME}: High memory utilization (&gt;{$MEMORY.UTIL.MAX}% for 5m)</t>
  </si>
  <si>
    <t>{#ENT_NAME}: 内存利用率高了(&gt;{$MEMORY.UTIL.MAX}%达5分钟)</t>
  </si>
  <si>
    <t>(3236/1467)</t>
  </si>
  <si>
    <t>14590</t>
  </si>
  <si>
    <t>{#ENT_NAME}: Temperature is above critical threshold: &gt;{$TEMP_CRIT:"{#ENT_NAME}"}</t>
  </si>
  <si>
    <t>{#ENT_NAME}: 温度高于临界阈值: &gt;{$TEMP_CRIT: "{#ENT_NAME}"}</t>
  </si>
  <si>
    <t>(3236/1468)</t>
  </si>
  <si>
    <t>14589</t>
  </si>
  <si>
    <t>{#ENT_NAME}: Temperature is above warning threshold: &gt;{$TEMP_WARN:"{#ENT_NAME}"}</t>
  </si>
  <si>
    <t>{#ENT_NAME}: 温度高于告警阈值: &gt;{$TEMP_WARN: "{#ENT_NAME}"}</t>
  </si>
  <si>
    <t>(3236/1469)</t>
  </si>
  <si>
    <t>14591</t>
  </si>
  <si>
    <t>{#ENT_NAME}: Temperature is too low: &lt;{$TEMP_CRIT_LOW:"{#ENT_NAME}"}</t>
  </si>
  <si>
    <t>{#ENT_NAME}: 温度太低: &lt;{$TEMP_CRIT_LOW: "{#ENT_NAME}"}</t>
  </si>
  <si>
    <t>(3236/1470)</t>
  </si>
  <si>
    <t>IBM IMM by SNMP</t>
  </si>
  <si>
    <t>15831</t>
  </si>
  <si>
    <t>Ambient: Temperature is above warning threshold: &gt;{$TEMP_WARN:"Ambient"}</t>
  </si>
  <si>
    <t>Ambient: 温度高于告警阈值: &gt;{$TEMP_WARN: "Ambient"}</t>
  </si>
  <si>
    <t>(3236/1471)</t>
  </si>
  <si>
    <t>15832</t>
  </si>
  <si>
    <t>Ambient: Temperature is above critical threshold: &gt;{$TEMP_CRIT:"Ambient"}</t>
  </si>
  <si>
    <t>Ambient: 温度高于临界阈值: &gt;{$TEMP_CRIT: "Ambient"}</t>
  </si>
  <si>
    <t>(3236/1472)</t>
  </si>
  <si>
    <t>15833</t>
  </si>
  <si>
    <t>Ambient: Temperature is too low: &lt;{$TEMP_CRIT_LOW:"Ambient"}</t>
  </si>
  <si>
    <t>Ambient: 温度太低: &lt;{$TEMP_CRIT_LOW: "Ambient"}</t>
  </si>
  <si>
    <t>(3236/1473)</t>
  </si>
  <si>
    <t>15834</t>
  </si>
  <si>
    <t>CPU: Temperature is above warning threshold: &gt;{$TEMP_WARN:"CPU"}</t>
  </si>
  <si>
    <t>CPU: 温度高于告警阈值: &gt;{$TEMP_WARN: "CPU"}</t>
  </si>
  <si>
    <t>(3236/1474)</t>
  </si>
  <si>
    <t>15835</t>
  </si>
  <si>
    <t>CPU: Temperature is above critical threshold: &gt;{$TEMP_CRIT:"CPU"}</t>
  </si>
  <si>
    <t>CPU: 温度高于临界阈值: &gt;{$TEMP_CRIT: "CPU"}</t>
  </si>
  <si>
    <t>(3236/1475)</t>
  </si>
  <si>
    <t>15836</t>
  </si>
  <si>
    <t>CPU: Temperature is too low: &lt;{$TEMP_CRIT_LOW:"CPU"}</t>
  </si>
  <si>
    <t>CPU: 温度太低: &lt;{$TEMP_CRIT_LOW: "CPU"}</t>
  </si>
  <si>
    <t>(3236/1479)</t>
  </si>
  <si>
    <t>15829</t>
  </si>
  <si>
    <t>(3236/1480)</t>
  </si>
  <si>
    <t>15828</t>
  </si>
  <si>
    <t>(3236/1481)</t>
  </si>
  <si>
    <t>15830</t>
  </si>
  <si>
    <t>(3236/1482)</t>
  </si>
  <si>
    <t>IIS by Zabbix agent</t>
  </si>
  <si>
    <t>16909</t>
  </si>
  <si>
    <t>IIS: Request queue of {#APPPOOL} is too large (over {$IIS.QUEUE.MAX.WARN})</t>
  </si>
  <si>
    <t>IIS: {#APPPOOL}的请求队列太大(超过{$IIS.QUEUE.MAX.WARN})</t>
  </si>
  <si>
    <t>(3236/1485)</t>
  </si>
  <si>
    <t>16907</t>
  </si>
  <si>
    <t>IIS: {#APPPOOL} has been restarted (uptime &lt; 10m)</t>
  </si>
  <si>
    <t>IIS: {#APPPOOL}已重新启动(正常运行时间&lt;10分钟)</t>
  </si>
  <si>
    <t>(3236/1486)</t>
  </si>
  <si>
    <t>IIS by Zabbix agent active</t>
  </si>
  <si>
    <t>16917</t>
  </si>
  <si>
    <t>(3236/1489)</t>
  </si>
  <si>
    <t>16915</t>
  </si>
  <si>
    <t>(3236/1494)</t>
  </si>
  <si>
    <t>Ignite by JMX</t>
  </si>
  <si>
    <t>17995</t>
  </si>
  <si>
    <t>(3236/1497)</t>
  </si>
  <si>
    <t>17977</t>
  </si>
  <si>
    <t>Data region {#JMXNAME}: Checkpoint buffer utilization is too high (over {$IGNITE.CHECKPOINT.PUSED.MAX.HIGH} in 5m)</t>
  </si>
  <si>
    <t>数据区域{#JMXNAME}: 检查点缓冲区利用率太高(5分钟内超过{$IGNITE.CHECKPOINT.PUSED.MAX.HIGH})</t>
  </si>
  <si>
    <t>(3236/1498)</t>
  </si>
  <si>
    <t>17978</t>
  </si>
  <si>
    <t>Data region {#JMXNAME}: Checkpoint buffer utilization is too high (over {$IGNITE.CHECKPOINT.PUSED.MAX.WARN} in 5m)</t>
  </si>
  <si>
    <t>数据区域{#JMXNAME}: 检查点缓冲区利用率太高(5分钟内超过{$IGNITE.CHECKPOINT.PUSED.MAX.WARN})</t>
  </si>
  <si>
    <t>(3236/1500)</t>
  </si>
  <si>
    <t>17979</t>
  </si>
  <si>
    <t>Data region {#JMXNAME}: Data region utilization is too high (over {$IGNITE.DATA.REGION.PUSED.MAX.HIGH} in 5m)</t>
  </si>
  <si>
    <t>数据区域{#JMXNAME}: 数据区域利用率太高(5分钟内超过{$IGNITE.DATA.REGION.PUSED.MAX.HIGH})</t>
  </si>
  <si>
    <t>(3236/1501)</t>
  </si>
  <si>
    <t>17980</t>
  </si>
  <si>
    <t>Data region {#JMXNAME}: Data region utilization is too high (over {$IGNITE.DATA.REGION.PUSED.MAX.WARN} in 5m)</t>
  </si>
  <si>
    <t>数据区域{#JMXNAME}: 数据区域利用率太高(5分钟内超过{$IGNITE.DATA.REGION.PUSED.MAX.WARN})</t>
  </si>
  <si>
    <t>(3236/1503)</t>
  </si>
  <si>
    <t>17993</t>
  </si>
  <si>
    <t>Ignite [{#JMXIGNITEINSTANCENAME}]: Version has changed (new version: {ITEM.VALUE})</t>
  </si>
  <si>
    <t>Ignite[{#JMXIGNITEINSTANCENAME}]: 版本已变更(新版本: {ITEM.VALUE})</t>
  </si>
  <si>
    <t>(3236/1504)</t>
  </si>
  <si>
    <t>17986</t>
  </si>
  <si>
    <t>Ignite [{#JMXIGNITEINSTANCENAME}]: Number of queued jobs is too high (over {$IGNITE.JOBS.QUEUE.MAX.WARN} for 15 min)</t>
  </si>
  <si>
    <t>Ignite[{#JMXIGNITEINSTANCENAME}]: 排队任务的数量太高(超过{$IGNITE.JOBS.QUEUE.MAX.WARN}15分钟)</t>
  </si>
  <si>
    <t>(3236/1508)</t>
  </si>
  <si>
    <t>17983</t>
  </si>
  <si>
    <t>Ignite [{#JMXIGNITEINSTANCENAME}]: PME duration is too long (over {$IGNITE.PME.DURATION.MAX.HIGH} for 5 min)</t>
  </si>
  <si>
    <t>Ignite[{#JMXIGNITEINSTANCENAME}]: PME持续时间太长(超过{$IGNITE.PME.DURATION.MAX.HIGH}5分钟)</t>
  </si>
  <si>
    <t>(3236/1509)</t>
  </si>
  <si>
    <t>17984</t>
  </si>
  <si>
    <t>Ignite [{#JMXIGNITEINSTANCENAME}]: PME duration is too long (over {$IGNITE.PME.DURATION.MAX.WARN} for 5 min)</t>
  </si>
  <si>
    <t>Ignite[{#JMXIGNITEINSTANCENAME}]: PME持续时间太长(超过{$IGNITE.PME.DURATION.MAX.WARN}5分钟)</t>
  </si>
  <si>
    <t>(3236/1510)</t>
  </si>
  <si>
    <t>17985</t>
  </si>
  <si>
    <t>Ignite [{#JMXIGNITEINSTANCENAME}]: Number of running threads is too high (over {$IGNITE.THREADS.COUNT.MAX.WARN} for 15 min)</t>
  </si>
  <si>
    <t>Ignite[{#JMXIGNITEINSTANCENAME}]: 正在运行的线程数太高(超过{$IGNITE.THREADS.COUNT.MAX.WARN}15分钟)</t>
  </si>
  <si>
    <t>(3236/1511)</t>
  </si>
  <si>
    <t>17992</t>
  </si>
  <si>
    <t>Ignite [{#JMXIGNITEINSTANCENAME}]: has been restarted (uptime &lt; 10m)</t>
  </si>
  <si>
    <t>Ignite[{#JMXIGNITEINSTANCENAME}]: 已重新启动(正常运行时间&lt;10分钟)</t>
  </si>
  <si>
    <t>(3236/1512)</t>
  </si>
  <si>
    <t>17991</t>
  </si>
  <si>
    <t>Ignite [{#JMXIGNITEINSTANCENAME}]: Failed to fetch info data (or no data for 10m)</t>
  </si>
  <si>
    <t>Ignite[{#JMXIGNITEINSTANCENAME}]: 无法获取信息数据(或10分钟无数据)</t>
  </si>
  <si>
    <t>(3236/1513)</t>
  </si>
  <si>
    <t>17990</t>
  </si>
  <si>
    <t>(3236/1514)</t>
  </si>
  <si>
    <t>17998</t>
  </si>
  <si>
    <t>Thread pool [{#JMXNAME}]: Too many messages in queue (over {$IGNITE.THREAD.QUEUE.MAX.WARN:"{#JMXNAME}"} for 5 min)</t>
  </si>
  <si>
    <t>线程池[{#JMXNAME}]: 队列中消息过多(超过{$IGNITE.THREAD.QUEUE.MAX.WARN: "{#JMXNAME}"}达5分钟)</t>
  </si>
  <si>
    <t>(3236/1515)</t>
  </si>
  <si>
    <t>InfluxDB by HTTP</t>
  </si>
  <si>
    <t>19659</t>
  </si>
  <si>
    <t>InfluxDB: [{#ORG_NAME}]: Too many requests failures (over {$INFLUXDB.REQ.FAIL.MAX.WARN} for 5m)</t>
  </si>
  <si>
    <t>InfluxDB: [{#ORG_NAME}]: 请求失败太多(超过{$INFLUXDB.REQ.FAIL.MAX.WARN}达5分钟)</t>
  </si>
  <si>
    <t>(3236/1516)</t>
  </si>
  <si>
    <t>Intel_Qlogic Infiniband by SNMP</t>
  </si>
  <si>
    <t>21760</t>
  </si>
  <si>
    <t>(3236/1517)</t>
  </si>
  <si>
    <t>21761</t>
  </si>
  <si>
    <t>(3236/1520)</t>
  </si>
  <si>
    <t>14607</t>
  </si>
  <si>
    <t>(3236/1521)</t>
  </si>
  <si>
    <t>17332</t>
  </si>
  <si>
    <t>(3236/1522)</t>
  </si>
  <si>
    <t>17333</t>
  </si>
  <si>
    <t>(3236/1523)</t>
  </si>
  <si>
    <t>14606</t>
  </si>
  <si>
    <t>(3236/1527)</t>
  </si>
  <si>
    <t>Interfaces Simple by SNMP</t>
  </si>
  <si>
    <t>18243</t>
  </si>
  <si>
    <t>(3236/1528)</t>
  </si>
  <si>
    <t>18242</t>
  </si>
  <si>
    <t>(3236/1531)</t>
  </si>
  <si>
    <t>Interfaces Windows by SNMP</t>
  </si>
  <si>
    <t>18295</t>
  </si>
  <si>
    <t>(3236/1532)</t>
  </si>
  <si>
    <t>18294</t>
  </si>
  <si>
    <t>(3236/1535)</t>
  </si>
  <si>
    <t>Interfaces by SNMP</t>
  </si>
  <si>
    <t>18251</t>
  </si>
  <si>
    <t>(3236/1536)</t>
  </si>
  <si>
    <t>18250</t>
  </si>
  <si>
    <t>(3236/1542)</t>
  </si>
  <si>
    <t>Jira Data Center by JMX</t>
  </si>
  <si>
    <t>23588</t>
  </si>
  <si>
    <t>Indexing [{#JMXNAME}]: Slow performance (latency &gt; {$JIRA_DC.INDEXING.LATENCY.WARN:"{#JMXNAME}"}s)</t>
  </si>
  <si>
    <t>Indexing [{#JMXNAME}]: 性能缓慢(延迟 &gt; {$JIRA_DC.INDEXING.LATENCY.WARN: "{#JMXNAME}"}秒)</t>
  </si>
  <si>
    <t>(3236/1543)</t>
  </si>
  <si>
    <t>23589</t>
  </si>
  <si>
    <t>Issue [{#JMXNAME}]: Slow operations (longer then {$JIRA_DC.ISSUE.LATENCY.WARN:"{#JMXNAME}"}s)</t>
  </si>
  <si>
    <t>Issue [{#JMXNAME}]: 操作缓慢(时间超过 {$JIRA_DC.ISSUE.LATENCY.WARN: "{#JMXNAME}"}秒)</t>
  </si>
  <si>
    <t>(3236/1544)</t>
  </si>
  <si>
    <t>23591</t>
  </si>
  <si>
    <t>License [{#LICENSE.TYPE}]: Low user capacity (created &gt; {$JIRA_DC.LICENSE.USER.CAPACITY.WARN:"{#LICENSE.TYPE}"}%)</t>
  </si>
  <si>
    <t>License [{#LICENSE.TYPE}]: 用户容量不足(已创建 &gt; {$JIRA_DC.LICENSE.USER.CAPACITY.WARN: "{#LICENSE.TYPE}"}%)</t>
  </si>
  <si>
    <t>(3236/1547)</t>
  </si>
  <si>
    <t>23587</t>
  </si>
  <si>
    <t>Storage [{#JMXCATEGORY01}]: Slow performance (latency &gt; {$JIRA_DC.STORAGE.LATENCY.WARN:"{#JMXCATEGORY01}"}s)</t>
  </si>
  <si>
    <t>Storage [{#JMXCATEGORY01}]: 性能缓慢(延迟 &gt; {$JIRA_DC.STORAGE.LATENCY.WARN: "{#JMXCATEGORY01}"}秒)</t>
  </si>
  <si>
    <t>(3236/1548)</t>
  </si>
  <si>
    <t>Juniper by SNMP</t>
  </si>
  <si>
    <t>21770</t>
  </si>
  <si>
    <t>(3236/1550)</t>
  </si>
  <si>
    <t>21771</t>
  </si>
  <si>
    <t>(3236/1553)</t>
  </si>
  <si>
    <t>14625</t>
  </si>
  <si>
    <t>(3236/1554)</t>
  </si>
  <si>
    <t>14624</t>
  </si>
  <si>
    <t>(3236/1555)</t>
  </si>
  <si>
    <t>14626</t>
  </si>
  <si>
    <t>(3236/1556)</t>
  </si>
  <si>
    <t>16541</t>
  </si>
  <si>
    <t>(3236/1558)</t>
  </si>
  <si>
    <t>18124</t>
  </si>
  <si>
    <t>(3236/1560)</t>
  </si>
  <si>
    <t>Kubernetes API server by HTTP</t>
  </si>
  <si>
    <t>22584</t>
  </si>
  <si>
    <t>Kubernetes API: Kubernetes client certificate expires in {$KUBE.API.CERT.EXPIRATION} days</t>
  </si>
  <si>
    <t>Kubernetes API: K8S客户端证书在{$KUBE.API.CERT.EXPIRATION}天后过期</t>
  </si>
  <si>
    <t>(3236/1575)</t>
  </si>
  <si>
    <t>Kubernetes nodes by HTTP</t>
  </si>
  <si>
    <t>23140</t>
  </si>
  <si>
    <t>Node [{#NAME}] Limits: Total CPU limits are too high (more than 90% of allocatable)</t>
  </si>
  <si>
    <t>Node [{#NAME}] Limits: 总CPU限制太高(超过可分配的90%)</t>
  </si>
  <si>
    <t>(3236/1576)</t>
  </si>
  <si>
    <t>23141</t>
  </si>
  <si>
    <t>Node [{#NAME}] Limits: Total CPU limits are too high (more than 100% of allocatable)</t>
  </si>
  <si>
    <t>Node [{#NAME}] Limits: 总CPU限制太高(超过可分配的100%)</t>
  </si>
  <si>
    <t>(3236/1577)</t>
  </si>
  <si>
    <t>23144</t>
  </si>
  <si>
    <t>Node [{#NAME}] Requests: Total CPU requests are too high (more than 50% of allocatable)</t>
  </si>
  <si>
    <t>Node [{#NAME}] Requests: 总CPU请求太高(超过可分配的50%)</t>
  </si>
  <si>
    <t>(3236/1578)</t>
  </si>
  <si>
    <t>23145</t>
  </si>
  <si>
    <t>Node [{#NAME}] Requests: Total CPU requests are too high (more than 80% of allocatable)</t>
  </si>
  <si>
    <t>Node [{#NAME}] Requests: 总CPU请求太高(超过可分配的80%)</t>
  </si>
  <si>
    <t>(3236/1579)</t>
  </si>
  <si>
    <t>23142</t>
  </si>
  <si>
    <t>Node [{#NAME}] Limits: Total memory limits are too high (more than 90% of allocatable)</t>
  </si>
  <si>
    <t>Node [{#NAME}] Limits: 总内存限制太高(超过90%的可分配内存)</t>
  </si>
  <si>
    <t>(3236/1580)</t>
  </si>
  <si>
    <t>23143</t>
  </si>
  <si>
    <t>Node [{#NAME}] Limits: Total memory limits are too high (more than 100% of allocatable)</t>
  </si>
  <si>
    <t>Node [{#NAME}] Limits: 总内存限制太高(超过可分配的100%)</t>
  </si>
  <si>
    <t>(3236/1581)</t>
  </si>
  <si>
    <t>23146</t>
  </si>
  <si>
    <t>Node [{#NAME}] Requests: Total memory requests are too high (more than 50% of allocatable)</t>
  </si>
  <si>
    <t>Node [{#NAME}] Requests: 总内存请求太高(超过可分配的50%)</t>
  </si>
  <si>
    <t>(3236/1582)</t>
  </si>
  <si>
    <t>23147</t>
  </si>
  <si>
    <t>Node [{#NAME}] Requests: Total memory requests are too high (more than 80% of allocatable)</t>
  </si>
  <si>
    <t>Node [{#NAME}] Requests: 总内存请求太高(超过80%的可分配内存)</t>
  </si>
  <si>
    <t>(3236/1583)</t>
  </si>
  <si>
    <t>23148</t>
  </si>
  <si>
    <t>Node [{#NAME}] Used: Kubelet too many pods (more than 95% of capacity)</t>
  </si>
  <si>
    <t>Node [{#NAME}] Used: Kubelet太多pod(超过95%的容量)</t>
  </si>
  <si>
    <t>(3236/1584)</t>
  </si>
  <si>
    <t>23149</t>
  </si>
  <si>
    <t>Node [{#NAME}] Conditions: Pressure exists on the disk size (state: {ITEM.VALUE})</t>
  </si>
  <si>
    <t>Node [{#NAME}] Conditions: 磁盘大小存在压力(状态: {ITEM.VALUE})</t>
  </si>
  <si>
    <t>(3236/1585)</t>
  </si>
  <si>
    <t>23150</t>
  </si>
  <si>
    <t>Node [{#NAME}] Conditions: Pressure exists on the node memory (state: {ITEM.VALUE})</t>
  </si>
  <si>
    <t>Node [{#NAME}] Conditions: 节点内存存在压力(状态: {ITEM.VALUE})</t>
  </si>
  <si>
    <t>(3236/1586)</t>
  </si>
  <si>
    <t>23151</t>
  </si>
  <si>
    <t>Node [{#NAME}] Conditions: Network is not correctly configured (state: {ITEM.VALUE})</t>
  </si>
  <si>
    <t>Node [{#NAME}] Conditions: 网络配置不正确(状态: {ITEM.VALUE})</t>
  </si>
  <si>
    <t>(3236/1587)</t>
  </si>
  <si>
    <t>23152</t>
  </si>
  <si>
    <t>Node [{#NAME}] Conditions: Pressure exists on the processes (state: {ITEM.VALUE})</t>
  </si>
  <si>
    <t>Node [{#NAME}] Conditions: 进程存在压力(状态: {ITEM.VALUE})</t>
  </si>
  <si>
    <t>(3236/1588)</t>
  </si>
  <si>
    <t>23153</t>
  </si>
  <si>
    <t>Node [{#NAME}] Conditions: Is not in Ready state (state: {ITEM.VALUE})</t>
  </si>
  <si>
    <t>Node [{#NAME}] Conditions: 未处于就绪状态(状态: {ITEM.VALUE})</t>
  </si>
  <si>
    <t>(3236/1589)</t>
  </si>
  <si>
    <t>23154</t>
  </si>
  <si>
    <t>Node [{#NAME}]: Has been restarted (uptime &lt; 10m)</t>
  </si>
  <si>
    <t>节点[{#NAME}]: 已重启(正常运行时间&lt;10分钟)</t>
  </si>
  <si>
    <t>(3236/1592)</t>
  </si>
  <si>
    <t>Linux CPU by SNMP</t>
  </si>
  <si>
    <t>16007</t>
  </si>
  <si>
    <t>Linux: High CPU utilization (over {$CPU.UTIL.CRIT}% for 5m)</t>
  </si>
  <si>
    <t>Linux: 高CPU利用率(超过{$CPU.UTIL.CRIT}%达5分钟)</t>
  </si>
  <si>
    <t>(3236/1593)</t>
  </si>
  <si>
    <t>Linux block devices by Zabbix agent</t>
  </si>
  <si>
    <t>17023</t>
  </si>
  <si>
    <t>{#DEVNAME}: Disk read/write request responses are too high (read &gt; {$VFS.DEV.READ.AWAIT.WARN:"{#DEVNAME}"} ms for 15m or write &gt; {$VFS.DEV.WRITE.AWAIT.WARN:"{#DEVNAME}"} ms for 15m)</t>
  </si>
  <si>
    <t>{#DEVNAME}: 磁盘读/写请求响应太高(读取&gt;{$VFS.DEV.READ.AWAIT.WARN: "{#DEVNAME}"}毫秒15分钟或写入&gt;{$VFS.DEV.WRITE.AWAIT.WARN: "{#DEVNAME}"}毫秒达15分钟)</t>
  </si>
  <si>
    <t>(3236/1594)</t>
  </si>
  <si>
    <t>Linux block devices by Zabbix agent active</t>
  </si>
  <si>
    <t>17266</t>
  </si>
  <si>
    <t>(3236/1595)</t>
  </si>
  <si>
    <t>Linux by Prom</t>
  </si>
  <si>
    <t>18463</t>
  </si>
  <si>
    <t>(3236/1596)</t>
  </si>
  <si>
    <t>18464</t>
  </si>
  <si>
    <t>(3236/1600)</t>
  </si>
  <si>
    <t>16710</t>
  </si>
  <si>
    <t>(3236/1601)</t>
  </si>
  <si>
    <t>16157</t>
  </si>
  <si>
    <t>{#FSNAME}: Running out of free inodes (free &lt; {$VFS.FS.INODE.PFREE.MIN.CRIT:"{#FSNAME}"}%)</t>
  </si>
  <si>
    <t>{#FSNAME}: 可用inode耗尽(可用&lt;{$VFS.FS.INODE.PFREE.MIN.CRIT: "{#FSNAME}"}%)</t>
  </si>
  <si>
    <t>(3236/1602)</t>
  </si>
  <si>
    <t>16158</t>
  </si>
  <si>
    <t>{#FSNAME}: Running out of free inodes (free &lt; {$VFS.FS.INODE.PFREE.MIN.WARN:"{#FSNAME}"}%)</t>
  </si>
  <si>
    <t>{#FSNAME}: 可用inode耗尽(可用&lt;{$VFS.FS.INODE.PFREE.MIN.WARN: "{#FSNAME}"}%)</t>
  </si>
  <si>
    <t>(3236/1603)</t>
  </si>
  <si>
    <t>16155</t>
  </si>
  <si>
    <t>(3236/1604)</t>
  </si>
  <si>
    <t>16156</t>
  </si>
  <si>
    <t>(3236/1605)</t>
  </si>
  <si>
    <t>Linux by SNMP</t>
  </si>
  <si>
    <t>22446</t>
  </si>
  <si>
    <t>(3236/1607)</t>
  </si>
  <si>
    <t>22447</t>
  </si>
  <si>
    <t>(3236/1610)</t>
  </si>
  <si>
    <t>22444</t>
  </si>
  <si>
    <t>(3236/1611)</t>
  </si>
  <si>
    <t>22452</t>
  </si>
  <si>
    <t>(3236/1612)</t>
  </si>
  <si>
    <t>22453</t>
  </si>
  <si>
    <t>(3236/1613)</t>
  </si>
  <si>
    <t>22450</t>
  </si>
  <si>
    <t>(3236/1614)</t>
  </si>
  <si>
    <t>22451</t>
  </si>
  <si>
    <t>(3236/1615)</t>
  </si>
  <si>
    <t>Linux by Zabbix agent</t>
  </si>
  <si>
    <t>22558</t>
  </si>
  <si>
    <t>Interface {#IFNAME}: High bandwidth usage (&gt;{$IF.UTIL.MAX:"{#IFNAME}"}%)</t>
  </si>
  <si>
    <t>接口{#IFNAME}: 带宽使用率高了(&gt;{$IF.UTIL.MAX: "{#IFNAME}"}%)</t>
  </si>
  <si>
    <t>(3236/1616)</t>
  </si>
  <si>
    <t>22397</t>
  </si>
  <si>
    <t>Interface {#IFNAME}: High error rate (&gt;{$IF.ERRORS.WARN:"{#IFNAME}"} for 5m)</t>
  </si>
  <si>
    <t>接口{#IFNAME}: 错误率高了(&gt;{$IF.ERRORS.WARN: "{#IFNAME}"}达5分钟)</t>
  </si>
  <si>
    <t>(3236/1619)</t>
  </si>
  <si>
    <t>22399</t>
  </si>
  <si>
    <t>(3236/1620)</t>
  </si>
  <si>
    <t>22402</t>
  </si>
  <si>
    <t>(3236/1621)</t>
  </si>
  <si>
    <t>22403</t>
  </si>
  <si>
    <t>(3236/1622)</t>
  </si>
  <si>
    <t>22400</t>
  </si>
  <si>
    <t>(3236/1623)</t>
  </si>
  <si>
    <t>22401</t>
  </si>
  <si>
    <t>(3236/1624)</t>
  </si>
  <si>
    <t>Linux by Zabbix agent active</t>
  </si>
  <si>
    <t>22561</t>
  </si>
  <si>
    <t>(3236/1625)</t>
  </si>
  <si>
    <t>22427</t>
  </si>
  <si>
    <t>(3236/1628)</t>
  </si>
  <si>
    <t>22429</t>
  </si>
  <si>
    <t>(3236/1629)</t>
  </si>
  <si>
    <t>22432</t>
  </si>
  <si>
    <t>(3236/1630)</t>
  </si>
  <si>
    <t>22433</t>
  </si>
  <si>
    <t>(3236/1631)</t>
  </si>
  <si>
    <t>22430</t>
  </si>
  <si>
    <t>(3236/1632)</t>
  </si>
  <si>
    <t>22431</t>
  </si>
  <si>
    <t>(3236/1633)</t>
  </si>
  <si>
    <t>Linux filesystems by SNMP</t>
  </si>
  <si>
    <t>16010</t>
  </si>
  <si>
    <t>(3236/1634)</t>
  </si>
  <si>
    <t>16011</t>
  </si>
  <si>
    <t>(3236/1635)</t>
  </si>
  <si>
    <t>16008</t>
  </si>
  <si>
    <t>(3236/1636)</t>
  </si>
  <si>
    <t>16009</t>
  </si>
  <si>
    <t>(3236/1637)</t>
  </si>
  <si>
    <t>Linux filesystems by Zabbix agent</t>
  </si>
  <si>
    <t>16071</t>
  </si>
  <si>
    <t>(3236/1638)</t>
  </si>
  <si>
    <t>16072</t>
  </si>
  <si>
    <t>(3236/1639)</t>
  </si>
  <si>
    <t>16069</t>
  </si>
  <si>
    <t>(3236/1640)</t>
  </si>
  <si>
    <t>16070</t>
  </si>
  <si>
    <t>(3236/1641)</t>
  </si>
  <si>
    <t>Linux filesystems by Zabbix agent active</t>
  </si>
  <si>
    <t>17269</t>
  </si>
  <si>
    <t>(3236/1642)</t>
  </si>
  <si>
    <t>17270</t>
  </si>
  <si>
    <t>(3236/1643)</t>
  </si>
  <si>
    <t>17267</t>
  </si>
  <si>
    <t>(3236/1644)</t>
  </si>
  <si>
    <t>17268</t>
  </si>
  <si>
    <t>(3236/1645)</t>
  </si>
  <si>
    <t>Linux network interfaces by Zabbix agent</t>
  </si>
  <si>
    <t>18455</t>
  </si>
  <si>
    <t>(3236/1646)</t>
  </si>
  <si>
    <t>22559</t>
  </si>
  <si>
    <t>(3236/1649)</t>
  </si>
  <si>
    <t>Linux network interfaces by Zabbix agent active</t>
  </si>
  <si>
    <t>18460</t>
  </si>
  <si>
    <t>(3236/1650)</t>
  </si>
  <si>
    <t>22562</t>
  </si>
  <si>
    <t>(3236/1669)</t>
  </si>
  <si>
    <t>MSSQL by ODBC</t>
  </si>
  <si>
    <t>18536</t>
  </si>
  <si>
    <t>MSSQL DB '{#DBNAME}': Diff backup older than {$MSSQL.BACKUP_DIFF.CRIT:"{#DBNAME}"}</t>
  </si>
  <si>
    <t>MSSQL DB '{#DBNAME}': 差异备份早于{$MSSQL.BACKUP_DIFF.CRIT: "{#DBNAME}"}</t>
  </si>
  <si>
    <t>(3236/1670)</t>
  </si>
  <si>
    <t>18537</t>
  </si>
  <si>
    <t>MSSQL DB '{#DBNAME}': Diff backup older than {$MSSQL.BACKUP_DIFF.WARN:"{#DBNAME}"}</t>
  </si>
  <si>
    <t>MSSQL DB '{#DBNAME}': 差异备份早于{$MSSQL.BACKUP_DIFF.WARN: "{#DBNAME}"}</t>
  </si>
  <si>
    <t>(3236/1671)</t>
  </si>
  <si>
    <t>18538</t>
  </si>
  <si>
    <t>MSSQL DB '{#DBNAME}': Full backup older than {$MSSQL.BACKUP_FULL.CRIT:"{#DBNAME}"}</t>
  </si>
  <si>
    <t>MSSQL DB '{#DBNAME}': 完整备份早于{$MSSQL.BACKUP_FULL.CRIT: "{#DBNAME}"}</t>
  </si>
  <si>
    <t>(3236/1672)</t>
  </si>
  <si>
    <t>18539</t>
  </si>
  <si>
    <t>MSSQL DB '{#DBNAME}': Full backup older than {$MSSQL.BACKUP_FULL.WARN:"{#DBNAME}"}</t>
  </si>
  <si>
    <t>MSSQL DB '{#DBNAME}': 完整备份早于{$MSSQL.BACKUP_FULL.WARN: "{#DBNAME}"}</t>
  </si>
  <si>
    <t>(3236/1673)</t>
  </si>
  <si>
    <t>18540</t>
  </si>
  <si>
    <t>MSSQL DB '{#DBNAME}': Log backup older than {$MSSQL.BACKUP_LOG.CRIT:"{#DBNAME}"}</t>
  </si>
  <si>
    <t>MSSQL DB '{#DBNAME}': 日志备份早于{$MSSQL.BACKUP_LOG.CRIT: "{#DBNAME}"}</t>
  </si>
  <si>
    <t>(3236/1674)</t>
  </si>
  <si>
    <t>18541</t>
  </si>
  <si>
    <t>MSSQL DB '{#DBNAME}': Log backup older than {$MSSQL.BACKUP_LOG.WARN:"{#DBNAME}"}</t>
  </si>
  <si>
    <t>MSSQL DB '{#DBNAME}': 日志备份早于{$MSSQL.BACKUP_LOG.WARN: "{#DBNAME}"}</t>
  </si>
  <si>
    <t>(3236/1675)</t>
  </si>
  <si>
    <t>16950</t>
  </si>
  <si>
    <t>MSSQL DB '{#DBNAME}': Total wait time to flush the log is high (over {$MSSQL.LOG_FLUSH_WAIT_TIME.MAX:"{#DBNAME}"}ms for 5m)</t>
  </si>
  <si>
    <t>MSSQL DB '{#DBNAME}': 刷新日志的总等待时间很长(超过{$MSSQL.LOG_FLUSH_WAIT_TIME.MAX: "{#DBNAME}"}毫秒达5分钟)</t>
  </si>
  <si>
    <t>(3236/1676)</t>
  </si>
  <si>
    <t>16951</t>
  </si>
  <si>
    <t>MSSQL DB '{#DBNAME}': Number of commits waiting for the log flush is high (over {$MSSQL.LOG_FLUSH_WAITS.MAX:"{#DBNAME}"}/sec for 5m)</t>
  </si>
  <si>
    <t>MSSQL DB '{#DBNAME}': 等待日志刷新的提交数很高(超过{$MSSQL.LOG_FLUSH_WAITS.MAX: "{#DBNAME}"}/秒达5分钟)</t>
  </si>
  <si>
    <t>(3236/1677)</t>
  </si>
  <si>
    <t>16954</t>
  </si>
  <si>
    <t>MSSQL DB '{#DBNAME}': Percent of log usage is high (over {$MSSQL.PERCENT_LOG_USED.MAX:"{#DBNAME}"}% for 5m)</t>
  </si>
  <si>
    <t>MSSQL DB '{#DBNAME}': 日志使用率过高(超过 {$MSSQL.PERCENT_LOG_USED.MAX: "{#DBNAME}"}%,达5分钟)</t>
  </si>
  <si>
    <t>(3236/1679)</t>
  </si>
  <si>
    <t>18543</t>
  </si>
  <si>
    <t>MSSQL Job '{#JOBNAME}': Job duration is greater than {$MSSQL.BACKUP_DURATION.WARN:"{#JOBNAME}"}</t>
  </si>
  <si>
    <t>MSSQL任务"{#JOBNAME}": 任务持续时间大于{$MSSQL.BACKUP_DURATION.WARN: "{#JOBNAME}"}</t>
  </si>
  <si>
    <t>(3236/1701)</t>
  </si>
  <si>
    <t>MSSQL by Zabbix agent 2</t>
  </si>
  <si>
    <t>23471</t>
  </si>
  <si>
    <t>(3236/1702)</t>
  </si>
  <si>
    <t>23472</t>
  </si>
  <si>
    <t>(3236/1703)</t>
  </si>
  <si>
    <t>23473</t>
  </si>
  <si>
    <t>(3236/1704)</t>
  </si>
  <si>
    <t>23474</t>
  </si>
  <si>
    <t>(3236/1705)</t>
  </si>
  <si>
    <t>23469</t>
  </si>
  <si>
    <t>(3236/1706)</t>
  </si>
  <si>
    <t>23470</t>
  </si>
  <si>
    <t>(3236/1707)</t>
  </si>
  <si>
    <t>23476</t>
  </si>
  <si>
    <t>(3236/1708)</t>
  </si>
  <si>
    <t>23475</t>
  </si>
  <si>
    <t>(3236/1709)</t>
  </si>
  <si>
    <t>23477</t>
  </si>
  <si>
    <t>(3236/1711)</t>
  </si>
  <si>
    <t>23480</t>
  </si>
  <si>
    <t>(3236/1717)</t>
  </si>
  <si>
    <t>Mellanox by SNMP</t>
  </si>
  <si>
    <t>18442</t>
  </si>
  <si>
    <t>(3236/1718)</t>
  </si>
  <si>
    <t>18443</t>
  </si>
  <si>
    <t>(3236/1721)</t>
  </si>
  <si>
    <t>14937</t>
  </si>
  <si>
    <t>(3236/1723)</t>
  </si>
  <si>
    <t>18449</t>
  </si>
  <si>
    <t>(3236/1724)</t>
  </si>
  <si>
    <t>18450</t>
  </si>
  <si>
    <t>(3236/1725)</t>
  </si>
  <si>
    <t>18451</t>
  </si>
  <si>
    <t>(3236/1727)</t>
  </si>
  <si>
    <t>18446</t>
  </si>
  <si>
    <t>{#SENSOR_INFO}: Temperature is above warning threshold: &gt;{$TEMP.MAX.WARN:"{#SENSOR_INFO}"}</t>
  </si>
  <si>
    <t>{#SENSOR_INFO}: 温度高于告警阈值: &gt;{$TEMP.MAX.WARN: "{#SENSOR_INFO}"}</t>
  </si>
  <si>
    <t>(3236/1728)</t>
  </si>
  <si>
    <t>18447</t>
  </si>
  <si>
    <t>{#SENSOR_INFO}: Temperature is above critical threshold: &gt;{$TEMP.MAX.CRIT:"{#SENSOR_INFO}"}</t>
  </si>
  <si>
    <t>{#SENSOR_INFO}: 温度高于临界阈值: &gt;{$TEMP.MAX.CRIT: "{#SENSOR_INFO}"}</t>
  </si>
  <si>
    <t>(3236/1729)</t>
  </si>
  <si>
    <t>18448</t>
  </si>
  <si>
    <t>{#SENSOR_INFO}: Temperature is too low: &lt;{$TEMP.MIN.CRIT:"{#SENSOR_INFO}"}</t>
  </si>
  <si>
    <t>{#SENSOR_INFO}: 温度太低: &lt;{$TEMP.MIN.CRIT: "{#SENSOR_INFO}"}</t>
  </si>
  <si>
    <t>(3236/1732)</t>
  </si>
  <si>
    <t>Microsoft Exchange Server 2016 by Zabbix agent</t>
  </si>
  <si>
    <t>17438</t>
  </si>
  <si>
    <t>Database Counters [{#INSTANCE}]: Average read time latency is too high (&gt;{$MS.EXCHANGE.DB.ACTIVE.READ.WARN}s for {$MS.EXCHANGE.DB.ACTIVE.READ.TIME})</t>
  </si>
  <si>
    <t>数据库计数器[{#INSTANCE}]: 平均读取时间延迟太高(&gt;{$MS.EXCHANGE.DB.ACTIVE.READ.TIME}达{$MS.EXCHANGE.DB.ACTIVE.READ.WARN}秒)</t>
  </si>
  <si>
    <t>(3236/1735)</t>
  </si>
  <si>
    <t>17439</t>
  </si>
  <si>
    <t>Database Counters [{#INSTANCE}]: Average read time latency is too high (&gt;{$MS.EXCHANGE.DB.PASSIVE.READ.WARN}s for {$MS.EXCHANGE.DB.PASSIVE.READ.TIME})</t>
  </si>
  <si>
    <t>数据库计数器[{#INSTANCE}]: 平均读取时间延迟太高(&gt;{$MS.EXCHANGE.DB.PASSIVE.READ.TIME}达{$MS.EXCHANGE.DB.PASSIVE.READ.WARN}秒)</t>
  </si>
  <si>
    <t>(3236/1736)</t>
  </si>
  <si>
    <t>17443</t>
  </si>
  <si>
    <t>Domain Controller [{#INSTANCE}]: LDAP read time is too high (&gt;{$MS.EXCHANGE.LDAP.WARN}s for {$MS.EXCHANGE.LDAP.TIME})</t>
  </si>
  <si>
    <t>域控制器[{#INSTANCE}]: LDAP读取时间太长(&gt;{$MS.EXCHANGE.LDAP.WARN}秒达{$MS.EXCHANGE.LDAP.TIME})</t>
  </si>
  <si>
    <t>(3236/1737)</t>
  </si>
  <si>
    <t>17444</t>
  </si>
  <si>
    <t>Domain Controller [{#INSTANCE}]: LDAP search time is too high (&gt;{$MS.EXCHANGE.LDAP.WARN}s for {$MS.EXCHANGE.LDAP.TIME})</t>
  </si>
  <si>
    <t>域控制器[{#INSTANCE}]: LDAP搜索时间太长(&gt;{$MS.EXCHANGE.LDAP.WARN}秒达{$MS.EXCHANGE.LDAP.TIME})</t>
  </si>
  <si>
    <t>(3236/1738)</t>
  </si>
  <si>
    <t>17437</t>
  </si>
  <si>
    <t>Information Store [{#INSTANCE}]: Log records stalls is too high (&gt;{$MS.EXCHANGE.LOG.STALLS.WARN} for {$MS.EXCHANGE.LOG.STALLS.TIME})</t>
  </si>
  <si>
    <t>信息存储[{#INSTANCE}]: 日志记录停顿太高(&gt;{$MS.EXCHANGE.LOG.STALLS.WARN}达{$MS.EXCHANGE.LOG.STALLS.TIME})</t>
  </si>
  <si>
    <t>(3236/1739)</t>
  </si>
  <si>
    <t>17436</t>
  </si>
  <si>
    <t>Information Store [{#INSTANCE}]: Page faults is too high (&gt;{$MS.EXCHANGE.DB.FAULTS.WARN} for {$MS.EXCHANGE.DB.FAULTS.TIME})</t>
  </si>
  <si>
    <t>信息存储[{#INSTANCE}]: 页面错误太高(&gt;{$MS.EXCHANGE.DB.FAULTS.WARN}达{$MS.EXCHANGE.DB.FAULTS.TIME})</t>
  </si>
  <si>
    <t>(3236/1740)</t>
  </si>
  <si>
    <t>17441</t>
  </si>
  <si>
    <t>Information Store [{#INSTANCE}]: RPC Requests latency is too high (&gt;{$MS.EXCHANGE.RPC.WARN}s for {$MS.EXCHANGE.RPC.TIME})</t>
  </si>
  <si>
    <t>信息存储[{#INSTANCE}]: RPC请求延迟太高(&gt;{$MS.EXCHANGE.RPC.WARN}秒达{$MS.EXCHANGE.RPC.TIME})</t>
  </si>
  <si>
    <t>(3236/1741)</t>
  </si>
  <si>
    <t>17442</t>
  </si>
  <si>
    <t>Information Store [{#INSTANCE}]: RPC Requests total count is too high (&gt;{$MS.EXCHANGE.RPC.COUNT.WARN} for {$MS.EXCHANGE.RPC.COUNT.TIME})</t>
  </si>
  <si>
    <t>信息存储[{#INSTANCE}]: RPC请求总数太高(&gt;{$MS.EXCHANGE.RPC.COUNT.TIME}达{$MS.EXCHANGE.RPC.COUNT.WARN})</t>
  </si>
  <si>
    <t>(3236/1742)</t>
  </si>
  <si>
    <t>Microsoft Exchange Server 2016 by Zabbix agent active</t>
  </si>
  <si>
    <t>17448</t>
  </si>
  <si>
    <t>(3236/1745)</t>
  </si>
  <si>
    <t>17449</t>
  </si>
  <si>
    <t>(3236/1746)</t>
  </si>
  <si>
    <t>17453</t>
  </si>
  <si>
    <t>(3236/1747)</t>
  </si>
  <si>
    <t>17454</t>
  </si>
  <si>
    <t>(3236/1748)</t>
  </si>
  <si>
    <t>17447</t>
  </si>
  <si>
    <t>(3236/1749)</t>
  </si>
  <si>
    <t>17446</t>
  </si>
  <si>
    <t>(3236/1750)</t>
  </si>
  <si>
    <t>17451</t>
  </si>
  <si>
    <t>(3236/1751)</t>
  </si>
  <si>
    <t>17452</t>
  </si>
  <si>
    <t>(3236/1753)</t>
  </si>
  <si>
    <t>MikroTik CCR1009-7G-1C-1S by SNMP</t>
  </si>
  <si>
    <t>19711</t>
  </si>
  <si>
    <t>(3236/1754)</t>
  </si>
  <si>
    <t>19712</t>
  </si>
  <si>
    <t>(3236/1755)</t>
  </si>
  <si>
    <t>19713</t>
  </si>
  <si>
    <t>(3236/1756)</t>
  </si>
  <si>
    <t>19714</t>
  </si>
  <si>
    <t>(3236/1757)</t>
  </si>
  <si>
    <t>19715</t>
  </si>
  <si>
    <t>Device: Temperature is above critical threshold: &gt;{$TEMP_CRIT:"Device"}</t>
  </si>
  <si>
    <t>Device: 温度高于临界阈值: &gt;{$TEMP_CRIT: "Device"}</t>
  </si>
  <si>
    <t>(3236/1758)</t>
  </si>
  <si>
    <t>19716</t>
  </si>
  <si>
    <t>Device: Temperature is above warning threshold: &gt;{$TEMP_WARN:"Device"}</t>
  </si>
  <si>
    <t>Device: 温度高于告警阈值: &gt;{$TEMP_WARN: "Device"}</t>
  </si>
  <si>
    <t>(3236/1759)</t>
  </si>
  <si>
    <t>19717</t>
  </si>
  <si>
    <t>Device: Temperature is too low: &lt;{$TEMP_CRIT_LOW:"Device"}</t>
  </si>
  <si>
    <t>Device: 温度太低: &lt;{$TEMP_CRIT_LOW: "Device"}</t>
  </si>
  <si>
    <t>(3236/1760)</t>
  </si>
  <si>
    <t>19723</t>
  </si>
  <si>
    <t>Disk-{#SNMPINDEX}: Disk space is critically low (used &gt; {$VFS.FS.PUSED.MAX.CRIT:"Disk-{#SNMPINDEX}"}%)</t>
  </si>
  <si>
    <t>Disk-{#SNMPINDEX}: 磁盘空间严重不足(已使用率&gt;{$VFS.FS.PUSED.MAX.CRIT: "Disk-{#SNMPINDEX}"}%)</t>
  </si>
  <si>
    <t>(3236/1761)</t>
  </si>
  <si>
    <t>19724</t>
  </si>
  <si>
    <t>Disk-{#SNMPINDEX}: Disk space is low (used &gt; {$VFS.FS.PUSED.MAX.WARN:"Disk-{#SNMPINDEX}"}%)</t>
  </si>
  <si>
    <t>Disk-{#SNMPINDEX}: 磁盘空间不足(已使用率&gt;{$VFS.FS.PUSED.MAX.WARN: "Disk-{#SNMPINDEX}"}%)</t>
  </si>
  <si>
    <t>(3236/1763)</t>
  </si>
  <si>
    <t>21791</t>
  </si>
  <si>
    <t>(3236/1764)</t>
  </si>
  <si>
    <t>21792</t>
  </si>
  <si>
    <t>(3236/1766)</t>
  </si>
  <si>
    <t>19718</t>
  </si>
  <si>
    <t>Interface {#IFNAME}({#IFALIAS}): LTE modem RSRP is low (below {$LTEMODEM.RSRP.MIN.WARN}dbm for 5m)</t>
  </si>
  <si>
    <t>接口{#IFNAME}({#IFALIAS}): LTE调制解调器RSRP低(低于{$LTEMODEM.RSRP.MIN.WARN}dbm5分钟)</t>
  </si>
  <si>
    <t>(3236/1767)</t>
  </si>
  <si>
    <t>19719</t>
  </si>
  <si>
    <t>Interface {#IFNAME}({#IFALIAS}): LTE modem RSRQ is low (below {$LTEMODEM.RSRQ.MIN.WARN}db for 5m)</t>
  </si>
  <si>
    <t>接口{#IFNAME}({#IFALIAS}): LTE调制解调器RSRQ低(低于{$LTEMODEM.RSRQ.MIN.WARN}db5分钟)</t>
  </si>
  <si>
    <t>(3236/1768)</t>
  </si>
  <si>
    <t>19720</t>
  </si>
  <si>
    <t>Interface {#IFNAME}({#IFALIAS}): LTE modem RSSI is low (below {$LTEMODEM.RSSI.MIN.WARN}dbm for 5m)</t>
  </si>
  <si>
    <t>(3236/1769)</t>
  </si>
  <si>
    <t>19721</t>
  </si>
  <si>
    <t>Interface {#IFNAME}({#IFALIAS}): LTE modem SINR is low (below {$LTEMODEM.SINR.MIN.WARN}db for 5m)</t>
  </si>
  <si>
    <t>(3236/1771)</t>
  </si>
  <si>
    <t>MikroTik CCR1009-7G-1C-1SPC by SNMP</t>
  </si>
  <si>
    <t>19683</t>
  </si>
  <si>
    <t>(3236/1772)</t>
  </si>
  <si>
    <t>19684</t>
  </si>
  <si>
    <t>(3236/1773)</t>
  </si>
  <si>
    <t>19685</t>
  </si>
  <si>
    <t>(3236/1774)</t>
  </si>
  <si>
    <t>19686</t>
  </si>
  <si>
    <t>(3236/1775)</t>
  </si>
  <si>
    <t>19687</t>
  </si>
  <si>
    <t>(3236/1776)</t>
  </si>
  <si>
    <t>19688</t>
  </si>
  <si>
    <t>(3236/1777)</t>
  </si>
  <si>
    <t>19689</t>
  </si>
  <si>
    <t>(3236/1778)</t>
  </si>
  <si>
    <t>19695</t>
  </si>
  <si>
    <t>(3236/1779)</t>
  </si>
  <si>
    <t>19696</t>
  </si>
  <si>
    <t>(3236/1781)</t>
  </si>
  <si>
    <t>21781</t>
  </si>
  <si>
    <t>(3236/1782)</t>
  </si>
  <si>
    <t>21782</t>
  </si>
  <si>
    <t>(3236/1784)</t>
  </si>
  <si>
    <t>19690</t>
  </si>
  <si>
    <t>(3236/1785)</t>
  </si>
  <si>
    <t>19691</t>
  </si>
  <si>
    <t>(3236/1786)</t>
  </si>
  <si>
    <t>19692</t>
  </si>
  <si>
    <t>(3236/1787)</t>
  </si>
  <si>
    <t>19693</t>
  </si>
  <si>
    <t>(3236/1789)</t>
  </si>
  <si>
    <t>MikroTik CCR1009-7G-1C-PC by SNMP</t>
  </si>
  <si>
    <t>19739</t>
  </si>
  <si>
    <t>(3236/1790)</t>
  </si>
  <si>
    <t>19740</t>
  </si>
  <si>
    <t>(3236/1791)</t>
  </si>
  <si>
    <t>19741</t>
  </si>
  <si>
    <t>(3236/1792)</t>
  </si>
  <si>
    <t>19742</t>
  </si>
  <si>
    <t>(3236/1793)</t>
  </si>
  <si>
    <t>19743</t>
  </si>
  <si>
    <t>(3236/1794)</t>
  </si>
  <si>
    <t>19744</t>
  </si>
  <si>
    <t>(3236/1795)</t>
  </si>
  <si>
    <t>19745</t>
  </si>
  <si>
    <t>(3236/1796)</t>
  </si>
  <si>
    <t>19751</t>
  </si>
  <si>
    <t>(3236/1797)</t>
  </si>
  <si>
    <t>19752</t>
  </si>
  <si>
    <t>(3236/1799)</t>
  </si>
  <si>
    <t>21801</t>
  </si>
  <si>
    <t>(3236/1800)</t>
  </si>
  <si>
    <t>21802</t>
  </si>
  <si>
    <t>(3236/1802)</t>
  </si>
  <si>
    <t>19746</t>
  </si>
  <si>
    <t>(3236/1803)</t>
  </si>
  <si>
    <t>19747</t>
  </si>
  <si>
    <t>(3236/1804)</t>
  </si>
  <si>
    <t>19748</t>
  </si>
  <si>
    <t>(3236/1805)</t>
  </si>
  <si>
    <t>19749</t>
  </si>
  <si>
    <t>(3236/1807)</t>
  </si>
  <si>
    <t>MikroTik CCR1016-12G by SNMP</t>
  </si>
  <si>
    <t>19767</t>
  </si>
  <si>
    <t>(3236/1808)</t>
  </si>
  <si>
    <t>19768</t>
  </si>
  <si>
    <t>(3236/1809)</t>
  </si>
  <si>
    <t>19769</t>
  </si>
  <si>
    <t>(3236/1810)</t>
  </si>
  <si>
    <t>19770</t>
  </si>
  <si>
    <t>(3236/1811)</t>
  </si>
  <si>
    <t>19771</t>
  </si>
  <si>
    <t>(3236/1812)</t>
  </si>
  <si>
    <t>19772</t>
  </si>
  <si>
    <t>(3236/1813)</t>
  </si>
  <si>
    <t>19773</t>
  </si>
  <si>
    <t>(3236/1814)</t>
  </si>
  <si>
    <t>19779</t>
  </si>
  <si>
    <t>(3236/1815)</t>
  </si>
  <si>
    <t>19780</t>
  </si>
  <si>
    <t>(3236/1817)</t>
  </si>
  <si>
    <t>21811</t>
  </si>
  <si>
    <t>(3236/1818)</t>
  </si>
  <si>
    <t>21812</t>
  </si>
  <si>
    <t>(3236/1820)</t>
  </si>
  <si>
    <t>19774</t>
  </si>
  <si>
    <t>(3236/1821)</t>
  </si>
  <si>
    <t>19775</t>
  </si>
  <si>
    <t>(3236/1822)</t>
  </si>
  <si>
    <t>19776</t>
  </si>
  <si>
    <t>(3236/1823)</t>
  </si>
  <si>
    <t>19777</t>
  </si>
  <si>
    <t>(3236/1825)</t>
  </si>
  <si>
    <t>MikroTik CCR1016-12S-1S by SNMP</t>
  </si>
  <si>
    <t>19795</t>
  </si>
  <si>
    <t>(3236/1826)</t>
  </si>
  <si>
    <t>19796</t>
  </si>
  <si>
    <t>(3236/1827)</t>
  </si>
  <si>
    <t>19797</t>
  </si>
  <si>
    <t>(3236/1828)</t>
  </si>
  <si>
    <t>19798</t>
  </si>
  <si>
    <t>(3236/1829)</t>
  </si>
  <si>
    <t>19799</t>
  </si>
  <si>
    <t>(3236/1830)</t>
  </si>
  <si>
    <t>19800</t>
  </si>
  <si>
    <t>(3236/1831)</t>
  </si>
  <si>
    <t>19801</t>
  </si>
  <si>
    <t>(3236/1832)</t>
  </si>
  <si>
    <t>19807</t>
  </si>
  <si>
    <t>(3236/1833)</t>
  </si>
  <si>
    <t>19808</t>
  </si>
  <si>
    <t>(3236/1835)</t>
  </si>
  <si>
    <t>21821</t>
  </si>
  <si>
    <t>(3236/1836)</t>
  </si>
  <si>
    <t>21822</t>
  </si>
  <si>
    <t>(3236/1838)</t>
  </si>
  <si>
    <t>19802</t>
  </si>
  <si>
    <t>(3236/1839)</t>
  </si>
  <si>
    <t>19803</t>
  </si>
  <si>
    <t>(3236/1840)</t>
  </si>
  <si>
    <t>19804</t>
  </si>
  <si>
    <t>(3236/1841)</t>
  </si>
  <si>
    <t>19805</t>
  </si>
  <si>
    <t>(3236/1843)</t>
  </si>
  <si>
    <t>MikroTik CCR1036-12G-4S by SNMP</t>
  </si>
  <si>
    <t>19851</t>
  </si>
  <si>
    <t>(3236/1844)</t>
  </si>
  <si>
    <t>19852</t>
  </si>
  <si>
    <t>(3236/1845)</t>
  </si>
  <si>
    <t>19853</t>
  </si>
  <si>
    <t>(3236/1846)</t>
  </si>
  <si>
    <t>19854</t>
  </si>
  <si>
    <t>(3236/1847)</t>
  </si>
  <si>
    <t>19855</t>
  </si>
  <si>
    <t>(3236/1848)</t>
  </si>
  <si>
    <t>19856</t>
  </si>
  <si>
    <t>(3236/1849)</t>
  </si>
  <si>
    <t>19857</t>
  </si>
  <si>
    <t>(3236/1850)</t>
  </si>
  <si>
    <t>19863</t>
  </si>
  <si>
    <t>(3236/1851)</t>
  </si>
  <si>
    <t>19864</t>
  </si>
  <si>
    <t>(3236/1853)</t>
  </si>
  <si>
    <t>21841</t>
  </si>
  <si>
    <t>(3236/1854)</t>
  </si>
  <si>
    <t>21842</t>
  </si>
  <si>
    <t>(3236/1856)</t>
  </si>
  <si>
    <t>19858</t>
  </si>
  <si>
    <t>(3236/1857)</t>
  </si>
  <si>
    <t>19859</t>
  </si>
  <si>
    <t>(3236/1858)</t>
  </si>
  <si>
    <t>19860</t>
  </si>
  <si>
    <t>(3236/1859)</t>
  </si>
  <si>
    <t>19861</t>
  </si>
  <si>
    <t>(3236/1861)</t>
  </si>
  <si>
    <t>MikroTik CCR1036-12G-4S-EM by SNMP</t>
  </si>
  <si>
    <t>19823</t>
  </si>
  <si>
    <t>(3236/1862)</t>
  </si>
  <si>
    <t>19824</t>
  </si>
  <si>
    <t>(3236/1863)</t>
  </si>
  <si>
    <t>19825</t>
  </si>
  <si>
    <t>(3236/1864)</t>
  </si>
  <si>
    <t>19826</t>
  </si>
  <si>
    <t>(3236/1865)</t>
  </si>
  <si>
    <t>19827</t>
  </si>
  <si>
    <t>(3236/1866)</t>
  </si>
  <si>
    <t>19828</t>
  </si>
  <si>
    <t>(3236/1867)</t>
  </si>
  <si>
    <t>19829</t>
  </si>
  <si>
    <t>(3236/1868)</t>
  </si>
  <si>
    <t>19835</t>
  </si>
  <si>
    <t>(3236/1869)</t>
  </si>
  <si>
    <t>19836</t>
  </si>
  <si>
    <t>(3236/1871)</t>
  </si>
  <si>
    <t>21831</t>
  </si>
  <si>
    <t>(3236/1872)</t>
  </si>
  <si>
    <t>21832</t>
  </si>
  <si>
    <t>(3236/1874)</t>
  </si>
  <si>
    <t>19830</t>
  </si>
  <si>
    <t>(3236/1875)</t>
  </si>
  <si>
    <t>19831</t>
  </si>
  <si>
    <t>(3236/1876)</t>
  </si>
  <si>
    <t>19832</t>
  </si>
  <si>
    <t>(3236/1877)</t>
  </si>
  <si>
    <t>19833</t>
  </si>
  <si>
    <t>(3236/1879)</t>
  </si>
  <si>
    <t>MikroTik CCR1036-8G-2S by SNMP</t>
  </si>
  <si>
    <t>19907</t>
  </si>
  <si>
    <t>(3236/1880)</t>
  </si>
  <si>
    <t>19908</t>
  </si>
  <si>
    <t>(3236/1881)</t>
  </si>
  <si>
    <t>19909</t>
  </si>
  <si>
    <t>(3236/1882)</t>
  </si>
  <si>
    <t>19910</t>
  </si>
  <si>
    <t>(3236/1883)</t>
  </si>
  <si>
    <t>19911</t>
  </si>
  <si>
    <t>(3236/1884)</t>
  </si>
  <si>
    <t>19912</t>
  </si>
  <si>
    <t>(3236/1885)</t>
  </si>
  <si>
    <t>19913</t>
  </si>
  <si>
    <t>(3236/1886)</t>
  </si>
  <si>
    <t>19919</t>
  </si>
  <si>
    <t>(3236/1887)</t>
  </si>
  <si>
    <t>19920</t>
  </si>
  <si>
    <t>(3236/1889)</t>
  </si>
  <si>
    <t>21861</t>
  </si>
  <si>
    <t>(3236/1890)</t>
  </si>
  <si>
    <t>21862</t>
  </si>
  <si>
    <t>(3236/1892)</t>
  </si>
  <si>
    <t>19914</t>
  </si>
  <si>
    <t>(3236/1893)</t>
  </si>
  <si>
    <t>19915</t>
  </si>
  <si>
    <t>(3236/1894)</t>
  </si>
  <si>
    <t>19916</t>
  </si>
  <si>
    <t>(3236/1895)</t>
  </si>
  <si>
    <t>19917</t>
  </si>
  <si>
    <t>(3236/1897)</t>
  </si>
  <si>
    <t>MikroTik CCR1036-8G-2SEM by SNMP</t>
  </si>
  <si>
    <t>19879</t>
  </si>
  <si>
    <t>(3236/1898)</t>
  </si>
  <si>
    <t>19880</t>
  </si>
  <si>
    <t>(3236/1899)</t>
  </si>
  <si>
    <t>19881</t>
  </si>
  <si>
    <t>(3236/1900)</t>
  </si>
  <si>
    <t>19882</t>
  </si>
  <si>
    <t>(3236/1901)</t>
  </si>
  <si>
    <t>19883</t>
  </si>
  <si>
    <t>(3236/1902)</t>
  </si>
  <si>
    <t>19884</t>
  </si>
  <si>
    <t>(3236/1903)</t>
  </si>
  <si>
    <t>19885</t>
  </si>
  <si>
    <t>(3236/1904)</t>
  </si>
  <si>
    <t>19891</t>
  </si>
  <si>
    <t>(3236/1905)</t>
  </si>
  <si>
    <t>19892</t>
  </si>
  <si>
    <t>(3236/1907)</t>
  </si>
  <si>
    <t>21851</t>
  </si>
  <si>
    <t>(3236/1908)</t>
  </si>
  <si>
    <t>21852</t>
  </si>
  <si>
    <t>(3236/1910)</t>
  </si>
  <si>
    <t>19886</t>
  </si>
  <si>
    <t>(3236/1911)</t>
  </si>
  <si>
    <t>19887</t>
  </si>
  <si>
    <t>(3236/1912)</t>
  </si>
  <si>
    <t>19888</t>
  </si>
  <si>
    <t>(3236/1913)</t>
  </si>
  <si>
    <t>19889</t>
  </si>
  <si>
    <t>(3236/1915)</t>
  </si>
  <si>
    <t>MikroTik CCR1072-1G-8S by SNMP</t>
  </si>
  <si>
    <t>19935</t>
  </si>
  <si>
    <t>(3236/1916)</t>
  </si>
  <si>
    <t>19936</t>
  </si>
  <si>
    <t>(3236/1917)</t>
  </si>
  <si>
    <t>19937</t>
  </si>
  <si>
    <t>(3236/1918)</t>
  </si>
  <si>
    <t>19938</t>
  </si>
  <si>
    <t>(3236/1919)</t>
  </si>
  <si>
    <t>19939</t>
  </si>
  <si>
    <t>(3236/1920)</t>
  </si>
  <si>
    <t>19940</t>
  </si>
  <si>
    <t>(3236/1921)</t>
  </si>
  <si>
    <t>19941</t>
  </si>
  <si>
    <t>(3236/1922)</t>
  </si>
  <si>
    <t>19947</t>
  </si>
  <si>
    <t>(3236/1923)</t>
  </si>
  <si>
    <t>19948</t>
  </si>
  <si>
    <t>(3236/1925)</t>
  </si>
  <si>
    <t>21871</t>
  </si>
  <si>
    <t>(3236/1926)</t>
  </si>
  <si>
    <t>21872</t>
  </si>
  <si>
    <t>(3236/1928)</t>
  </si>
  <si>
    <t>19942</t>
  </si>
  <si>
    <t>(3236/1929)</t>
  </si>
  <si>
    <t>19943</t>
  </si>
  <si>
    <t>(3236/1930)</t>
  </si>
  <si>
    <t>19944</t>
  </si>
  <si>
    <t>(3236/1931)</t>
  </si>
  <si>
    <t>19945</t>
  </si>
  <si>
    <t>(3236/1933)</t>
  </si>
  <si>
    <t>MikroTik CCR2004-16G-2S by SNMP</t>
  </si>
  <si>
    <t>19963</t>
  </si>
  <si>
    <t>(3236/1934)</t>
  </si>
  <si>
    <t>19964</t>
  </si>
  <si>
    <t>(3236/1935)</t>
  </si>
  <si>
    <t>19965</t>
  </si>
  <si>
    <t>(3236/1936)</t>
  </si>
  <si>
    <t>19966</t>
  </si>
  <si>
    <t>(3236/1937)</t>
  </si>
  <si>
    <t>19967</t>
  </si>
  <si>
    <t>(3236/1938)</t>
  </si>
  <si>
    <t>19968</t>
  </si>
  <si>
    <t>(3236/1939)</t>
  </si>
  <si>
    <t>19969</t>
  </si>
  <si>
    <t>(3236/1940)</t>
  </si>
  <si>
    <t>19975</t>
  </si>
  <si>
    <t>(3236/1941)</t>
  </si>
  <si>
    <t>19976</t>
  </si>
  <si>
    <t>(3236/1943)</t>
  </si>
  <si>
    <t>21881</t>
  </si>
  <si>
    <t>(3236/1944)</t>
  </si>
  <si>
    <t>21882</t>
  </si>
  <si>
    <t>(3236/1946)</t>
  </si>
  <si>
    <t>19970</t>
  </si>
  <si>
    <t>(3236/1947)</t>
  </si>
  <si>
    <t>19971</t>
  </si>
  <si>
    <t>(3236/1948)</t>
  </si>
  <si>
    <t>19972</t>
  </si>
  <si>
    <t>(3236/1949)</t>
  </si>
  <si>
    <t>19973</t>
  </si>
  <si>
    <t>(3236/1951)</t>
  </si>
  <si>
    <t>MikroTik CCR2004-1G-12S2XS by SNMP</t>
  </si>
  <si>
    <t>19991</t>
  </si>
  <si>
    <t>(3236/1952)</t>
  </si>
  <si>
    <t>19992</t>
  </si>
  <si>
    <t>(3236/1953)</t>
  </si>
  <si>
    <t>19993</t>
  </si>
  <si>
    <t>(3236/1954)</t>
  </si>
  <si>
    <t>19994</t>
  </si>
  <si>
    <t>(3236/1955)</t>
  </si>
  <si>
    <t>19995</t>
  </si>
  <si>
    <t>(3236/1956)</t>
  </si>
  <si>
    <t>19996</t>
  </si>
  <si>
    <t>(3236/1957)</t>
  </si>
  <si>
    <t>19997</t>
  </si>
  <si>
    <t>(3236/1958)</t>
  </si>
  <si>
    <t>20003</t>
  </si>
  <si>
    <t>(3236/1959)</t>
  </si>
  <si>
    <t>20004</t>
  </si>
  <si>
    <t>(3236/1961)</t>
  </si>
  <si>
    <t>21891</t>
  </si>
  <si>
    <t>(3236/1962)</t>
  </si>
  <si>
    <t>21892</t>
  </si>
  <si>
    <t>(3236/1964)</t>
  </si>
  <si>
    <t>19998</t>
  </si>
  <si>
    <t>(3236/1965)</t>
  </si>
  <si>
    <t>19999</t>
  </si>
  <si>
    <t>(3236/1966)</t>
  </si>
  <si>
    <t>20000</t>
  </si>
  <si>
    <t>(3236/1967)</t>
  </si>
  <si>
    <t>20001</t>
  </si>
  <si>
    <t>(3236/1969)</t>
  </si>
  <si>
    <t>MikroTik CRS106-1C-5S by SNMP</t>
  </si>
  <si>
    <t>20019</t>
  </si>
  <si>
    <t>(3236/1970)</t>
  </si>
  <si>
    <t>20020</t>
  </si>
  <si>
    <t>(3236/1971)</t>
  </si>
  <si>
    <t>20021</t>
  </si>
  <si>
    <t>(3236/1972)</t>
  </si>
  <si>
    <t>20022</t>
  </si>
  <si>
    <t>(3236/1973)</t>
  </si>
  <si>
    <t>20023</t>
  </si>
  <si>
    <t>(3236/1974)</t>
  </si>
  <si>
    <t>20024</t>
  </si>
  <si>
    <t>(3236/1975)</t>
  </si>
  <si>
    <t>20025</t>
  </si>
  <si>
    <t>(3236/1976)</t>
  </si>
  <si>
    <t>20031</t>
  </si>
  <si>
    <t>(3236/1977)</t>
  </si>
  <si>
    <t>20032</t>
  </si>
  <si>
    <t>(3236/1979)</t>
  </si>
  <si>
    <t>21901</t>
  </si>
  <si>
    <t>(3236/1980)</t>
  </si>
  <si>
    <t>21902</t>
  </si>
  <si>
    <t>(3236/1982)</t>
  </si>
  <si>
    <t>20026</t>
  </si>
  <si>
    <t>(3236/1983)</t>
  </si>
  <si>
    <t>20027</t>
  </si>
  <si>
    <t>(3236/1984)</t>
  </si>
  <si>
    <t>20028</t>
  </si>
  <si>
    <t>(3236/1985)</t>
  </si>
  <si>
    <t>20029</t>
  </si>
  <si>
    <t>(3236/1987)</t>
  </si>
  <si>
    <t>MikroTik CRS109-8G-1S-2HnD-IN by SNMP</t>
  </si>
  <si>
    <t>20047</t>
  </si>
  <si>
    <t>(3236/1988)</t>
  </si>
  <si>
    <t>20048</t>
  </si>
  <si>
    <t>(3236/1989)</t>
  </si>
  <si>
    <t>20049</t>
  </si>
  <si>
    <t>(3236/1990)</t>
  </si>
  <si>
    <t>20050</t>
  </si>
  <si>
    <t>(3236/1991)</t>
  </si>
  <si>
    <t>20051</t>
  </si>
  <si>
    <t>(3236/1992)</t>
  </si>
  <si>
    <t>20052</t>
  </si>
  <si>
    <t>(3236/1993)</t>
  </si>
  <si>
    <t>20053</t>
  </si>
  <si>
    <t>(3236/1994)</t>
  </si>
  <si>
    <t>20059</t>
  </si>
  <si>
    <t>(3236/1995)</t>
  </si>
  <si>
    <t>20060</t>
  </si>
  <si>
    <t>(3236/1997)</t>
  </si>
  <si>
    <t>21911</t>
  </si>
  <si>
    <t>(3236/1998)</t>
  </si>
  <si>
    <t>21912</t>
  </si>
  <si>
    <t>(3236/2000)</t>
  </si>
  <si>
    <t>20054</t>
  </si>
  <si>
    <t>(3236/2001)</t>
  </si>
  <si>
    <t>20055</t>
  </si>
  <si>
    <t>(3236/2002)</t>
  </si>
  <si>
    <t>20056</t>
  </si>
  <si>
    <t>(3236/2003)</t>
  </si>
  <si>
    <t>20057</t>
  </si>
  <si>
    <t>(3236/2005)</t>
  </si>
  <si>
    <t>MikroTik CRS112-8G-4S-IN by SNMP</t>
  </si>
  <si>
    <t>20075</t>
  </si>
  <si>
    <t>(3236/2006)</t>
  </si>
  <si>
    <t>20076</t>
  </si>
  <si>
    <t>(3236/2007)</t>
  </si>
  <si>
    <t>20077</t>
  </si>
  <si>
    <t>(3236/2008)</t>
  </si>
  <si>
    <t>20078</t>
  </si>
  <si>
    <t>(3236/2009)</t>
  </si>
  <si>
    <t>20079</t>
  </si>
  <si>
    <t>(3236/2010)</t>
  </si>
  <si>
    <t>20080</t>
  </si>
  <si>
    <t>(3236/2011)</t>
  </si>
  <si>
    <t>20081</t>
  </si>
  <si>
    <t>(3236/2012)</t>
  </si>
  <si>
    <t>20087</t>
  </si>
  <si>
    <t>(3236/2013)</t>
  </si>
  <si>
    <t>20088</t>
  </si>
  <si>
    <t>(3236/2015)</t>
  </si>
  <si>
    <t>21921</t>
  </si>
  <si>
    <t>(3236/2016)</t>
  </si>
  <si>
    <t>21922</t>
  </si>
  <si>
    <t>(3236/2018)</t>
  </si>
  <si>
    <t>20082</t>
  </si>
  <si>
    <t>(3236/2019)</t>
  </si>
  <si>
    <t>20083</t>
  </si>
  <si>
    <t>(3236/2020)</t>
  </si>
  <si>
    <t>20084</t>
  </si>
  <si>
    <t>(3236/2021)</t>
  </si>
  <si>
    <t>20085</t>
  </si>
  <si>
    <t>(3236/2023)</t>
  </si>
  <si>
    <t>MikroTik CRS112-8P-4S-IN by SNMP</t>
  </si>
  <si>
    <t>20103</t>
  </si>
  <si>
    <t>(3236/2024)</t>
  </si>
  <si>
    <t>20104</t>
  </si>
  <si>
    <t>(3236/2025)</t>
  </si>
  <si>
    <t>20105</t>
  </si>
  <si>
    <t>(3236/2026)</t>
  </si>
  <si>
    <t>20106</t>
  </si>
  <si>
    <t>(3236/2027)</t>
  </si>
  <si>
    <t>20107</t>
  </si>
  <si>
    <t>(3236/2028)</t>
  </si>
  <si>
    <t>20108</t>
  </si>
  <si>
    <t>(3236/2029)</t>
  </si>
  <si>
    <t>20109</t>
  </si>
  <si>
    <t>(3236/2030)</t>
  </si>
  <si>
    <t>20115</t>
  </si>
  <si>
    <t>(3236/2031)</t>
  </si>
  <si>
    <t>20116</t>
  </si>
  <si>
    <t>(3236/2033)</t>
  </si>
  <si>
    <t>21931</t>
  </si>
  <si>
    <t>(3236/2034)</t>
  </si>
  <si>
    <t>21932</t>
  </si>
  <si>
    <t>(3236/2036)</t>
  </si>
  <si>
    <t>20110</t>
  </si>
  <si>
    <t>(3236/2037)</t>
  </si>
  <si>
    <t>20111</t>
  </si>
  <si>
    <t>(3236/2038)</t>
  </si>
  <si>
    <t>20112</t>
  </si>
  <si>
    <t>(3236/2039)</t>
  </si>
  <si>
    <t>20113</t>
  </si>
  <si>
    <t>(3236/2041)</t>
  </si>
  <si>
    <t>MikroTik CRS125-24G-1S-2HnD-IN by SNMP</t>
  </si>
  <si>
    <t>20131</t>
  </si>
  <si>
    <t>(3236/2042)</t>
  </si>
  <si>
    <t>20132</t>
  </si>
  <si>
    <t>(3236/2043)</t>
  </si>
  <si>
    <t>20133</t>
  </si>
  <si>
    <t>(3236/2044)</t>
  </si>
  <si>
    <t>20134</t>
  </si>
  <si>
    <t>(3236/2045)</t>
  </si>
  <si>
    <t>20135</t>
  </si>
  <si>
    <t>(3236/2046)</t>
  </si>
  <si>
    <t>20136</t>
  </si>
  <si>
    <t>(3236/2047)</t>
  </si>
  <si>
    <t>20137</t>
  </si>
  <si>
    <t>(3236/2048)</t>
  </si>
  <si>
    <t>20143</t>
  </si>
  <si>
    <t>(3236/2049)</t>
  </si>
  <si>
    <t>20144</t>
  </si>
  <si>
    <t>(3236/2051)</t>
  </si>
  <si>
    <t>21941</t>
  </si>
  <si>
    <t>(3236/2052)</t>
  </si>
  <si>
    <t>21942</t>
  </si>
  <si>
    <t>(3236/2054)</t>
  </si>
  <si>
    <t>20138</t>
  </si>
  <si>
    <t>(3236/2055)</t>
  </si>
  <si>
    <t>20139</t>
  </si>
  <si>
    <t>(3236/2056)</t>
  </si>
  <si>
    <t>20140</t>
  </si>
  <si>
    <t>(3236/2057)</t>
  </si>
  <si>
    <t>20141</t>
  </si>
  <si>
    <t>(3236/2059)</t>
  </si>
  <si>
    <t>MikroTik CRS212-1G-10S-1SIN by SNMP</t>
  </si>
  <si>
    <t>20159</t>
  </si>
  <si>
    <t>(3236/2060)</t>
  </si>
  <si>
    <t>20160</t>
  </si>
  <si>
    <t>(3236/2061)</t>
  </si>
  <si>
    <t>20161</t>
  </si>
  <si>
    <t>(3236/2062)</t>
  </si>
  <si>
    <t>20162</t>
  </si>
  <si>
    <t>(3236/2063)</t>
  </si>
  <si>
    <t>20163</t>
  </si>
  <si>
    <t>(3236/2064)</t>
  </si>
  <si>
    <t>20164</t>
  </si>
  <si>
    <t>(3236/2065)</t>
  </si>
  <si>
    <t>20165</t>
  </si>
  <si>
    <t>(3236/2066)</t>
  </si>
  <si>
    <t>20171</t>
  </si>
  <si>
    <t>(3236/2067)</t>
  </si>
  <si>
    <t>20172</t>
  </si>
  <si>
    <t>(3236/2069)</t>
  </si>
  <si>
    <t>21951</t>
  </si>
  <si>
    <t>(3236/2070)</t>
  </si>
  <si>
    <t>21952</t>
  </si>
  <si>
    <t>(3236/2072)</t>
  </si>
  <si>
    <t>20166</t>
  </si>
  <si>
    <t>(3236/2073)</t>
  </si>
  <si>
    <t>20167</t>
  </si>
  <si>
    <t>(3236/2074)</t>
  </si>
  <si>
    <t>20168</t>
  </si>
  <si>
    <t>(3236/2075)</t>
  </si>
  <si>
    <t>20169</t>
  </si>
  <si>
    <t>(3236/2077)</t>
  </si>
  <si>
    <t>MikroTik CRS305-1G-4SIN by SNMP</t>
  </si>
  <si>
    <t>20187</t>
  </si>
  <si>
    <t>(3236/2078)</t>
  </si>
  <si>
    <t>20188</t>
  </si>
  <si>
    <t>(3236/2079)</t>
  </si>
  <si>
    <t>20189</t>
  </si>
  <si>
    <t>(3236/2080)</t>
  </si>
  <si>
    <t>20190</t>
  </si>
  <si>
    <t>(3236/2081)</t>
  </si>
  <si>
    <t>20191</t>
  </si>
  <si>
    <t>(3236/2082)</t>
  </si>
  <si>
    <t>20192</t>
  </si>
  <si>
    <t>(3236/2083)</t>
  </si>
  <si>
    <t>20193</t>
  </si>
  <si>
    <t>(3236/2084)</t>
  </si>
  <si>
    <t>20199</t>
  </si>
  <si>
    <t>(3236/2085)</t>
  </si>
  <si>
    <t>20200</t>
  </si>
  <si>
    <t>(3236/2087)</t>
  </si>
  <si>
    <t>21961</t>
  </si>
  <si>
    <t>(3236/2088)</t>
  </si>
  <si>
    <t>21962</t>
  </si>
  <si>
    <t>(3236/2090)</t>
  </si>
  <si>
    <t>20194</t>
  </si>
  <si>
    <t>(3236/2091)</t>
  </si>
  <si>
    <t>20195</t>
  </si>
  <si>
    <t>(3236/2092)</t>
  </si>
  <si>
    <t>20196</t>
  </si>
  <si>
    <t>(3236/2093)</t>
  </si>
  <si>
    <t>20197</t>
  </si>
  <si>
    <t>(3236/2095)</t>
  </si>
  <si>
    <t>MikroTik CRS309-1G-8SIN by SNMP</t>
  </si>
  <si>
    <t>20215</t>
  </si>
  <si>
    <t>(3236/2096)</t>
  </si>
  <si>
    <t>20216</t>
  </si>
  <si>
    <t>(3236/2097)</t>
  </si>
  <si>
    <t>20217</t>
  </si>
  <si>
    <t>(3236/2098)</t>
  </si>
  <si>
    <t>20218</t>
  </si>
  <si>
    <t>(3236/2099)</t>
  </si>
  <si>
    <t>20219</t>
  </si>
  <si>
    <t>(3236/2100)</t>
  </si>
  <si>
    <t>20220</t>
  </si>
  <si>
    <t>(3236/2101)</t>
  </si>
  <si>
    <t>20221</t>
  </si>
  <si>
    <t>(3236/2102)</t>
  </si>
  <si>
    <t>20227</t>
  </si>
  <si>
    <t>(3236/2103)</t>
  </si>
  <si>
    <t>20228</t>
  </si>
  <si>
    <t>(3236/2105)</t>
  </si>
  <si>
    <t>21971</t>
  </si>
  <si>
    <t>(3236/2106)</t>
  </si>
  <si>
    <t>21972</t>
  </si>
  <si>
    <t>(3236/2108)</t>
  </si>
  <si>
    <t>20222</t>
  </si>
  <si>
    <t>(3236/2109)</t>
  </si>
  <si>
    <t>20223</t>
  </si>
  <si>
    <t>(3236/2110)</t>
  </si>
  <si>
    <t>20224</t>
  </si>
  <si>
    <t>(3236/2111)</t>
  </si>
  <si>
    <t>20225</t>
  </si>
  <si>
    <t>(3236/2113)</t>
  </si>
  <si>
    <t>MikroTik CRS312-4C8XG-RM by SNMP</t>
  </si>
  <si>
    <t>20243</t>
  </si>
  <si>
    <t>(3236/2114)</t>
  </si>
  <si>
    <t>20244</t>
  </si>
  <si>
    <t>(3236/2115)</t>
  </si>
  <si>
    <t>20245</t>
  </si>
  <si>
    <t>(3236/2116)</t>
  </si>
  <si>
    <t>20246</t>
  </si>
  <si>
    <t>(3236/2117)</t>
  </si>
  <si>
    <t>20247</t>
  </si>
  <si>
    <t>(3236/2118)</t>
  </si>
  <si>
    <t>20248</t>
  </si>
  <si>
    <t>(3236/2119)</t>
  </si>
  <si>
    <t>20249</t>
  </si>
  <si>
    <t>(3236/2120)</t>
  </si>
  <si>
    <t>20255</t>
  </si>
  <si>
    <t>(3236/2121)</t>
  </si>
  <si>
    <t>20256</t>
  </si>
  <si>
    <t>(3236/2123)</t>
  </si>
  <si>
    <t>21981</t>
  </si>
  <si>
    <t>(3236/2124)</t>
  </si>
  <si>
    <t>21982</t>
  </si>
  <si>
    <t>(3236/2126)</t>
  </si>
  <si>
    <t>20250</t>
  </si>
  <si>
    <t>(3236/2127)</t>
  </si>
  <si>
    <t>20251</t>
  </si>
  <si>
    <t>(3236/2128)</t>
  </si>
  <si>
    <t>20252</t>
  </si>
  <si>
    <t>(3236/2129)</t>
  </si>
  <si>
    <t>20253</t>
  </si>
  <si>
    <t>(3236/2131)</t>
  </si>
  <si>
    <t>MikroTik CRS317-1G-16SRM by SNMP</t>
  </si>
  <si>
    <t>20271</t>
  </si>
  <si>
    <t>(3236/2132)</t>
  </si>
  <si>
    <t>20272</t>
  </si>
  <si>
    <t>(3236/2133)</t>
  </si>
  <si>
    <t>20273</t>
  </si>
  <si>
    <t>(3236/2134)</t>
  </si>
  <si>
    <t>20274</t>
  </si>
  <si>
    <t>(3236/2135)</t>
  </si>
  <si>
    <t>20275</t>
  </si>
  <si>
    <t>(3236/2136)</t>
  </si>
  <si>
    <t>20276</t>
  </si>
  <si>
    <t>(3236/2137)</t>
  </si>
  <si>
    <t>20277</t>
  </si>
  <si>
    <t>(3236/2138)</t>
  </si>
  <si>
    <t>20283</t>
  </si>
  <si>
    <t>(3236/2139)</t>
  </si>
  <si>
    <t>20284</t>
  </si>
  <si>
    <t>(3236/2141)</t>
  </si>
  <si>
    <t>21991</t>
  </si>
  <si>
    <t>(3236/2142)</t>
  </si>
  <si>
    <t>21992</t>
  </si>
  <si>
    <t>(3236/2144)</t>
  </si>
  <si>
    <t>20278</t>
  </si>
  <si>
    <t>(3236/2145)</t>
  </si>
  <si>
    <t>20279</t>
  </si>
  <si>
    <t>(3236/2146)</t>
  </si>
  <si>
    <t>20280</t>
  </si>
  <si>
    <t>(3236/2147)</t>
  </si>
  <si>
    <t>20281</t>
  </si>
  <si>
    <t>(3236/2149)</t>
  </si>
  <si>
    <t>MikroTik CRS326-24G-2SIN by SNMP</t>
  </si>
  <si>
    <t>20299</t>
  </si>
  <si>
    <t>(3236/2150)</t>
  </si>
  <si>
    <t>20300</t>
  </si>
  <si>
    <t>(3236/2151)</t>
  </si>
  <si>
    <t>20301</t>
  </si>
  <si>
    <t>(3236/2152)</t>
  </si>
  <si>
    <t>20302</t>
  </si>
  <si>
    <t>(3236/2153)</t>
  </si>
  <si>
    <t>20303</t>
  </si>
  <si>
    <t>(3236/2154)</t>
  </si>
  <si>
    <t>20304</t>
  </si>
  <si>
    <t>(3236/2155)</t>
  </si>
  <si>
    <t>20305</t>
  </si>
  <si>
    <t>(3236/2156)</t>
  </si>
  <si>
    <t>20311</t>
  </si>
  <si>
    <t>(3236/2157)</t>
  </si>
  <si>
    <t>20312</t>
  </si>
  <si>
    <t>(3236/2159)</t>
  </si>
  <si>
    <t>22001</t>
  </si>
  <si>
    <t>(3236/2160)</t>
  </si>
  <si>
    <t>22002</t>
  </si>
  <si>
    <t>(3236/2162)</t>
  </si>
  <si>
    <t>20306</t>
  </si>
  <si>
    <t>(3236/2163)</t>
  </si>
  <si>
    <t>20307</t>
  </si>
  <si>
    <t>(3236/2164)</t>
  </si>
  <si>
    <t>20308</t>
  </si>
  <si>
    <t>(3236/2165)</t>
  </si>
  <si>
    <t>20309</t>
  </si>
  <si>
    <t>(3236/2167)</t>
  </si>
  <si>
    <t>MikroTik CRS326-24G-2SRM by SNMP</t>
  </si>
  <si>
    <t>20327</t>
  </si>
  <si>
    <t>(3236/2168)</t>
  </si>
  <si>
    <t>20328</t>
  </si>
  <si>
    <t>(3236/2169)</t>
  </si>
  <si>
    <t>20329</t>
  </si>
  <si>
    <t>(3236/2170)</t>
  </si>
  <si>
    <t>20330</t>
  </si>
  <si>
    <t>(3236/2171)</t>
  </si>
  <si>
    <t>20331</t>
  </si>
  <si>
    <t>(3236/2172)</t>
  </si>
  <si>
    <t>20332</t>
  </si>
  <si>
    <t>(3236/2173)</t>
  </si>
  <si>
    <t>20333</t>
  </si>
  <si>
    <t>(3236/2174)</t>
  </si>
  <si>
    <t>20339</t>
  </si>
  <si>
    <t>(3236/2175)</t>
  </si>
  <si>
    <t>20340</t>
  </si>
  <si>
    <t>(3236/2177)</t>
  </si>
  <si>
    <t>22011</t>
  </si>
  <si>
    <t>(3236/2178)</t>
  </si>
  <si>
    <t>22012</t>
  </si>
  <si>
    <t>(3236/2180)</t>
  </si>
  <si>
    <t>20334</t>
  </si>
  <si>
    <t>(3236/2181)</t>
  </si>
  <si>
    <t>20335</t>
  </si>
  <si>
    <t>(3236/2182)</t>
  </si>
  <si>
    <t>20336</t>
  </si>
  <si>
    <t>(3236/2183)</t>
  </si>
  <si>
    <t>20337</t>
  </si>
  <si>
    <t>(3236/2185)</t>
  </si>
  <si>
    <t>MikroTik CRS326-24S2QRM by SNMP</t>
  </si>
  <si>
    <t>20355</t>
  </si>
  <si>
    <t>(3236/2186)</t>
  </si>
  <si>
    <t>20356</t>
  </si>
  <si>
    <t>(3236/2187)</t>
  </si>
  <si>
    <t>20357</t>
  </si>
  <si>
    <t>(3236/2188)</t>
  </si>
  <si>
    <t>20358</t>
  </si>
  <si>
    <t>(3236/2189)</t>
  </si>
  <si>
    <t>20359</t>
  </si>
  <si>
    <t>(3236/2190)</t>
  </si>
  <si>
    <t>20360</t>
  </si>
  <si>
    <t>(3236/2191)</t>
  </si>
  <si>
    <t>20361</t>
  </si>
  <si>
    <t>(3236/2192)</t>
  </si>
  <si>
    <t>20367</t>
  </si>
  <si>
    <t>(3236/2193)</t>
  </si>
  <si>
    <t>20368</t>
  </si>
  <si>
    <t>(3236/2195)</t>
  </si>
  <si>
    <t>22021</t>
  </si>
  <si>
    <t>(3236/2196)</t>
  </si>
  <si>
    <t>22022</t>
  </si>
  <si>
    <t>(3236/2198)</t>
  </si>
  <si>
    <t>20362</t>
  </si>
  <si>
    <t>(3236/2199)</t>
  </si>
  <si>
    <t>20363</t>
  </si>
  <si>
    <t>(3236/2200)</t>
  </si>
  <si>
    <t>20364</t>
  </si>
  <si>
    <t>(3236/2201)</t>
  </si>
  <si>
    <t>20365</t>
  </si>
  <si>
    <t>(3236/2203)</t>
  </si>
  <si>
    <t>MikroTik CRS328-24P-4SRM by SNMP</t>
  </si>
  <si>
    <t>20383</t>
  </si>
  <si>
    <t>(3236/2204)</t>
  </si>
  <si>
    <t>20384</t>
  </si>
  <si>
    <t>(3236/2205)</t>
  </si>
  <si>
    <t>20385</t>
  </si>
  <si>
    <t>(3236/2206)</t>
  </si>
  <si>
    <t>20386</t>
  </si>
  <si>
    <t>(3236/2207)</t>
  </si>
  <si>
    <t>20387</t>
  </si>
  <si>
    <t>(3236/2208)</t>
  </si>
  <si>
    <t>20388</t>
  </si>
  <si>
    <t>(3236/2209)</t>
  </si>
  <si>
    <t>20389</t>
  </si>
  <si>
    <t>(3236/2210)</t>
  </si>
  <si>
    <t>20395</t>
  </si>
  <si>
    <t>(3236/2211)</t>
  </si>
  <si>
    <t>20396</t>
  </si>
  <si>
    <t>(3236/2213)</t>
  </si>
  <si>
    <t>22031</t>
  </si>
  <si>
    <t>(3236/2214)</t>
  </si>
  <si>
    <t>22032</t>
  </si>
  <si>
    <t>(3236/2216)</t>
  </si>
  <si>
    <t>20390</t>
  </si>
  <si>
    <t>(3236/2217)</t>
  </si>
  <si>
    <t>20391</t>
  </si>
  <si>
    <t>(3236/2218)</t>
  </si>
  <si>
    <t>20392</t>
  </si>
  <si>
    <t>(3236/2219)</t>
  </si>
  <si>
    <t>20393</t>
  </si>
  <si>
    <t>(3236/2221)</t>
  </si>
  <si>
    <t>MikroTik CRS328-4C-20S-4SRM by SNMP</t>
  </si>
  <si>
    <t>20411</t>
  </si>
  <si>
    <t>(3236/2222)</t>
  </si>
  <si>
    <t>20412</t>
  </si>
  <si>
    <t>(3236/2223)</t>
  </si>
  <si>
    <t>20413</t>
  </si>
  <si>
    <t>(3236/2224)</t>
  </si>
  <si>
    <t>20414</t>
  </si>
  <si>
    <t>(3236/2225)</t>
  </si>
  <si>
    <t>20415</t>
  </si>
  <si>
    <t>(3236/2226)</t>
  </si>
  <si>
    <t>20416</t>
  </si>
  <si>
    <t>(3236/2227)</t>
  </si>
  <si>
    <t>20417</t>
  </si>
  <si>
    <t>(3236/2228)</t>
  </si>
  <si>
    <t>20423</t>
  </si>
  <si>
    <t>(3236/2229)</t>
  </si>
  <si>
    <t>20424</t>
  </si>
  <si>
    <t>(3236/2231)</t>
  </si>
  <si>
    <t>22041</t>
  </si>
  <si>
    <t>(3236/2232)</t>
  </si>
  <si>
    <t>22042</t>
  </si>
  <si>
    <t>(3236/2234)</t>
  </si>
  <si>
    <t>20418</t>
  </si>
  <si>
    <t>(3236/2235)</t>
  </si>
  <si>
    <t>20419</t>
  </si>
  <si>
    <t>(3236/2236)</t>
  </si>
  <si>
    <t>20420</t>
  </si>
  <si>
    <t>(3236/2237)</t>
  </si>
  <si>
    <t>20421</t>
  </si>
  <si>
    <t>(3236/2239)</t>
  </si>
  <si>
    <t>MikroTik CRS354-48G-4S2QRM by SNMP</t>
  </si>
  <si>
    <t>20439</t>
  </si>
  <si>
    <t>(3236/2240)</t>
  </si>
  <si>
    <t>20440</t>
  </si>
  <si>
    <t>(3236/2241)</t>
  </si>
  <si>
    <t>20441</t>
  </si>
  <si>
    <t>(3236/2242)</t>
  </si>
  <si>
    <t>20442</t>
  </si>
  <si>
    <t>(3236/2243)</t>
  </si>
  <si>
    <t>20443</t>
  </si>
  <si>
    <t>(3236/2244)</t>
  </si>
  <si>
    <t>20444</t>
  </si>
  <si>
    <t>(3236/2245)</t>
  </si>
  <si>
    <t>20445</t>
  </si>
  <si>
    <t>(3236/2246)</t>
  </si>
  <si>
    <t>20451</t>
  </si>
  <si>
    <t>(3236/2247)</t>
  </si>
  <si>
    <t>20452</t>
  </si>
  <si>
    <t>(3236/2249)</t>
  </si>
  <si>
    <t>22051</t>
  </si>
  <si>
    <t>(3236/2250)</t>
  </si>
  <si>
    <t>22052</t>
  </si>
  <si>
    <t>(3236/2252)</t>
  </si>
  <si>
    <t>20446</t>
  </si>
  <si>
    <t>(3236/2253)</t>
  </si>
  <si>
    <t>20447</t>
  </si>
  <si>
    <t>(3236/2254)</t>
  </si>
  <si>
    <t>20448</t>
  </si>
  <si>
    <t>(3236/2255)</t>
  </si>
  <si>
    <t>20449</t>
  </si>
  <si>
    <t>(3236/2257)</t>
  </si>
  <si>
    <t>MikroTik CRS354-48P-4S2QRM by SNMP</t>
  </si>
  <si>
    <t>20467</t>
  </si>
  <si>
    <t>(3236/2258)</t>
  </si>
  <si>
    <t>20468</t>
  </si>
  <si>
    <t>(3236/2259)</t>
  </si>
  <si>
    <t>20469</t>
  </si>
  <si>
    <t>(3236/2260)</t>
  </si>
  <si>
    <t>20470</t>
  </si>
  <si>
    <t>(3236/2261)</t>
  </si>
  <si>
    <t>20471</t>
  </si>
  <si>
    <t>(3236/2262)</t>
  </si>
  <si>
    <t>20472</t>
  </si>
  <si>
    <t>(3236/2263)</t>
  </si>
  <si>
    <t>20473</t>
  </si>
  <si>
    <t>(3236/2264)</t>
  </si>
  <si>
    <t>20479</t>
  </si>
  <si>
    <t>(3236/2265)</t>
  </si>
  <si>
    <t>20480</t>
  </si>
  <si>
    <t>(3236/2267)</t>
  </si>
  <si>
    <t>22061</t>
  </si>
  <si>
    <t>(3236/2268)</t>
  </si>
  <si>
    <t>22062</t>
  </si>
  <si>
    <t>(3236/2270)</t>
  </si>
  <si>
    <t>20474</t>
  </si>
  <si>
    <t>(3236/2271)</t>
  </si>
  <si>
    <t>20475</t>
  </si>
  <si>
    <t>(3236/2272)</t>
  </si>
  <si>
    <t>20476</t>
  </si>
  <si>
    <t>(3236/2273)</t>
  </si>
  <si>
    <t>20477</t>
  </si>
  <si>
    <t>(3236/2275)</t>
  </si>
  <si>
    <t>MikroTik CSS326-24G-2SRM by SNMP</t>
  </si>
  <si>
    <t>20495</t>
  </si>
  <si>
    <t>(3236/2276)</t>
  </si>
  <si>
    <t>20496</t>
  </si>
  <si>
    <t>(3236/2277)</t>
  </si>
  <si>
    <t>20497</t>
  </si>
  <si>
    <t>(3236/2278)</t>
  </si>
  <si>
    <t>20498</t>
  </si>
  <si>
    <t>(3236/2279)</t>
  </si>
  <si>
    <t>20499</t>
  </si>
  <si>
    <t>(3236/2280)</t>
  </si>
  <si>
    <t>20500</t>
  </si>
  <si>
    <t>(3236/2281)</t>
  </si>
  <si>
    <t>20501</t>
  </si>
  <si>
    <t>(3236/2282)</t>
  </si>
  <si>
    <t>20507</t>
  </si>
  <si>
    <t>(3236/2283)</t>
  </si>
  <si>
    <t>20508</t>
  </si>
  <si>
    <t>(3236/2285)</t>
  </si>
  <si>
    <t>22071</t>
  </si>
  <si>
    <t>(3236/2286)</t>
  </si>
  <si>
    <t>22072</t>
  </si>
  <si>
    <t>(3236/2288)</t>
  </si>
  <si>
    <t>20502</t>
  </si>
  <si>
    <t>(3236/2289)</t>
  </si>
  <si>
    <t>20503</t>
  </si>
  <si>
    <t>(3236/2290)</t>
  </si>
  <si>
    <t>20504</t>
  </si>
  <si>
    <t>(3236/2291)</t>
  </si>
  <si>
    <t>20505</t>
  </si>
  <si>
    <t>(3236/2293)</t>
  </si>
  <si>
    <t>MikroTik CSS610-8G-2SIN by SNMP</t>
  </si>
  <si>
    <t>20523</t>
  </si>
  <si>
    <t>(3236/2294)</t>
  </si>
  <si>
    <t>20524</t>
  </si>
  <si>
    <t>(3236/2295)</t>
  </si>
  <si>
    <t>20525</t>
  </si>
  <si>
    <t>(3236/2296)</t>
  </si>
  <si>
    <t>20526</t>
  </si>
  <si>
    <t>(3236/2297)</t>
  </si>
  <si>
    <t>20527</t>
  </si>
  <si>
    <t>(3236/2298)</t>
  </si>
  <si>
    <t>20528</t>
  </si>
  <si>
    <t>(3236/2299)</t>
  </si>
  <si>
    <t>20529</t>
  </si>
  <si>
    <t>(3236/2300)</t>
  </si>
  <si>
    <t>20535</t>
  </si>
  <si>
    <t>(3236/2301)</t>
  </si>
  <si>
    <t>20536</t>
  </si>
  <si>
    <t>(3236/2303)</t>
  </si>
  <si>
    <t>22081</t>
  </si>
  <si>
    <t>(3236/2304)</t>
  </si>
  <si>
    <t>22082</t>
  </si>
  <si>
    <t>(3236/2306)</t>
  </si>
  <si>
    <t>20530</t>
  </si>
  <si>
    <t>(3236/2307)</t>
  </si>
  <si>
    <t>20531</t>
  </si>
  <si>
    <t>(3236/2308)</t>
  </si>
  <si>
    <t>20532</t>
  </si>
  <si>
    <t>(3236/2309)</t>
  </si>
  <si>
    <t>20533</t>
  </si>
  <si>
    <t>(3236/2311)</t>
  </si>
  <si>
    <t>MikroTik FiberBox by SNMP</t>
  </si>
  <si>
    <t>20551</t>
  </si>
  <si>
    <t>(3236/2312)</t>
  </si>
  <si>
    <t>20552</t>
  </si>
  <si>
    <t>(3236/2313)</t>
  </si>
  <si>
    <t>20553</t>
  </si>
  <si>
    <t>(3236/2314)</t>
  </si>
  <si>
    <t>20554</t>
  </si>
  <si>
    <t>(3236/2315)</t>
  </si>
  <si>
    <t>20555</t>
  </si>
  <si>
    <t>(3236/2316)</t>
  </si>
  <si>
    <t>20556</t>
  </si>
  <si>
    <t>(3236/2317)</t>
  </si>
  <si>
    <t>20557</t>
  </si>
  <si>
    <t>(3236/2318)</t>
  </si>
  <si>
    <t>20563</t>
  </si>
  <si>
    <t>(3236/2319)</t>
  </si>
  <si>
    <t>20564</t>
  </si>
  <si>
    <t>(3236/2321)</t>
  </si>
  <si>
    <t>22091</t>
  </si>
  <si>
    <t>(3236/2322)</t>
  </si>
  <si>
    <t>22092</t>
  </si>
  <si>
    <t>(3236/2324)</t>
  </si>
  <si>
    <t>20558</t>
  </si>
  <si>
    <t>(3236/2325)</t>
  </si>
  <si>
    <t>20559</t>
  </si>
  <si>
    <t>(3236/2326)</t>
  </si>
  <si>
    <t>20560</t>
  </si>
  <si>
    <t>(3236/2327)</t>
  </si>
  <si>
    <t>20561</t>
  </si>
  <si>
    <t>(3236/2329)</t>
  </si>
  <si>
    <t>MikroTik PowerBox Pro by SNMP</t>
  </si>
  <si>
    <t>20579</t>
  </si>
  <si>
    <t>(3236/2330)</t>
  </si>
  <si>
    <t>20580</t>
  </si>
  <si>
    <t>(3236/2331)</t>
  </si>
  <si>
    <t>20581</t>
  </si>
  <si>
    <t>(3236/2332)</t>
  </si>
  <si>
    <t>20582</t>
  </si>
  <si>
    <t>(3236/2333)</t>
  </si>
  <si>
    <t>20583</t>
  </si>
  <si>
    <t>(3236/2334)</t>
  </si>
  <si>
    <t>20584</t>
  </si>
  <si>
    <t>(3236/2335)</t>
  </si>
  <si>
    <t>20585</t>
  </si>
  <si>
    <t>(3236/2336)</t>
  </si>
  <si>
    <t>20591</t>
  </si>
  <si>
    <t>(3236/2337)</t>
  </si>
  <si>
    <t>20592</t>
  </si>
  <si>
    <t>(3236/2339)</t>
  </si>
  <si>
    <t>22101</t>
  </si>
  <si>
    <t>(3236/2340)</t>
  </si>
  <si>
    <t>22102</t>
  </si>
  <si>
    <t>(3236/2342)</t>
  </si>
  <si>
    <t>20586</t>
  </si>
  <si>
    <t>(3236/2343)</t>
  </si>
  <si>
    <t>20587</t>
  </si>
  <si>
    <t>(3236/2344)</t>
  </si>
  <si>
    <t>20588</t>
  </si>
  <si>
    <t>(3236/2345)</t>
  </si>
  <si>
    <t>20589</t>
  </si>
  <si>
    <t>(3236/2347)</t>
  </si>
  <si>
    <t>MikroTik PowerBox by SNMP</t>
  </si>
  <si>
    <t>20607</t>
  </si>
  <si>
    <t>(3236/2348)</t>
  </si>
  <si>
    <t>20608</t>
  </si>
  <si>
    <t>(3236/2349)</t>
  </si>
  <si>
    <t>20609</t>
  </si>
  <si>
    <t>(3236/2350)</t>
  </si>
  <si>
    <t>20610</t>
  </si>
  <si>
    <t>(3236/2351)</t>
  </si>
  <si>
    <t>20611</t>
  </si>
  <si>
    <t>(3236/2352)</t>
  </si>
  <si>
    <t>20612</t>
  </si>
  <si>
    <t>(3236/2353)</t>
  </si>
  <si>
    <t>20613</t>
  </si>
  <si>
    <t>(3236/2354)</t>
  </si>
  <si>
    <t>20619</t>
  </si>
  <si>
    <t>(3236/2355)</t>
  </si>
  <si>
    <t>20620</t>
  </si>
  <si>
    <t>(3236/2357)</t>
  </si>
  <si>
    <t>22111</t>
  </si>
  <si>
    <t>(3236/2358)</t>
  </si>
  <si>
    <t>22112</t>
  </si>
  <si>
    <t>(3236/2360)</t>
  </si>
  <si>
    <t>20614</t>
  </si>
  <si>
    <t>(3236/2361)</t>
  </si>
  <si>
    <t>20615</t>
  </si>
  <si>
    <t>(3236/2362)</t>
  </si>
  <si>
    <t>20616</t>
  </si>
  <si>
    <t>(3236/2363)</t>
  </si>
  <si>
    <t>20617</t>
  </si>
  <si>
    <t>(3236/2365)</t>
  </si>
  <si>
    <t>MikroTik RB1100AHx4 Dude Edition by SNMP</t>
  </si>
  <si>
    <t>20635</t>
  </si>
  <si>
    <t>(3236/2366)</t>
  </si>
  <si>
    <t>20636</t>
  </si>
  <si>
    <t>(3236/2367)</t>
  </si>
  <si>
    <t>20637</t>
  </si>
  <si>
    <t>(3236/2368)</t>
  </si>
  <si>
    <t>20638</t>
  </si>
  <si>
    <t>(3236/2369)</t>
  </si>
  <si>
    <t>20639</t>
  </si>
  <si>
    <t>(3236/2370)</t>
  </si>
  <si>
    <t>20640</t>
  </si>
  <si>
    <t>(3236/2371)</t>
  </si>
  <si>
    <t>20641</t>
  </si>
  <si>
    <t>(3236/2372)</t>
  </si>
  <si>
    <t>20647</t>
  </si>
  <si>
    <t>(3236/2373)</t>
  </si>
  <si>
    <t>20648</t>
  </si>
  <si>
    <t>(3236/2375)</t>
  </si>
  <si>
    <t>22121</t>
  </si>
  <si>
    <t>(3236/2376)</t>
  </si>
  <si>
    <t>22122</t>
  </si>
  <si>
    <t>(3236/2378)</t>
  </si>
  <si>
    <t>20642</t>
  </si>
  <si>
    <t>(3236/2379)</t>
  </si>
  <si>
    <t>20643</t>
  </si>
  <si>
    <t>(3236/2380)</t>
  </si>
  <si>
    <t>20644</t>
  </si>
  <si>
    <t>(3236/2381)</t>
  </si>
  <si>
    <t>20645</t>
  </si>
  <si>
    <t>(3236/2383)</t>
  </si>
  <si>
    <t>MikroTik RB1100AHx4 by SNMP</t>
  </si>
  <si>
    <t>20663</t>
  </si>
  <si>
    <t>(3236/2384)</t>
  </si>
  <si>
    <t>20664</t>
  </si>
  <si>
    <t>(3236/2385)</t>
  </si>
  <si>
    <t>20665</t>
  </si>
  <si>
    <t>(3236/2386)</t>
  </si>
  <si>
    <t>20666</t>
  </si>
  <si>
    <t>(3236/2387)</t>
  </si>
  <si>
    <t>20667</t>
  </si>
  <si>
    <t>(3236/2388)</t>
  </si>
  <si>
    <t>20668</t>
  </si>
  <si>
    <t>(3236/2389)</t>
  </si>
  <si>
    <t>20669</t>
  </si>
  <si>
    <t>(3236/2390)</t>
  </si>
  <si>
    <t>20675</t>
  </si>
  <si>
    <t>(3236/2391)</t>
  </si>
  <si>
    <t>20676</t>
  </si>
  <si>
    <t>(3236/2393)</t>
  </si>
  <si>
    <t>22131</t>
  </si>
  <si>
    <t>(3236/2394)</t>
  </si>
  <si>
    <t>22132</t>
  </si>
  <si>
    <t>(3236/2396)</t>
  </si>
  <si>
    <t>20670</t>
  </si>
  <si>
    <t>(3236/2397)</t>
  </si>
  <si>
    <t>20671</t>
  </si>
  <si>
    <t>(3236/2398)</t>
  </si>
  <si>
    <t>20672</t>
  </si>
  <si>
    <t>(3236/2399)</t>
  </si>
  <si>
    <t>20673</t>
  </si>
  <si>
    <t>(3236/2401)</t>
  </si>
  <si>
    <t>MikroTik RB2011UiAS-IN by SNMP</t>
  </si>
  <si>
    <t>20691</t>
  </si>
  <si>
    <t>(3236/2402)</t>
  </si>
  <si>
    <t>20692</t>
  </si>
  <si>
    <t>(3236/2403)</t>
  </si>
  <si>
    <t>20693</t>
  </si>
  <si>
    <t>(3236/2404)</t>
  </si>
  <si>
    <t>20694</t>
  </si>
  <si>
    <t>(3236/2405)</t>
  </si>
  <si>
    <t>20695</t>
  </si>
  <si>
    <t>(3236/2406)</t>
  </si>
  <si>
    <t>20696</t>
  </si>
  <si>
    <t>(3236/2407)</t>
  </si>
  <si>
    <t>20697</t>
  </si>
  <si>
    <t>(3236/2408)</t>
  </si>
  <si>
    <t>20703</t>
  </si>
  <si>
    <t>(3236/2409)</t>
  </si>
  <si>
    <t>20704</t>
  </si>
  <si>
    <t>(3236/2411)</t>
  </si>
  <si>
    <t>22141</t>
  </si>
  <si>
    <t>(3236/2412)</t>
  </si>
  <si>
    <t>22142</t>
  </si>
  <si>
    <t>(3236/2414)</t>
  </si>
  <si>
    <t>20698</t>
  </si>
  <si>
    <t>(3236/2415)</t>
  </si>
  <si>
    <t>20699</t>
  </si>
  <si>
    <t>(3236/2416)</t>
  </si>
  <si>
    <t>20700</t>
  </si>
  <si>
    <t>(3236/2417)</t>
  </si>
  <si>
    <t>20701</t>
  </si>
  <si>
    <t>(3236/2419)</t>
  </si>
  <si>
    <t>MikroTik RB2011UiAS-RM by SNMP</t>
  </si>
  <si>
    <t>20719</t>
  </si>
  <si>
    <t>(3236/2420)</t>
  </si>
  <si>
    <t>20720</t>
  </si>
  <si>
    <t>(3236/2421)</t>
  </si>
  <si>
    <t>20721</t>
  </si>
  <si>
    <t>(3236/2422)</t>
  </si>
  <si>
    <t>20722</t>
  </si>
  <si>
    <t>(3236/2423)</t>
  </si>
  <si>
    <t>20723</t>
  </si>
  <si>
    <t>(3236/2424)</t>
  </si>
  <si>
    <t>20724</t>
  </si>
  <si>
    <t>(3236/2425)</t>
  </si>
  <si>
    <t>20725</t>
  </si>
  <si>
    <t>(3236/2426)</t>
  </si>
  <si>
    <t>20731</t>
  </si>
  <si>
    <t>(3236/2427)</t>
  </si>
  <si>
    <t>20732</t>
  </si>
  <si>
    <t>(3236/2429)</t>
  </si>
  <si>
    <t>22151</t>
  </si>
  <si>
    <t>(3236/2430)</t>
  </si>
  <si>
    <t>22152</t>
  </si>
  <si>
    <t>(3236/2432)</t>
  </si>
  <si>
    <t>20726</t>
  </si>
  <si>
    <t>(3236/2433)</t>
  </si>
  <si>
    <t>20727</t>
  </si>
  <si>
    <t>(3236/2434)</t>
  </si>
  <si>
    <t>20728</t>
  </si>
  <si>
    <t>(3236/2435)</t>
  </si>
  <si>
    <t>20729</t>
  </si>
  <si>
    <t>(3236/2437)</t>
  </si>
  <si>
    <t>MikroTik RB2011iL-IN by SNMP</t>
  </si>
  <si>
    <t>20747</t>
  </si>
  <si>
    <t>(3236/2438)</t>
  </si>
  <si>
    <t>20748</t>
  </si>
  <si>
    <t>(3236/2439)</t>
  </si>
  <si>
    <t>20749</t>
  </si>
  <si>
    <t>(3236/2440)</t>
  </si>
  <si>
    <t>20750</t>
  </si>
  <si>
    <t>(3236/2441)</t>
  </si>
  <si>
    <t>20751</t>
  </si>
  <si>
    <t>(3236/2442)</t>
  </si>
  <si>
    <t>20752</t>
  </si>
  <si>
    <t>(3236/2443)</t>
  </si>
  <si>
    <t>20753</t>
  </si>
  <si>
    <t>(3236/2444)</t>
  </si>
  <si>
    <t>20759</t>
  </si>
  <si>
    <t>(3236/2445)</t>
  </si>
  <si>
    <t>20760</t>
  </si>
  <si>
    <t>(3236/2447)</t>
  </si>
  <si>
    <t>22161</t>
  </si>
  <si>
    <t>(3236/2448)</t>
  </si>
  <si>
    <t>22162</t>
  </si>
  <si>
    <t>(3236/2450)</t>
  </si>
  <si>
    <t>20754</t>
  </si>
  <si>
    <t>(3236/2451)</t>
  </si>
  <si>
    <t>20755</t>
  </si>
  <si>
    <t>(3236/2452)</t>
  </si>
  <si>
    <t>20756</t>
  </si>
  <si>
    <t>(3236/2453)</t>
  </si>
  <si>
    <t>20757</t>
  </si>
  <si>
    <t>(3236/2455)</t>
  </si>
  <si>
    <t>MikroTik RB2011iL-RM by SNMP</t>
  </si>
  <si>
    <t>20775</t>
  </si>
  <si>
    <t>(3236/2456)</t>
  </si>
  <si>
    <t>20776</t>
  </si>
  <si>
    <t>(3236/2457)</t>
  </si>
  <si>
    <t>20777</t>
  </si>
  <si>
    <t>(3236/2458)</t>
  </si>
  <si>
    <t>20778</t>
  </si>
  <si>
    <t>(3236/2459)</t>
  </si>
  <si>
    <t>20779</t>
  </si>
  <si>
    <t>(3236/2460)</t>
  </si>
  <si>
    <t>20780</t>
  </si>
  <si>
    <t>(3236/2461)</t>
  </si>
  <si>
    <t>20781</t>
  </si>
  <si>
    <t>(3236/2462)</t>
  </si>
  <si>
    <t>20787</t>
  </si>
  <si>
    <t>(3236/2463)</t>
  </si>
  <si>
    <t>20788</t>
  </si>
  <si>
    <t>(3236/2465)</t>
  </si>
  <si>
    <t>22171</t>
  </si>
  <si>
    <t>(3236/2466)</t>
  </si>
  <si>
    <t>22172</t>
  </si>
  <si>
    <t>(3236/2468)</t>
  </si>
  <si>
    <t>20782</t>
  </si>
  <si>
    <t>(3236/2469)</t>
  </si>
  <si>
    <t>20783</t>
  </si>
  <si>
    <t>(3236/2470)</t>
  </si>
  <si>
    <t>20784</t>
  </si>
  <si>
    <t>(3236/2471)</t>
  </si>
  <si>
    <t>20785</t>
  </si>
  <si>
    <t>(3236/2473)</t>
  </si>
  <si>
    <t>MikroTik RB2011iLS-IN by SNMP</t>
  </si>
  <si>
    <t>20803</t>
  </si>
  <si>
    <t>(3236/2474)</t>
  </si>
  <si>
    <t>20804</t>
  </si>
  <si>
    <t>(3236/2475)</t>
  </si>
  <si>
    <t>20805</t>
  </si>
  <si>
    <t>(3236/2476)</t>
  </si>
  <si>
    <t>20806</t>
  </si>
  <si>
    <t>(3236/2477)</t>
  </si>
  <si>
    <t>20807</t>
  </si>
  <si>
    <t>(3236/2478)</t>
  </si>
  <si>
    <t>20808</t>
  </si>
  <si>
    <t>(3236/2479)</t>
  </si>
  <si>
    <t>20809</t>
  </si>
  <si>
    <t>(3236/2480)</t>
  </si>
  <si>
    <t>20815</t>
  </si>
  <si>
    <t>(3236/2481)</t>
  </si>
  <si>
    <t>20816</t>
  </si>
  <si>
    <t>(3236/2483)</t>
  </si>
  <si>
    <t>22181</t>
  </si>
  <si>
    <t>(3236/2484)</t>
  </si>
  <si>
    <t>22182</t>
  </si>
  <si>
    <t>(3236/2486)</t>
  </si>
  <si>
    <t>20810</t>
  </si>
  <si>
    <t>(3236/2487)</t>
  </si>
  <si>
    <t>20811</t>
  </si>
  <si>
    <t>(3236/2488)</t>
  </si>
  <si>
    <t>20812</t>
  </si>
  <si>
    <t>(3236/2489)</t>
  </si>
  <si>
    <t>20813</t>
  </si>
  <si>
    <t>(3236/2491)</t>
  </si>
  <si>
    <t>MikroTik RB260GS by SNMP</t>
  </si>
  <si>
    <t>20859</t>
  </si>
  <si>
    <t>(3236/2492)</t>
  </si>
  <si>
    <t>20860</t>
  </si>
  <si>
    <t>(3236/2493)</t>
  </si>
  <si>
    <t>20861</t>
  </si>
  <si>
    <t>(3236/2494)</t>
  </si>
  <si>
    <t>20862</t>
  </si>
  <si>
    <t>(3236/2495)</t>
  </si>
  <si>
    <t>20863</t>
  </si>
  <si>
    <t>(3236/2496)</t>
  </si>
  <si>
    <t>20864</t>
  </si>
  <si>
    <t>(3236/2497)</t>
  </si>
  <si>
    <t>20865</t>
  </si>
  <si>
    <t>(3236/2498)</t>
  </si>
  <si>
    <t>20871</t>
  </si>
  <si>
    <t>(3236/2499)</t>
  </si>
  <si>
    <t>20872</t>
  </si>
  <si>
    <t>(3236/2501)</t>
  </si>
  <si>
    <t>22201</t>
  </si>
  <si>
    <t>(3236/2502)</t>
  </si>
  <si>
    <t>22202</t>
  </si>
  <si>
    <t>(3236/2504)</t>
  </si>
  <si>
    <t>20866</t>
  </si>
  <si>
    <t>(3236/2505)</t>
  </si>
  <si>
    <t>20867</t>
  </si>
  <si>
    <t>(3236/2506)</t>
  </si>
  <si>
    <t>20868</t>
  </si>
  <si>
    <t>(3236/2507)</t>
  </si>
  <si>
    <t>20869</t>
  </si>
  <si>
    <t>(3236/2509)</t>
  </si>
  <si>
    <t>MikroTik RB260GSP by SNMP</t>
  </si>
  <si>
    <t>20831</t>
  </si>
  <si>
    <t>(3236/2510)</t>
  </si>
  <si>
    <t>20832</t>
  </si>
  <si>
    <t>(3236/2511)</t>
  </si>
  <si>
    <t>20833</t>
  </si>
  <si>
    <t>(3236/2512)</t>
  </si>
  <si>
    <t>20834</t>
  </si>
  <si>
    <t>(3236/2513)</t>
  </si>
  <si>
    <t>20835</t>
  </si>
  <si>
    <t>(3236/2514)</t>
  </si>
  <si>
    <t>20836</t>
  </si>
  <si>
    <t>(3236/2515)</t>
  </si>
  <si>
    <t>20837</t>
  </si>
  <si>
    <t>(3236/2516)</t>
  </si>
  <si>
    <t>20843</t>
  </si>
  <si>
    <t>(3236/2517)</t>
  </si>
  <si>
    <t>20844</t>
  </si>
  <si>
    <t>(3236/2519)</t>
  </si>
  <si>
    <t>22191</t>
  </si>
  <si>
    <t>(3236/2520)</t>
  </si>
  <si>
    <t>22192</t>
  </si>
  <si>
    <t>(3236/2522)</t>
  </si>
  <si>
    <t>20838</t>
  </si>
  <si>
    <t>(3236/2523)</t>
  </si>
  <si>
    <t>20839</t>
  </si>
  <si>
    <t>(3236/2524)</t>
  </si>
  <si>
    <t>20840</t>
  </si>
  <si>
    <t>(3236/2525)</t>
  </si>
  <si>
    <t>20841</t>
  </si>
  <si>
    <t>(3236/2527)</t>
  </si>
  <si>
    <t>MikroTik RB3011UiAS-RM by SNMP</t>
  </si>
  <si>
    <t>20887</t>
  </si>
  <si>
    <t>(3236/2528)</t>
  </si>
  <si>
    <t>20888</t>
  </si>
  <si>
    <t>(3236/2529)</t>
  </si>
  <si>
    <t>20889</t>
  </si>
  <si>
    <t>(3236/2530)</t>
  </si>
  <si>
    <t>20890</t>
  </si>
  <si>
    <t>(3236/2531)</t>
  </si>
  <si>
    <t>20891</t>
  </si>
  <si>
    <t>(3236/2532)</t>
  </si>
  <si>
    <t>20892</t>
  </si>
  <si>
    <t>(3236/2533)</t>
  </si>
  <si>
    <t>20893</t>
  </si>
  <si>
    <t>(3236/2534)</t>
  </si>
  <si>
    <t>20899</t>
  </si>
  <si>
    <t>(3236/2535)</t>
  </si>
  <si>
    <t>20900</t>
  </si>
  <si>
    <t>(3236/2537)</t>
  </si>
  <si>
    <t>22211</t>
  </si>
  <si>
    <t>(3236/2538)</t>
  </si>
  <si>
    <t>22212</t>
  </si>
  <si>
    <t>(3236/2540)</t>
  </si>
  <si>
    <t>20894</t>
  </si>
  <si>
    <t>(3236/2541)</t>
  </si>
  <si>
    <t>20895</t>
  </si>
  <si>
    <t>(3236/2542)</t>
  </si>
  <si>
    <t>20896</t>
  </si>
  <si>
    <t>(3236/2543)</t>
  </si>
  <si>
    <t>20897</t>
  </si>
  <si>
    <t>(3236/2545)</t>
  </si>
  <si>
    <t>MikroTik RB4011iGSRM by SNMP</t>
  </si>
  <si>
    <t>20915</t>
  </si>
  <si>
    <t>(3236/2546)</t>
  </si>
  <si>
    <t>20916</t>
  </si>
  <si>
    <t>(3236/2547)</t>
  </si>
  <si>
    <t>20917</t>
  </si>
  <si>
    <t>(3236/2548)</t>
  </si>
  <si>
    <t>20918</t>
  </si>
  <si>
    <t>(3236/2549)</t>
  </si>
  <si>
    <t>20919</t>
  </si>
  <si>
    <t>(3236/2550)</t>
  </si>
  <si>
    <t>20920</t>
  </si>
  <si>
    <t>(3236/2551)</t>
  </si>
  <si>
    <t>20921</t>
  </si>
  <si>
    <t>(3236/2552)</t>
  </si>
  <si>
    <t>20927</t>
  </si>
  <si>
    <t>(3236/2553)</t>
  </si>
  <si>
    <t>20928</t>
  </si>
  <si>
    <t>(3236/2555)</t>
  </si>
  <si>
    <t>22221</t>
  </si>
  <si>
    <t>(3236/2556)</t>
  </si>
  <si>
    <t>22222</t>
  </si>
  <si>
    <t>(3236/2558)</t>
  </si>
  <si>
    <t>20922</t>
  </si>
  <si>
    <t>(3236/2559)</t>
  </si>
  <si>
    <t>20923</t>
  </si>
  <si>
    <t>(3236/2560)</t>
  </si>
  <si>
    <t>20924</t>
  </si>
  <si>
    <t>(3236/2561)</t>
  </si>
  <si>
    <t>20925</t>
  </si>
  <si>
    <t>(3236/2563)</t>
  </si>
  <si>
    <t>MikroTik RB5009UGSIN by SNMP</t>
  </si>
  <si>
    <t>20943</t>
  </si>
  <si>
    <t>(3236/2564)</t>
  </si>
  <si>
    <t>20944</t>
  </si>
  <si>
    <t>(3236/2565)</t>
  </si>
  <si>
    <t>20945</t>
  </si>
  <si>
    <t>(3236/2566)</t>
  </si>
  <si>
    <t>20946</t>
  </si>
  <si>
    <t>(3236/2567)</t>
  </si>
  <si>
    <t>20947</t>
  </si>
  <si>
    <t>(3236/2568)</t>
  </si>
  <si>
    <t>20948</t>
  </si>
  <si>
    <t>(3236/2569)</t>
  </si>
  <si>
    <t>20949</t>
  </si>
  <si>
    <t>(3236/2570)</t>
  </si>
  <si>
    <t>20955</t>
  </si>
  <si>
    <t>(3236/2571)</t>
  </si>
  <si>
    <t>20956</t>
  </si>
  <si>
    <t>(3236/2573)</t>
  </si>
  <si>
    <t>22231</t>
  </si>
  <si>
    <t>(3236/2574)</t>
  </si>
  <si>
    <t>22232</t>
  </si>
  <si>
    <t>(3236/2576)</t>
  </si>
  <si>
    <t>20950</t>
  </si>
  <si>
    <t>(3236/2577)</t>
  </si>
  <si>
    <t>20951</t>
  </si>
  <si>
    <t>(3236/2578)</t>
  </si>
  <si>
    <t>20952</t>
  </si>
  <si>
    <t>(3236/2579)</t>
  </si>
  <si>
    <t>20953</t>
  </si>
  <si>
    <t>(3236/2581)</t>
  </si>
  <si>
    <t>MikroTik hEX PoE by SNMP</t>
  </si>
  <si>
    <t>20999</t>
  </si>
  <si>
    <t>(3236/2582)</t>
  </si>
  <si>
    <t>21000</t>
  </si>
  <si>
    <t>(3236/2583)</t>
  </si>
  <si>
    <t>21001</t>
  </si>
  <si>
    <t>(3236/2584)</t>
  </si>
  <si>
    <t>21002</t>
  </si>
  <si>
    <t>(3236/2585)</t>
  </si>
  <si>
    <t>21003</t>
  </si>
  <si>
    <t>(3236/2586)</t>
  </si>
  <si>
    <t>21004</t>
  </si>
  <si>
    <t>(3236/2587)</t>
  </si>
  <si>
    <t>21005</t>
  </si>
  <si>
    <t>(3236/2588)</t>
  </si>
  <si>
    <t>21011</t>
  </si>
  <si>
    <t>(3236/2589)</t>
  </si>
  <si>
    <t>21012</t>
  </si>
  <si>
    <t>(3236/2591)</t>
  </si>
  <si>
    <t>22251</t>
  </si>
  <si>
    <t>(3236/2592)</t>
  </si>
  <si>
    <t>22252</t>
  </si>
  <si>
    <t>(3236/2594)</t>
  </si>
  <si>
    <t>21006</t>
  </si>
  <si>
    <t>(3236/2595)</t>
  </si>
  <si>
    <t>21007</t>
  </si>
  <si>
    <t>(3236/2596)</t>
  </si>
  <si>
    <t>21008</t>
  </si>
  <si>
    <t>(3236/2597)</t>
  </si>
  <si>
    <t>21009</t>
  </si>
  <si>
    <t>(3236/2599)</t>
  </si>
  <si>
    <t>MikroTik hEX PoE lite by SNMP</t>
  </si>
  <si>
    <t>20971</t>
  </si>
  <si>
    <t>(3236/2600)</t>
  </si>
  <si>
    <t>20972</t>
  </si>
  <si>
    <t>(3236/2601)</t>
  </si>
  <si>
    <t>20973</t>
  </si>
  <si>
    <t>(3236/2602)</t>
  </si>
  <si>
    <t>20974</t>
  </si>
  <si>
    <t>(3236/2603)</t>
  </si>
  <si>
    <t>20975</t>
  </si>
  <si>
    <t>(3236/2604)</t>
  </si>
  <si>
    <t>20976</t>
  </si>
  <si>
    <t>(3236/2605)</t>
  </si>
  <si>
    <t>20977</t>
  </si>
  <si>
    <t>(3236/2606)</t>
  </si>
  <si>
    <t>20983</t>
  </si>
  <si>
    <t>(3236/2607)</t>
  </si>
  <si>
    <t>20984</t>
  </si>
  <si>
    <t>(3236/2609)</t>
  </si>
  <si>
    <t>22241</t>
  </si>
  <si>
    <t>(3236/2610)</t>
  </si>
  <si>
    <t>22242</t>
  </si>
  <si>
    <t>(3236/2612)</t>
  </si>
  <si>
    <t>20978</t>
  </si>
  <si>
    <t>(3236/2613)</t>
  </si>
  <si>
    <t>20979</t>
  </si>
  <si>
    <t>(3236/2614)</t>
  </si>
  <si>
    <t>20980</t>
  </si>
  <si>
    <t>(3236/2615)</t>
  </si>
  <si>
    <t>20981</t>
  </si>
  <si>
    <t>(3236/2617)</t>
  </si>
  <si>
    <t>MikroTik hEX S by SNMP</t>
  </si>
  <si>
    <t>21027</t>
  </si>
  <si>
    <t>(3236/2618)</t>
  </si>
  <si>
    <t>21028</t>
  </si>
  <si>
    <t>(3236/2619)</t>
  </si>
  <si>
    <t>21029</t>
  </si>
  <si>
    <t>(3236/2620)</t>
  </si>
  <si>
    <t>21030</t>
  </si>
  <si>
    <t>(3236/2621)</t>
  </si>
  <si>
    <t>21031</t>
  </si>
  <si>
    <t>(3236/2622)</t>
  </si>
  <si>
    <t>21032</t>
  </si>
  <si>
    <t>(3236/2623)</t>
  </si>
  <si>
    <t>21033</t>
  </si>
  <si>
    <t>(3236/2624)</t>
  </si>
  <si>
    <t>21039</t>
  </si>
  <si>
    <t>(3236/2625)</t>
  </si>
  <si>
    <t>21040</t>
  </si>
  <si>
    <t>(3236/2627)</t>
  </si>
  <si>
    <t>22261</t>
  </si>
  <si>
    <t>(3236/2628)</t>
  </si>
  <si>
    <t>22262</t>
  </si>
  <si>
    <t>(3236/2630)</t>
  </si>
  <si>
    <t>21034</t>
  </si>
  <si>
    <t>(3236/2631)</t>
  </si>
  <si>
    <t>21035</t>
  </si>
  <si>
    <t>(3236/2632)</t>
  </si>
  <si>
    <t>21036</t>
  </si>
  <si>
    <t>(3236/2633)</t>
  </si>
  <si>
    <t>21037</t>
  </si>
  <si>
    <t>(3236/2635)</t>
  </si>
  <si>
    <t>MikroTik hEX by SNMP</t>
  </si>
  <si>
    <t>21083</t>
  </si>
  <si>
    <t>(3236/2636)</t>
  </si>
  <si>
    <t>21084</t>
  </si>
  <si>
    <t>(3236/2637)</t>
  </si>
  <si>
    <t>21085</t>
  </si>
  <si>
    <t>(3236/2638)</t>
  </si>
  <si>
    <t>21086</t>
  </si>
  <si>
    <t>(3236/2639)</t>
  </si>
  <si>
    <t>21087</t>
  </si>
  <si>
    <t>(3236/2640)</t>
  </si>
  <si>
    <t>21088</t>
  </si>
  <si>
    <t>(3236/2641)</t>
  </si>
  <si>
    <t>21089</t>
  </si>
  <si>
    <t>(3236/2642)</t>
  </si>
  <si>
    <t>21095</t>
  </si>
  <si>
    <t>(3236/2643)</t>
  </si>
  <si>
    <t>21096</t>
  </si>
  <si>
    <t>(3236/2645)</t>
  </si>
  <si>
    <t>22281</t>
  </si>
  <si>
    <t>(3236/2646)</t>
  </si>
  <si>
    <t>22282</t>
  </si>
  <si>
    <t>(3236/2648)</t>
  </si>
  <si>
    <t>21090</t>
  </si>
  <si>
    <t>(3236/2649)</t>
  </si>
  <si>
    <t>21091</t>
  </si>
  <si>
    <t>(3236/2650)</t>
  </si>
  <si>
    <t>21092</t>
  </si>
  <si>
    <t>(3236/2651)</t>
  </si>
  <si>
    <t>21093</t>
  </si>
  <si>
    <t>(3236/2653)</t>
  </si>
  <si>
    <t>MikroTik hEX lite by SNMP</t>
  </si>
  <si>
    <t>21055</t>
  </si>
  <si>
    <t>(3236/2654)</t>
  </si>
  <si>
    <t>21056</t>
  </si>
  <si>
    <t>(3236/2655)</t>
  </si>
  <si>
    <t>21057</t>
  </si>
  <si>
    <t>(3236/2656)</t>
  </si>
  <si>
    <t>21058</t>
  </si>
  <si>
    <t>(3236/2657)</t>
  </si>
  <si>
    <t>21059</t>
  </si>
  <si>
    <t>(3236/2658)</t>
  </si>
  <si>
    <t>21060</t>
  </si>
  <si>
    <t>(3236/2659)</t>
  </si>
  <si>
    <t>21061</t>
  </si>
  <si>
    <t>(3236/2660)</t>
  </si>
  <si>
    <t>21067</t>
  </si>
  <si>
    <t>(3236/2661)</t>
  </si>
  <si>
    <t>21068</t>
  </si>
  <si>
    <t>(3236/2663)</t>
  </si>
  <si>
    <t>22271</t>
  </si>
  <si>
    <t>(3236/2664)</t>
  </si>
  <si>
    <t>22272</t>
  </si>
  <si>
    <t>(3236/2666)</t>
  </si>
  <si>
    <t>21062</t>
  </si>
  <si>
    <t>(3236/2667)</t>
  </si>
  <si>
    <t>21063</t>
  </si>
  <si>
    <t>(3236/2668)</t>
  </si>
  <si>
    <t>21064</t>
  </si>
  <si>
    <t>(3236/2669)</t>
  </si>
  <si>
    <t>21065</t>
  </si>
  <si>
    <t>(3236/2671)</t>
  </si>
  <si>
    <t>MikroTik netPower 15FR by SNMP</t>
  </si>
  <si>
    <t>21111</t>
  </si>
  <si>
    <t>(3236/2672)</t>
  </si>
  <si>
    <t>21112</t>
  </si>
  <si>
    <t>(3236/2673)</t>
  </si>
  <si>
    <t>21113</t>
  </si>
  <si>
    <t>(3236/2674)</t>
  </si>
  <si>
    <t>21114</t>
  </si>
  <si>
    <t>(3236/2675)</t>
  </si>
  <si>
    <t>21115</t>
  </si>
  <si>
    <t>(3236/2676)</t>
  </si>
  <si>
    <t>21116</t>
  </si>
  <si>
    <t>(3236/2677)</t>
  </si>
  <si>
    <t>21117</t>
  </si>
  <si>
    <t>(3236/2678)</t>
  </si>
  <si>
    <t>21123</t>
  </si>
  <si>
    <t>(3236/2679)</t>
  </si>
  <si>
    <t>21124</t>
  </si>
  <si>
    <t>(3236/2681)</t>
  </si>
  <si>
    <t>22291</t>
  </si>
  <si>
    <t>(3236/2682)</t>
  </si>
  <si>
    <t>22292</t>
  </si>
  <si>
    <t>(3236/2684)</t>
  </si>
  <si>
    <t>21118</t>
  </si>
  <si>
    <t>(3236/2685)</t>
  </si>
  <si>
    <t>21119</t>
  </si>
  <si>
    <t>(3236/2686)</t>
  </si>
  <si>
    <t>21120</t>
  </si>
  <si>
    <t>(3236/2687)</t>
  </si>
  <si>
    <t>21121</t>
  </si>
  <si>
    <t>(3236/2689)</t>
  </si>
  <si>
    <t>MikroTik netPower 16P by SNMP</t>
  </si>
  <si>
    <t>21139</t>
  </si>
  <si>
    <t>(3236/2690)</t>
  </si>
  <si>
    <t>21140</t>
  </si>
  <si>
    <t>(3236/2691)</t>
  </si>
  <si>
    <t>21141</t>
  </si>
  <si>
    <t>(3236/2692)</t>
  </si>
  <si>
    <t>21142</t>
  </si>
  <si>
    <t>(3236/2693)</t>
  </si>
  <si>
    <t>21143</t>
  </si>
  <si>
    <t>(3236/2694)</t>
  </si>
  <si>
    <t>21144</t>
  </si>
  <si>
    <t>(3236/2695)</t>
  </si>
  <si>
    <t>21145</t>
  </si>
  <si>
    <t>(3236/2696)</t>
  </si>
  <si>
    <t>21151</t>
  </si>
  <si>
    <t>(3236/2697)</t>
  </si>
  <si>
    <t>21152</t>
  </si>
  <si>
    <t>(3236/2699)</t>
  </si>
  <si>
    <t>22301</t>
  </si>
  <si>
    <t>(3236/2700)</t>
  </si>
  <si>
    <t>22302</t>
  </si>
  <si>
    <t>(3236/2702)</t>
  </si>
  <si>
    <t>21146</t>
  </si>
  <si>
    <t>(3236/2703)</t>
  </si>
  <si>
    <t>21147</t>
  </si>
  <si>
    <t>(3236/2704)</t>
  </si>
  <si>
    <t>21148</t>
  </si>
  <si>
    <t>(3236/2705)</t>
  </si>
  <si>
    <t>21149</t>
  </si>
  <si>
    <t>(3236/2707)</t>
  </si>
  <si>
    <t>MikroTik netPower Lite 7R by SNMP</t>
  </si>
  <si>
    <t>21167</t>
  </si>
  <si>
    <t>(3236/2708)</t>
  </si>
  <si>
    <t>21168</t>
  </si>
  <si>
    <t>(3236/2709)</t>
  </si>
  <si>
    <t>21169</t>
  </si>
  <si>
    <t>(3236/2710)</t>
  </si>
  <si>
    <t>21170</t>
  </si>
  <si>
    <t>(3236/2711)</t>
  </si>
  <si>
    <t>21171</t>
  </si>
  <si>
    <t>(3236/2712)</t>
  </si>
  <si>
    <t>21172</t>
  </si>
  <si>
    <t>(3236/2713)</t>
  </si>
  <si>
    <t>21173</t>
  </si>
  <si>
    <t>(3236/2714)</t>
  </si>
  <si>
    <t>21179</t>
  </si>
  <si>
    <t>(3236/2715)</t>
  </si>
  <si>
    <t>21180</t>
  </si>
  <si>
    <t>(3236/2717)</t>
  </si>
  <si>
    <t>22311</t>
  </si>
  <si>
    <t>(3236/2718)</t>
  </si>
  <si>
    <t>22312</t>
  </si>
  <si>
    <t>(3236/2720)</t>
  </si>
  <si>
    <t>21174</t>
  </si>
  <si>
    <t>(3236/2721)</t>
  </si>
  <si>
    <t>21175</t>
  </si>
  <si>
    <t>(3236/2722)</t>
  </si>
  <si>
    <t>21176</t>
  </si>
  <si>
    <t>(3236/2723)</t>
  </si>
  <si>
    <t>21177</t>
  </si>
  <si>
    <t>(3236/2725)</t>
  </si>
  <si>
    <t>Mikrotik by SNMP</t>
  </si>
  <si>
    <t>16545</t>
  </si>
  <si>
    <t>(3236/2726)</t>
  </si>
  <si>
    <t>14664</t>
  </si>
  <si>
    <t>(3236/2727)</t>
  </si>
  <si>
    <t>14665</t>
  </si>
  <si>
    <t>(3236/2728)</t>
  </si>
  <si>
    <t>14666</t>
  </si>
  <si>
    <t>(3236/2729)</t>
  </si>
  <si>
    <t>17085</t>
  </si>
  <si>
    <t>(3236/2730)</t>
  </si>
  <si>
    <t>17086</t>
  </si>
  <si>
    <t>(3236/2731)</t>
  </si>
  <si>
    <t>17087</t>
  </si>
  <si>
    <t>(3236/2732)</t>
  </si>
  <si>
    <t>16546</t>
  </si>
  <si>
    <t>(3236/2733)</t>
  </si>
  <si>
    <t>16547</t>
  </si>
  <si>
    <t>(3236/2735)</t>
  </si>
  <si>
    <t>22321</t>
  </si>
  <si>
    <t>(3236/2736)</t>
  </si>
  <si>
    <t>22322</t>
  </si>
  <si>
    <t>(3236/2738)</t>
  </si>
  <si>
    <t>17406</t>
  </si>
  <si>
    <t>(3236/2739)</t>
  </si>
  <si>
    <t>17407</t>
  </si>
  <si>
    <t>(3236/2740)</t>
  </si>
  <si>
    <t>17408</t>
  </si>
  <si>
    <t>(3236/2741)</t>
  </si>
  <si>
    <t>17409</t>
  </si>
  <si>
    <t>(3236/2743)</t>
  </si>
  <si>
    <t>MongoDB node by Zabbix agent 2</t>
  </si>
  <si>
    <t>19011</t>
  </si>
  <si>
    <t>MongoDB: Node in ReplicaSet changed the state (new state: {ITEM.VALUE})</t>
  </si>
  <si>
    <t>MongoDB: ReplicaSet中的节点变更了状态(新状态: {ITEM.VALUE})</t>
  </si>
  <si>
    <t>(3236/2745)</t>
  </si>
  <si>
    <t>18229</t>
  </si>
  <si>
    <t>MongoDB: Replication lag with primary is too high (over {$MONGODB.REPL.LAG.MAX.WARN} in 5m)</t>
  </si>
  <si>
    <t>MongoDB: 主数据库的复制延迟太高(超过{$MONGODB.REPL.LAG.MAX.WARN}达5分钟)</t>
  </si>
  <si>
    <t>(3236/2746)</t>
  </si>
  <si>
    <t>18231</t>
  </si>
  <si>
    <t>MongoDB: Available WiredTiger read tickets less than {$MONGODB.WIRED_TIGER.TICKETS.AVAILABLE.MIN.WARN}</t>
  </si>
  <si>
    <t>MongoDB: 可用的WiredTiger读取票证少于{$MONGODB.WIRED_TIGER.TICKETS.AVAILABLE.MIN.WARN}</t>
  </si>
  <si>
    <t>(3236/2747)</t>
  </si>
  <si>
    <t>18232</t>
  </si>
  <si>
    <t>MongoDB: Available WiredTiger write tickets less than {$MONGODB.WIRED_TIGER.TICKETS.AVAILABLE.MIN.WARN}</t>
  </si>
  <si>
    <t>MongoDB: 可用的WiredTiger写入票证少于{$MONGODB.WIRED_TIGER.TICKETS.AVAILABLE.MIN.WARN}</t>
  </si>
  <si>
    <t>(3236/2748)</t>
  </si>
  <si>
    <t>Morningstar ProStar MPPT by SNMP</t>
  </si>
  <si>
    <t>17631</t>
  </si>
  <si>
    <t>Battery: Critically low battery voltage (below {#VOLTAGE.MIN.CRIT}V for 5m)</t>
  </si>
  <si>
    <t>Battery: 电池电压严重告警(低于{#VOLTAGE.MIN.CRIT}伏达5分钟)</t>
  </si>
  <si>
    <t>(3236/2749)</t>
  </si>
  <si>
    <t>17633</t>
  </si>
  <si>
    <t>Battery: Low battery voltage (below {#VOLTAGE.MIN.WARN}V for 5m)</t>
  </si>
  <si>
    <t>Battery: 电池电压告警(低于{#VOLTAGE.MIN.WARN}伏达5分钟)</t>
  </si>
  <si>
    <t>(3236/2750)</t>
  </si>
  <si>
    <t>17630</t>
  </si>
  <si>
    <t>Battery: Critically high battery voltage (over {#VOLTAGE.MAX.CRIT}V for 5m)</t>
  </si>
  <si>
    <t>Battery: 电池电压严重告警(超过{#VOLTAGE.MAX.CRIT}伏达5分钟)</t>
  </si>
  <si>
    <t>(3236/2751)</t>
  </si>
  <si>
    <t>17632</t>
  </si>
  <si>
    <t>Battery: High battery voltage (over {#VOLTAGE.MAX.WARN}V for 5m)</t>
  </si>
  <si>
    <t>Battery: 电池电压告警(超过{#VOLTAGE.MAX.WARN}伏达5分钟)</t>
  </si>
  <si>
    <t>(3236/2752)</t>
  </si>
  <si>
    <t>Morningstar ProStar PWM by SNMP</t>
  </si>
  <si>
    <t>17689</t>
  </si>
  <si>
    <t>(3236/2753)</t>
  </si>
  <si>
    <t>17691</t>
  </si>
  <si>
    <t>(3236/2754)</t>
  </si>
  <si>
    <t>17688</t>
  </si>
  <si>
    <t>(3236/2755)</t>
  </si>
  <si>
    <t>17690</t>
  </si>
  <si>
    <t>(3236/2756)</t>
  </si>
  <si>
    <t>Morningstar SunSaver MPPT by SNMP</t>
  </si>
  <si>
    <t>17733</t>
  </si>
  <si>
    <t>(3236/2757)</t>
  </si>
  <si>
    <t>17735</t>
  </si>
  <si>
    <t>(3236/2758)</t>
  </si>
  <si>
    <t>17732</t>
  </si>
  <si>
    <t>(3236/2759)</t>
  </si>
  <si>
    <t>17734</t>
  </si>
  <si>
    <t>(3236/2760)</t>
  </si>
  <si>
    <t>Morningstar SureSine by SNMP</t>
  </si>
  <si>
    <t>17753</t>
  </si>
  <si>
    <t>(3236/2761)</t>
  </si>
  <si>
    <t>17755</t>
  </si>
  <si>
    <t>(3236/2762)</t>
  </si>
  <si>
    <t>17752</t>
  </si>
  <si>
    <t>(3236/2763)</t>
  </si>
  <si>
    <t>17754</t>
  </si>
  <si>
    <t>(3236/2764)</t>
  </si>
  <si>
    <t>Morningstar TriStar MPPT 600V by SNMP</t>
  </si>
  <si>
    <t>17822</t>
  </si>
  <si>
    <t>(3236/2765)</t>
  </si>
  <si>
    <t>17824</t>
  </si>
  <si>
    <t>(3236/2766)</t>
  </si>
  <si>
    <t>17821</t>
  </si>
  <si>
    <t>(3236/2767)</t>
  </si>
  <si>
    <t>17823</t>
  </si>
  <si>
    <t>(3236/2768)</t>
  </si>
  <si>
    <t>Morningstar TriStar MPPT by SNMP</t>
  </si>
  <si>
    <t>17863</t>
  </si>
  <si>
    <t>(3236/2769)</t>
  </si>
  <si>
    <t>17865</t>
  </si>
  <si>
    <t>(3236/2770)</t>
  </si>
  <si>
    <t>17862</t>
  </si>
  <si>
    <t>(3236/2771)</t>
  </si>
  <si>
    <t>17864</t>
  </si>
  <si>
    <t>(3236/2774)</t>
  </si>
  <si>
    <t>Morningstar TriStar PWM by SNMP</t>
  </si>
  <si>
    <t>17902</t>
  </si>
  <si>
    <t>(3236/2775)</t>
  </si>
  <si>
    <t>17904</t>
  </si>
  <si>
    <t>(3236/2776)</t>
  </si>
  <si>
    <t>17901</t>
  </si>
  <si>
    <t>(3236/2777)</t>
  </si>
  <si>
    <t>17903</t>
  </si>
  <si>
    <t>(3236/2780)</t>
  </si>
  <si>
    <t>MySQL by ODBC</t>
  </si>
  <si>
    <t>16739</t>
  </si>
  <si>
    <t>MySQL: Replication lag is too high (over {$MYSQL.REPL_LAG.MAX.WARN} for 5m)</t>
  </si>
  <si>
    <t>MySQL: 复制延迟太高(超过{$MYSQL.REPL_LAG.MAX.WARN}达5分钟)</t>
  </si>
  <si>
    <t>(3236/2784)</t>
  </si>
  <si>
    <t>MySQL by Zabbix agent</t>
  </si>
  <si>
    <t>16727</t>
  </si>
  <si>
    <t>(3236/2788)</t>
  </si>
  <si>
    <t>MySQL by Zabbix agent 2</t>
  </si>
  <si>
    <t>16763</t>
  </si>
  <si>
    <t>(3236/2792)</t>
  </si>
  <si>
    <t>NGINX Plus by HTTP</t>
  </si>
  <si>
    <t>18972</t>
  </si>
  <si>
    <t>Nginx: Too many HTTP requests with code 4xx (over {$NGINX.HTTP.UPSTREAM.4XX.MAX.WARN}% for 5m)</t>
  </si>
  <si>
    <t>Nginx: 代码为4xx的HTTP请求太多(超过{$NGINX.HTTP.UPSTREAM.4XX.MAX.WARN}%达5分钟)</t>
  </si>
  <si>
    <t>(3236/2793)</t>
  </si>
  <si>
    <t>18973</t>
  </si>
  <si>
    <t>Nginx: Too many HTTP requests with code 5xx (over {$NGINX.HTTP.UPSTREAM.5XX.MAX.WARN}% for 5m)</t>
  </si>
  <si>
    <t>Nginx: 代码为5xx的HTTP请求太多(超过{$NGINX.HTTP.UPSTREAM.5XX.MAX.WARN}%达5分钟)</t>
  </si>
  <si>
    <t>(3236/2804)</t>
  </si>
  <si>
    <t>NetApp AFF A700 by HTTP</t>
  </si>
  <si>
    <t>18514</t>
  </si>
  <si>
    <t>{#NODENAME}: Version has changed (new version: {ITEM.VALUE})</t>
  </si>
  <si>
    <t>{#NODENAME}: 版本已变更(新版本: {ITEM.VALUE})</t>
  </si>
  <si>
    <t>(3236/2806)</t>
  </si>
  <si>
    <t>18517</t>
  </si>
  <si>
    <t>{#NODENAME}: Node has been restarted (uptime &lt; 10m)</t>
  </si>
  <si>
    <t>{#NODENAME}: 节点已经重启(正常运行时间&lt;10分钟)</t>
  </si>
  <si>
    <t>(3236/2810)</t>
  </si>
  <si>
    <t>NetApp FAS3220 by SNMP</t>
  </si>
  <si>
    <t>17936</t>
  </si>
  <si>
    <t>Node {#NODE.NAME}: High CPU utilization (over {$CPU.UTIL.CRIT}% for 5m)</t>
  </si>
  <si>
    <t>节点{#NODE.NAME}: CPU使用率高了(超过{$CPU.UTIL.CRIT}%达5分钟)</t>
  </si>
  <si>
    <t>(3236/2818)</t>
  </si>
  <si>
    <t>17935</t>
  </si>
  <si>
    <t>Node {#NODE.NAME}: {HOST.NAME} has been restarted (uptime &lt; 10m)</t>
  </si>
  <si>
    <t>节点{#NODE.NAME}: {HOST.NAME}已重启(正常运行时间&lt;10分钟)</t>
  </si>
  <si>
    <t>(3236/2820)</t>
  </si>
  <si>
    <t>18206</t>
  </si>
  <si>
    <t>Node {#NODE}: port {#IFNAME} ({#TYPE}): High error rate (&gt;{$IF.ERRORS.WARN:"{#IFNAME}"} for 5m)</t>
  </si>
  <si>
    <t>节点{#NODE}: 端口{#IFNAME}({#TYPE}): 错误率高了(&gt;{$IF.ERRORS.WARN: "{#IFNAME}"}达5分钟)</t>
  </si>
  <si>
    <t>(3236/2822)</t>
  </si>
  <si>
    <t>17937</t>
  </si>
  <si>
    <t>{#VSERVER}{#FSNAME}: Disk space is too low (below {$FAS3220.FS.AVAIL.MIN.CRIT:"{#FSNAME}"} for {$FAS3220.FS.TIME:"{#FSNAME}"})</t>
  </si>
  <si>
    <t>{#VSERVER}{#FSNAME}: 磁盘空间太低(低于{$FAS3220.FS.AVAIL.MIN.CRIT: "{#FSNAME}"}达{$FAS3220.FS.TIME: "{#FSNAME}"})</t>
  </si>
  <si>
    <t>(3236/2823)</t>
  </si>
  <si>
    <t>17938</t>
  </si>
  <si>
    <t>{#VSERVER}{#FSNAME}: Disk space is too low (used over {$FAS3220.FS.PUSED.MAX.CRIT:"{#FSNAME}"}% for {$FAS3220.FS.TIME:"{#FSNAME}"})</t>
  </si>
  <si>
    <t>{#VSERVER}{#FSNAME}: 磁盘空间太低(使用率超过{$FAS3220.FS.PUSED.MAX.CRIT: "{#FSNAME}"}%达{$FAS3220.FS.TIME: "{#FSNAME}"})</t>
  </si>
  <si>
    <t>(3236/2826)</t>
  </si>
  <si>
    <t>Netgear Fastpath by SNMP</t>
  </si>
  <si>
    <t>17909</t>
  </si>
  <si>
    <t>(3236/2827)</t>
  </si>
  <si>
    <t>17910</t>
  </si>
  <si>
    <t>(3236/2828)</t>
  </si>
  <si>
    <t>14683</t>
  </si>
  <si>
    <t>(3236/2829)</t>
  </si>
  <si>
    <t>22331</t>
  </si>
  <si>
    <t>(3236/2830)</t>
  </si>
  <si>
    <t>22332</t>
  </si>
  <si>
    <t>(3236/2833)</t>
  </si>
  <si>
    <t>Network Generic Device by SNMP</t>
  </si>
  <si>
    <t>21716</t>
  </si>
  <si>
    <t>(3236/2835)</t>
  </si>
  <si>
    <t>21717</t>
  </si>
  <si>
    <t>(3236/2838)</t>
  </si>
  <si>
    <t>Nextcloud by HTTP</t>
  </si>
  <si>
    <t>23319</t>
  </si>
  <si>
    <t>Nextcloud: User "{#NEXTCLOUD.USER}": inactive over {$NEXTCLOUD.USER.MAX.INACTIVE:"{#NEXTCLOUD.USER}"} days</t>
  </si>
  <si>
    <t>Nextcloud: 用户"{#NEXTCLOUD.USER}": 已超过 {$NEXTCLOUD.USER.MAX.INACTIVE: "{#NEXTCLOUD.USER}"} 天未活跃</t>
  </si>
  <si>
    <t>(3236/2839)</t>
  </si>
  <si>
    <t>23320</t>
  </si>
  <si>
    <t>Nextcloud: User "{#NEXTCLOUD.USER}" High quota utilization (&gt;{$NEXTCLOUD.USER.QUOTA.PUSED.MAX:"{#NEXTCLOUD.USER}"}% for 5m)</t>
  </si>
  <si>
    <t>Nextcloud: 用户"{#NEXTCLOUD.USER}" 高配额使用率(过去 5 分钟超过 {$NEXTCLOUD.USER.QUOTA.PUSED.MAX: "{#NEXTCLOUD.USER}"}%)</t>
  </si>
  <si>
    <t>(3236/2841)</t>
  </si>
  <si>
    <t>OPNsense by SNMP</t>
  </si>
  <si>
    <t>22957</t>
  </si>
  <si>
    <t>OPNsense: Interface [{#IFNAME}({#IFALIAS})]: High inbound bandwidth usage ( &gt; {$IF.UTIL.MAX:"{#IFNAME}"}% )</t>
  </si>
  <si>
    <t>OPNsense: 接口[{#IFNAME}({#IFALIAS})]: 进方向带宽使用率高了(&gt;{$IF.UTIL.MAX: "{#IFNAME}"}%)</t>
  </si>
  <si>
    <t>(3236/2842)</t>
  </si>
  <si>
    <t>22958</t>
  </si>
  <si>
    <t>OPNsense: Interface [{#IFNAME}({#IFALIAS})]: High outbound bandwidth usage ( &gt; {$IF.UTIL.MAX:"{#IFNAME}"}% )</t>
  </si>
  <si>
    <t>OPNsense: 接口[{#IFNAME}({#IFALIAS})]: 出方向带宽使用率高了(&gt;{$IF.UTIL.MAX: "{#IFNAME}"}%)</t>
  </si>
  <si>
    <t>(3236/2843)</t>
  </si>
  <si>
    <t>22959</t>
  </si>
  <si>
    <t>OPNsense: Interface [{#IFNAME}({#IFALIAS})]: High input error rate ( &gt; {$IF.ERRORS.WARN:"{#IFNAME}"} for 5m)</t>
  </si>
  <si>
    <t>OPNsense: 接口[{#IFNAME}({#IFALIAS})]: 输入错误率高了(&gt;{$IF.ERRORS.WARN: "{#IFNAME}"}达5分钟)</t>
  </si>
  <si>
    <t>(3236/2846)</t>
  </si>
  <si>
    <t>22960</t>
  </si>
  <si>
    <t>OPNsense: Interface [{#IFNAME}({#IFALIAS})]: High output error rate ( &gt; {$IF.ERRORS.WARN:"{#IFNAME}"} for 5m)</t>
  </si>
  <si>
    <t>OPNsense: 接口[{#IFNAME}({#IFALIAS})]: 输出错误率高了(&gt;{$IF.ERRORS.WARN: "{#IFNAME}"}达5分钟)</t>
  </si>
  <si>
    <t>(3236/2857)</t>
  </si>
  <si>
    <t>OpenWeatherMap by HTTP</t>
  </si>
  <si>
    <t>22588</t>
  </si>
  <si>
    <t>[{#LOCATION}, {#COUNTRY}]: Temperature is too low (below {$TEMP.CRIT.LOW} for 30m)</t>
  </si>
  <si>
    <t>[{#LOCATION},{#COUNTRY}]: 温度太低(低于{$TEMP.CRIT.LOW}达30分钟)</t>
  </si>
  <si>
    <t>(3236/2858)</t>
  </si>
  <si>
    <t>22587</t>
  </si>
  <si>
    <t>[{#LOCATION}, {#COUNTRY}]: Temperature is too high (over {$TEMP.CRIT.HIGH} for 30m)</t>
  </si>
  <si>
    <t>[{#LOCATION},{#COUNTRY}]: 温度太高(超过{$TEMP.CRIT.HIGH}达30分钟)</t>
  </si>
  <si>
    <t>(3236/2861)</t>
  </si>
  <si>
    <t>Oracle Cloud Compute by HTTP</t>
  </si>
  <si>
    <t>23551</t>
  </si>
  <si>
    <t>VNIC [{#NAME}]: Current conntrack table utilization is high (util &gt;= {$OCI.COMPUTE.VNIC.CONNTRACK.UTIL.WARN}%)</t>
  </si>
  <si>
    <t>VNIC [{#NAME}]: 当前连接跟踪表利用率高了(利用率 &gt;= {$OCI.COMPUTE.VNIC.CONNTRACK.UTIL.WARN}%)</t>
  </si>
  <si>
    <t>(3236/2862)</t>
  </si>
  <si>
    <t>23552</t>
  </si>
  <si>
    <t>VNIC [{#NAME}]: Current conntrack table utilization is too high (util &gt;= {$OCI.COMPUTE.VNIC.CONNTRACK.UTIL.HIGH}%)</t>
  </si>
  <si>
    <t>VNIC [{#NAME}]: 当前连接跟踪表利用率高了(利用率 &gt;= {$OCI.COMPUTE.VNIC.CONNTRACK.UTIL.HIGH}%)</t>
  </si>
  <si>
    <t>(3236/2866)</t>
  </si>
  <si>
    <t>Oracle by ODBC</t>
  </si>
  <si>
    <t>23090</t>
  </si>
  <si>
    <t>ASM '{#DGNAME}': Disk group usage is too high (over {$ORACLE.ASM.USED.PCT.MAX.HIGH}% for 5m)</t>
  </si>
  <si>
    <t>ASM '{#DGNAME}': 磁盘组使用率太高(超过{$ORACLE.ASM.USED.PCT.MAX.HIGH}%达5分钟)</t>
  </si>
  <si>
    <t>(3236/2867)</t>
  </si>
  <si>
    <t>23091</t>
  </si>
  <si>
    <t>ASM '{#DGNAME}': Disk group usage is too high (over {$ORACLE.ASM.USED.PCT.MAX.WARN}% for 5m)</t>
  </si>
  <si>
    <t>ASM '{#DGNAME}': 磁盘组使用率太高(超过{$ORACLE.ASM.USED.PCT.MAX.WARN}%达5分钟)</t>
  </si>
  <si>
    <t>(3236/2869)</t>
  </si>
  <si>
    <t>23099</t>
  </si>
  <si>
    <t>Oracle '{#CON_NAME}' TBS '{#TABLESPACE}': Tablespace status has changed (new value received: {ITEM.VALUE})</t>
  </si>
  <si>
    <t>Oracle '{#CON_NAME}' TBS '{#TABLESPACE}': 表空间状态已变更(收到新值: {ITEM.VALUE})</t>
  </si>
  <si>
    <t>(3236/2870)</t>
  </si>
  <si>
    <t>23103</t>
  </si>
  <si>
    <t>Oracle '{#CON_NAME}' TBS '{#TABLESPACE}': Tablespace utilization is too high (over {$ORACLE.TBS.UTIL.PCT.MAX.HIGH}% for 5m).</t>
  </si>
  <si>
    <t>Oracle '{#CON_NAME}' TBS '{#TABLESPACE}': 表空间利用率太高(超过{$ORACLE.TBS.UTIL.PCT.MAX.HIGH}%达5分钟).</t>
  </si>
  <si>
    <t>(3236/2871)</t>
  </si>
  <si>
    <t>23102</t>
  </si>
  <si>
    <t>Oracle '{#CON_NAME}' TBS '{#TABLESPACE}': Tablespace utilization is too high (over {$ORACLE.TBS.UTIL.PCT.MAX.WARN}% for 5m).</t>
  </si>
  <si>
    <t>Oracle '{#CON_NAME}' TBS '{#TABLESPACE}': 表空间使用率过高(超过{$ORACLE.TBS.UTIL.PCT.MAX.WARN}%达5分钟).</t>
  </si>
  <si>
    <t>(3236/2872)</t>
  </si>
  <si>
    <t>23371</t>
  </si>
  <si>
    <t>Oracle '{#CON_NAME}' TBS '{#TABLESPACE}': Tablespace usage from MAX is too high (over {$ORACLE.TBS.USED.PCT.FROM.MAX.HIGH}% for 5m).</t>
  </si>
  <si>
    <t xml:space="preserve">Oracle '{#CON_NAME}' TBS '{#TABLESPACE}': 表空间使用率过高(超过{ORACLE.TBS.USED.PCT.FROM.MAX.HIGH}%达5分钟). </t>
  </si>
  <si>
    <t>(3236/2873)</t>
  </si>
  <si>
    <t>23372</t>
  </si>
  <si>
    <t>Oracle '{#CON_NAME}' TBS '{#TABLESPACE}': Tablespace usage from MAX is too high (over {$ORACLE.TBS.USED.PCT.FROM.MAX.WARN}% for 5m).</t>
  </si>
  <si>
    <t>Oracle '{#CON_NAME}' TBS '{#TABLESPACE}': 表空间使用率过高(超过{ORACLE.TBS.USED.PCT.FROM.MAX.WARN}%达5分钟).</t>
  </si>
  <si>
    <t>(3236/2874)</t>
  </si>
  <si>
    <t>23100</t>
  </si>
  <si>
    <t>Oracle '{#CON_NAME}' TBS '{#TABLESPACE}': Tablespace usage is too high (over {$ORACLE.TBS.USED.PCT.MAX.HIGH}% for 5m).</t>
  </si>
  <si>
    <t>Oracle '{#CON_NAME}' TBS '{#TABLESPACE}': 表空间使用率太高(超过{$ORACLE.TBS.USED.PCT.MAX.HIGH}%达5分钟).</t>
  </si>
  <si>
    <t>(3236/2875)</t>
  </si>
  <si>
    <t>23101</t>
  </si>
  <si>
    <t>Oracle '{#CON_NAME}' TBS '{#TABLESPACE}': Tablespace usage is too high (over {$ORACLE.TBS.USED.PCT.MAX.WARN}% for 5m).</t>
  </si>
  <si>
    <t>Oracle '{#CON_NAME}' TBS '{#TABLESPACE}': 表空间使用率太高(超过{$ORACLE.TBS.USED.PCT.MAX.WARN}%达5分钟).</t>
  </si>
  <si>
    <t>(3236/2878)</t>
  </si>
  <si>
    <t>23093</t>
  </si>
  <si>
    <t>Oracle Database '{#DBNAME}': Open status has changed (new value received: {ITEM.VALUE})</t>
  </si>
  <si>
    <t>Oracle数据库"{#DBNAME}": 打开状态已变更(收到新值: {ITEM.VALUE})</t>
  </si>
  <si>
    <t>(3236/2880)</t>
  </si>
  <si>
    <t>23096</t>
  </si>
  <si>
    <t>(3236/2881)</t>
  </si>
  <si>
    <t>23095</t>
  </si>
  <si>
    <t>Oracle Database '{#DBNAME}': Role has changed (new value received: {ITEM.VALUE})</t>
  </si>
  <si>
    <t>Oracle数据库"{#DBNAME}": 角色已变更(收到新值: {ITEM.VALUE})</t>
  </si>
  <si>
    <t>(3236/2883)</t>
  </si>
  <si>
    <t>Oracle by Zabbix agent 2</t>
  </si>
  <si>
    <t>23079</t>
  </si>
  <si>
    <t>(3236/2884)</t>
  </si>
  <si>
    <t>23080</t>
  </si>
  <si>
    <t>(3236/2887)</t>
  </si>
  <si>
    <t>23076</t>
  </si>
  <si>
    <t>(3236/2889)</t>
  </si>
  <si>
    <t>23081</t>
  </si>
  <si>
    <t>(3236/2890)</t>
  </si>
  <si>
    <t>23078</t>
  </si>
  <si>
    <t>(3236/2892)</t>
  </si>
  <si>
    <t>23084</t>
  </si>
  <si>
    <t>Oracle TBS '{#TABLESPACE}': Tablespace status has changed (new value received: {ITEM.VALUE})</t>
  </si>
  <si>
    <t>OracleTBS"{#TABLESPACE}": 表空间状态已变更(收到新值: {ITEM.VALUE})</t>
  </si>
  <si>
    <t>(3236/2893)</t>
  </si>
  <si>
    <t>23088</t>
  </si>
  <si>
    <t>Oracle TBS '{#TABLESPACE}': Tablespace utilization is too high (over {$ORACLE.TBS.UTIL.PCT.MAX.HIGH}% for 5m).</t>
  </si>
  <si>
    <t>OracleTBS"{#TABLESPACE}": 表空间利用率太高(超过{$ORACLE.TBS.UTIL.PCT.MAX.HIGH}%达5分钟).</t>
  </si>
  <si>
    <t>(3236/2894)</t>
  </si>
  <si>
    <t>23087</t>
  </si>
  <si>
    <t>Oracle TBS '{#TABLESPACE}': Tablespace utilization is too high (over {$ORACLE.TBS.UTIL.PCT.MAX.WARN}% for 5m).</t>
  </si>
  <si>
    <t>Oracle TBS '{#TABLESPACE}': 表空间使用率过高(超过{$ORACLE.TBS.UTIL.PCT.MAX.WARN}%达5分钟).</t>
  </si>
  <si>
    <t>(3236/2895)</t>
  </si>
  <si>
    <t>23369</t>
  </si>
  <si>
    <t>Oracle TBS '{#TABLESPACE}': Tablespace utilization from MAX is too high (over {$ORACLE.TBS.USED.PCT.FROM.MAX.WARN}% for 5m).</t>
  </si>
  <si>
    <t xml:space="preserve">Oracle TBS '{#TABLESPACE}': 表空间利用率过高(超过{ORACLE.TBS.USED.PCT.FROM.MAX.WARN}%达5分钟). </t>
  </si>
  <si>
    <t>(3236/2896)</t>
  </si>
  <si>
    <t>23370</t>
  </si>
  <si>
    <t>Oracle TBS '{#TABLESPACE}': Tablespace utilization from MAX is too high (over {$ORACLE.TBS.USED.PCT.FROM.MAX.HIGH}% for 5m).</t>
  </si>
  <si>
    <t>Oracle TBS '{#TABLESPACE}': 表空间利用率过高(超过{ORACLE.TBS.USED.PCT.FROM.MAX.HIGH}%达5分钟).</t>
  </si>
  <si>
    <t>(3236/2897)</t>
  </si>
  <si>
    <t>23085</t>
  </si>
  <si>
    <t>Oracle TBS '{#TABLESPACE}': Tablespace usage is too high (over {$ORACLE.TBS.USED.PCT.MAX.HIGH}% for 5m).</t>
  </si>
  <si>
    <t>OracleTBS"{#TABLESPACE}": 表空间使用率太高(超过{$ORACLE.TBS.USED.PCT.MAX.HIGH}%达5分钟).</t>
  </si>
  <si>
    <t>(3236/2898)</t>
  </si>
  <si>
    <t>23086</t>
  </si>
  <si>
    <t>Oracle TBS '{#TABLESPACE}': Tablespace usage is too high (over {$ORACLE.TBS.USED.PCT.MAX.WARN}% for 5m).</t>
  </si>
  <si>
    <t>OracleTBS"{#TABLESPACE}": 表空间使用率太高(超过{$ORACLE.TBS.USED.PCT.MAX.WARN}%达5分钟).</t>
  </si>
  <si>
    <t>(3236/2899)</t>
  </si>
  <si>
    <t>PFSense by SNMP</t>
  </si>
  <si>
    <t>21256</t>
  </si>
  <si>
    <t>PFSense: Interface [{#IFNAME}({#IFALIAS})]: High inbound bandwidth usage ( &gt; {$IF.UTIL.MAX:"{#IFNAME}"}% )</t>
  </si>
  <si>
    <t>PFSense: 接口[{#IFNAME}({#IFALIAS})]: 入方向带宽使用率高了(&gt;{$IF.UTIL.MAX: "{#IFNAME}"}%)</t>
  </si>
  <si>
    <t>(3236/2900)</t>
  </si>
  <si>
    <t>21257</t>
  </si>
  <si>
    <t>PFSense: Interface [{#IFNAME}({#IFALIAS})]: High outbound bandwidth usage ( &gt; {$IF.UTIL.MAX:"{#IFNAME}"}% )</t>
  </si>
  <si>
    <t>PFSense: 接口[{#IFNAME}({#IFALIAS})]: 出方向带宽使用率高了(&gt;{$IF.UTIL.MAX: "{#IFNAME}"}%)</t>
  </si>
  <si>
    <t>(3236/2901)</t>
  </si>
  <si>
    <t>21258</t>
  </si>
  <si>
    <t>PFSense: Interface [{#IFNAME}({#IFALIAS})]: High input error rate ( &gt; {$IF.ERRORS.WARN:"{#IFNAME}"} for 5m)</t>
  </si>
  <si>
    <t>PFSense: 接口[{#IFNAME}({#IFALIAS})]: 输入错误率高了(&gt;{$IF.ERRORS.WARN: "{#IFNAME}"}达5分钟)</t>
  </si>
  <si>
    <t>(3236/2904)</t>
  </si>
  <si>
    <t>21259</t>
  </si>
  <si>
    <t>PFSense: Interface [{#IFNAME}({#IFALIAS})]: High output error rate ( &gt; {$IF.ERRORS.WARN:"{#IFNAME}"} for 5m)</t>
  </si>
  <si>
    <t>PFSense: 接口[{#IFNAME}({#IFALIAS})]: 输出错误率高了(&gt;{$IF.ERRORS.WARN: "{#IFNAME}"}达5分钟)</t>
  </si>
  <si>
    <t>(3236/2905)</t>
  </si>
  <si>
    <t>PostgreSQL by ODBC</t>
  </si>
  <si>
    <t>23237</t>
  </si>
  <si>
    <t>DB [{#DBNAME}]: Too many recovery conflicts (over {$PG.CONFLICTS.MAX.WARN:"{#DBNAME}"} in 5m)</t>
  </si>
  <si>
    <t>DB [{#DBNAME}]: 恢复冲突太多(5分钟内超过 {$PG.CONFLICTS.MAX.WARN: "{#DBNAME}"})</t>
  </si>
  <si>
    <t>(3236/2906)</t>
  </si>
  <si>
    <t>23238</t>
  </si>
  <si>
    <t>DB [{#DBNAME}]: Deadlock occurred (over {$PG.DEADLOCKS.MAX.WARN:"{#DBNAME}"} in 5m)</t>
  </si>
  <si>
    <t>DB [{#DBNAME}]: 发生死锁(5分钟内超过 {$PG.DEADLOCKS.MAX.WARN: "{#DBNAME}"})</t>
  </si>
  <si>
    <t>(3236/2907)</t>
  </si>
  <si>
    <t>23239</t>
  </si>
  <si>
    <t>DB [{#DBNAME}]: Too many slow queries (over {$PG.SLOW_QUERIES.MAX.WARN:"{#DBNAME}"} in 5m)</t>
  </si>
  <si>
    <t>DB [{#DBNAME}]: 慢查询太多(5分钟内超过 {$PG.SLOW_QUERIES.MAX.WARN: "{#DBNAME}"})</t>
  </si>
  <si>
    <t>(3236/2908)</t>
  </si>
  <si>
    <t>PostgreSQL by Zabbix agent</t>
  </si>
  <si>
    <t>17401</t>
  </si>
  <si>
    <t>(3236/2909)</t>
  </si>
  <si>
    <t>17402</t>
  </si>
  <si>
    <t>(3236/2910)</t>
  </si>
  <si>
    <t>17403</t>
  </si>
  <si>
    <t>DB [{#DBNAME}]: VACUUM FREEZE is required to prevent wraparound (frozen XID less than {$PG.FROZENXID_PCT_STOP.MIN.HIGH:"{#DBNAME}"} %)</t>
  </si>
  <si>
    <t>DB [{#DBNAME}]: 需要 VACUUM FREEZE 来防止环绕(冻结的 XID 小于 {$PG.FROZENXID_PCT_STOP.MIN.HIGH: "{#DBNAME}"} %)</t>
  </si>
  <si>
    <t>(3236/2911)</t>
  </si>
  <si>
    <t>17404</t>
  </si>
  <si>
    <t>DB [{#DBNAME}]: Number of locks is too high (over {$PG.LOCKS.MAX.WARN:"{#DBNAME}"} in 5m)</t>
  </si>
  <si>
    <t>DB [{#DBNAME}]: 锁数量过高(5分钟内超过 {$PG.LOCKS.MAX.WARN: "{#DBNAME}"})</t>
  </si>
  <si>
    <t>(3236/2912)</t>
  </si>
  <si>
    <t>17405</t>
  </si>
  <si>
    <t>(3236/2914)</t>
  </si>
  <si>
    <t>PostgreSQL by Zabbix agent 2</t>
  </si>
  <si>
    <t>17018</t>
  </si>
  <si>
    <t>(3236/2915)</t>
  </si>
  <si>
    <t>17019</t>
  </si>
  <si>
    <t>(3236/2916)</t>
  </si>
  <si>
    <t>22589</t>
  </si>
  <si>
    <t>(3236/2918)</t>
  </si>
  <si>
    <t>Proxmox VE by HTTP</t>
  </si>
  <si>
    <t>22593</t>
  </si>
  <si>
    <t>Proxmox: LXC [{#NODE.NAME}/{#LXC.NAME} ({#LXC.ID})] high CPU usage (over {$PVE.LXC.CPU.PUSE.MAX.WARN:"{#LXC.ID}"}% use)</t>
  </si>
  <si>
    <t>Proxmox: LXC[{#NODE.NAME}/{#LXC.NAME}({#LXC.ID})]CPU使用率高了(超过{$PVE.LXC.CPU.PUSE.MAX.WARN: "{#LXC.ID}"}%的使用率)</t>
  </si>
  <si>
    <t>(3236/2919)</t>
  </si>
  <si>
    <t>22592</t>
  </si>
  <si>
    <t>Proxmox: LXC [{#NODE.NAME}/{#LXC.NAME} ({#LXC.ID})] high memory usage (over {$PVE.LXC.MEMORY.PUSE.MAX.WARN:"{#LXC.ID}"}% use)</t>
  </si>
  <si>
    <t>Proxmox: LXC[{#NODE.NAME}/{#LXC.NAME}({#LXC.ID})]内存使用率高了(超过{$PVE.LXC.MEMORY.PUSE.MAX.WARN: "{#LXC.ID}"}%的使用率)</t>
  </si>
  <si>
    <t>(3236/2921)</t>
  </si>
  <si>
    <t>22594</t>
  </si>
  <si>
    <t>Proxmox: LXC [{#NODE.NAME}/{#LXC.NAME}]: has been restarted (uptime &lt; 10m)</t>
  </si>
  <si>
    <t>Proxmox: LXC[{#NODE.NAME}/{#LXC.NAME}]: 已重启(正常运行时间&lt;10分钟)</t>
  </si>
  <si>
    <t>(3236/2922)</t>
  </si>
  <si>
    <t>22599</t>
  </si>
  <si>
    <t>Proxmox: Node [{#NODE.NAME}] high CPU usage (over {$PVE.CPU.PUSE.MAX.WARN:"{#NODE.NAME}"}% use)</t>
  </si>
  <si>
    <t>Proxmox: 节点[{#NODE.NAME}]CPU使用率高了(超过{$PVE.CPU.PUSE.MAX.WARN: "{#NODE.NAME}"}%的使用率)</t>
  </si>
  <si>
    <t>(3236/2924)</t>
  </si>
  <si>
    <t>22596</t>
  </si>
  <si>
    <t>Proxmox: Node [{#NODE.NAME}] high memory usage (over {$PVE.MEMORY.PUSE.MAX.WARN:"{#NODE.NAME}"}% use)</t>
  </si>
  <si>
    <t>Proxmox: 节点[{#NODE.NAME}]内存使用率高了(超过{$PVE.MEMORY.PUSE.MAX.WARN: "{#NODE.NAME}"}%的使用率)</t>
  </si>
  <si>
    <t>(3236/2926)</t>
  </si>
  <si>
    <t>22597</t>
  </si>
  <si>
    <t>Proxmox: Node [{#NODE.NAME}] high root filesystem space usage (over {$PVE.ROOT.PUSE.MAX.WARN:"{#NODE.NAME}"}% use)</t>
  </si>
  <si>
    <t>Proxmox: 节点[{#NODE.NAME}]根文件系统空间使用率高了(超过{$PVE.ROOT.PUSE.MAX.WARN: "{#NODE.NAME}"}%的使用率)</t>
  </si>
  <si>
    <t>(3236/2928)</t>
  </si>
  <si>
    <t>22598</t>
  </si>
  <si>
    <t>Proxmox: Node [{#NODE.NAME}] high swap space usage (over {$PVE.SWAP.PUSE.MAX.WARN:"{#NODE.NAME}"}% use)</t>
  </si>
  <si>
    <t>Proxmox: 节点 [{#NODE.NAME}] swap 空间使用率过高(超过 {$PVE.SWAP.PUSE.MAX.WARN: "{#NODE.NAME}"}% 使用率)</t>
  </si>
  <si>
    <t>(3236/2929)</t>
  </si>
  <si>
    <t>22603</t>
  </si>
  <si>
    <t>Proxmox: Node [{#NODE.NAME}]: has been restarted (uptime &lt; 10m)</t>
  </si>
  <si>
    <t>Proxmox: 节点[{#NODE.NAME}]: 已重新启动(正常运行时间&lt;10分钟)</t>
  </si>
  <si>
    <t>(3236/2930)</t>
  </si>
  <si>
    <t>22608</t>
  </si>
  <si>
    <t>Proxmox: Storage [{#NODE.NAME}/{#STORAGE.NAME}] high filesystem space usage (over {$PVE.STORAGE.PUSE.MAX.WARN:"{#NODE.NAME}/{#STORAGE.NAME}"}% use)</t>
  </si>
  <si>
    <t>Proxmox: 存储[{#NODE.NAME}/{#STORAGE.NAME}]文件系统空间使用率高了(超过{$PVE.STORAGE.PUSE.MAX.WARN: "{#NODE.NAME}/{#STORAGE.NAME}"}%的使用率)</t>
  </si>
  <si>
    <t>(3236/2931)</t>
  </si>
  <si>
    <t>22605</t>
  </si>
  <si>
    <t>Proxmox: VM [{#NODE.NAME}/{#QEMU.NAME} ({#QEMU.ID})] high CPU usage (over {$PVE.VM.CPU.PUSE.MAX.WARN:"{#QEMU.ID}"}% use)</t>
  </si>
  <si>
    <t>Proxmox: VM[{#NODE.NAME}/{#QEMU.NAME}({#QEMU.ID})]CPU使用率高了(超过{$PVE.VM.CPU.PUSE.MAX.WARN: "{#QEMU.ID}"}%使用率)</t>
  </si>
  <si>
    <t>(3236/2932)</t>
  </si>
  <si>
    <t>22604</t>
  </si>
  <si>
    <t>Proxmox: VM [{#NODE.NAME}/{#QEMU.NAME} ({#QEMU.ID})] high memory usage (over {$PVE.VM.MEMORY.PUSE.MAX.WARN:"{#QEMU.ID}"}% use)</t>
  </si>
  <si>
    <t>Proxmox: VM[{#NODE.NAME}/{#QEMU.NAME}({#QEMU.ID})]内存使用率高了(超过{$PVE.VM.MEMORY.PUSE.MAX.WARN: "{#QEMU.ID}"}%的使用率)</t>
  </si>
  <si>
    <t>(3236/2934)</t>
  </si>
  <si>
    <t>22606</t>
  </si>
  <si>
    <t>Proxmox: VM [{#NODE.NAME}/{#QEMU.NAME}]: has been restarted (uptime &lt; 10m)</t>
  </si>
  <si>
    <t>Proxmox: VM[{#NODE.NAME}/{#QEMU.NAME}]: 已重新启动(正常运行时间&lt;10分钟)</t>
  </si>
  <si>
    <t>(3236/2935)</t>
  </si>
  <si>
    <t>QTech QSW by SNMP</t>
  </si>
  <si>
    <t>22341</t>
  </si>
  <si>
    <t>(3236/2937)</t>
  </si>
  <si>
    <t>22342</t>
  </si>
  <si>
    <t>(3236/2950)</t>
  </si>
  <si>
    <t>RabbitMQ node by HTTP</t>
  </si>
  <si>
    <t>16271</t>
  </si>
  <si>
    <t>RabbitMQ: Too many messages in queue [{#VHOST}][{#QUEUE}] (over {$RABBITMQ.MESSAGES.MAX.WARN:"{#QUEUE}"} for 5m)</t>
  </si>
  <si>
    <t>RabbitMQ: 队列[{#VHOST}][{#QUEUE}]中的消息太多(超过{$RABBITMQ.MESSAGES.MAX.WARN: "{#QUEUE}"}达5分钟)</t>
  </si>
  <si>
    <t>(3236/2957)</t>
  </si>
  <si>
    <t>RabbitMQ node by Zabbix agent</t>
  </si>
  <si>
    <t>16258</t>
  </si>
  <si>
    <t>(3236/2958)</t>
  </si>
  <si>
    <t>Redis by Zabbix agent 2</t>
  </si>
  <si>
    <t>16696</t>
  </si>
  <si>
    <t>Redis: Replication lag with master is too high (over {$REDIS.REPL.LAG.MAX.WARN} in 5m)</t>
  </si>
  <si>
    <t>Redis: 与master的复制延迟太高(5分钟内超过{$REDIS.REPL.LAG.MAX.WARN})</t>
  </si>
  <si>
    <t>(3236/2959)</t>
  </si>
  <si>
    <t>18002</t>
  </si>
  <si>
    <t>Redis: Memory usage is too high (over {$REDIS.MEM.PUSED.MAX.WARN}% in 5m)</t>
  </si>
  <si>
    <t>Redis: 内存使用率太高(5分钟内超过{$REDIS.MEM.PUSED.MAX.WARN}%)</t>
  </si>
  <si>
    <t>(3236/2972)</t>
  </si>
  <si>
    <t>SMART by Zabbix agent 2</t>
  </si>
  <si>
    <t>22642</t>
  </si>
  <si>
    <t>SMART [{#NAME}]: Disk has been replaced (new serial number received)</t>
  </si>
  <si>
    <t>SMART[{#NAME}]: 磁盘已更换(收到新序列号)</t>
  </si>
  <si>
    <t>(3236/2973)</t>
  </si>
  <si>
    <t>22643</t>
  </si>
  <si>
    <t>SMART [{#NAME}]: Average disk temperature is critical (over {$SMART.TEMPERATURE.MAX.CRIT}°C for 5m)</t>
  </si>
  <si>
    <t>SMART[{#NAME}]: 平均磁盘温度严重告警(超过{$SMART.TEMPERATURE.MAX.CRIT}°C达5分钟)</t>
  </si>
  <si>
    <t>(3236/2974)</t>
  </si>
  <si>
    <t>22644</t>
  </si>
  <si>
    <t>SMART [{#NAME}]: Average disk temperature is too high (over {$SMART.TEMPERATURE.MAX.WARN}°C for 5m)</t>
  </si>
  <si>
    <t>SMART[{#NAME}]: 平均磁盘温度太高(超过{$SMART.TEMPERATURE.MAX.WARN}°C达5分钟)</t>
  </si>
  <si>
    <t>(3236/2985)</t>
  </si>
  <si>
    <t>SMART by Zabbix agent 2 active</t>
  </si>
  <si>
    <t>22655</t>
  </si>
  <si>
    <t>(3236/2986)</t>
  </si>
  <si>
    <t>22656</t>
  </si>
  <si>
    <t>(3236/2987)</t>
  </si>
  <si>
    <t>22657</t>
  </si>
  <si>
    <t>(3236/2990)</t>
  </si>
  <si>
    <t>Supermicro Aten by SNMP</t>
  </si>
  <si>
    <t>15846</t>
  </si>
  <si>
    <t>(3236/2991)</t>
  </si>
  <si>
    <t>15845</t>
  </si>
  <si>
    <t>(3236/2992)</t>
  </si>
  <si>
    <t>15847</t>
  </si>
  <si>
    <t>(3236/2994)</t>
  </si>
  <si>
    <t>Systemd by Zabbix agent 2</t>
  </si>
  <si>
    <t>18977</t>
  </si>
  <si>
    <t>{#UNIT.NAME}: has been restarted (uptime &lt; 10m)</t>
  </si>
  <si>
    <t>{#UNIT.NAME}: 已重启(正常运行时间&lt;10分钟)</t>
  </si>
  <si>
    <t>(3236/2995)</t>
  </si>
  <si>
    <t>TP-LINK by SNMP</t>
  </si>
  <si>
    <t>16559</t>
  </si>
  <si>
    <t>#{#SNMPVALUE}: High CPU utilization (over {$CPU.UTIL.CRIT}% for 5m)</t>
  </si>
  <si>
    <t>#{#SNMPVALUE}: CPU使用率太高(超过{$CPU.UTIL.CRIT}%达5分钟)</t>
  </si>
  <si>
    <t>(3236/2996)</t>
  </si>
  <si>
    <t>18128</t>
  </si>
  <si>
    <t>(3236/2997)</t>
  </si>
  <si>
    <t>22352</t>
  </si>
  <si>
    <t>(3236/2998)</t>
  </si>
  <si>
    <t>22353</t>
  </si>
  <si>
    <t>(3236/3005)</t>
  </si>
  <si>
    <t>TiDB PD by HTTP</t>
  </si>
  <si>
    <t>18557</t>
  </si>
  <si>
    <t>TiDB cluster: Too many missed regions (over {$PD.MISS_REGION.MAX.WARN} in 5m)</t>
  </si>
  <si>
    <t>TiDB cluster: 遗漏区域太多(5分钟内超过{$PD.MISS_REGION.MAX.WARN})</t>
  </si>
  <si>
    <t>(3236/3006)</t>
  </si>
  <si>
    <t>18552</t>
  </si>
  <si>
    <t>TiDB cluster: Current storage usage is too high (over {$PD.STORAGE_USAGE.MAX.WARN}% for 5m)</t>
  </si>
  <si>
    <t>TiDB cluster: 当前存储使用率太高(超过{$PD.STORAGE_USAGE.MAX.WARN}%达5分钟)</t>
  </si>
  <si>
    <t>(3236/3007)</t>
  </si>
  <si>
    <t>TiDB TiKV by HTTP</t>
  </si>
  <si>
    <t>18575</t>
  </si>
  <si>
    <t>TiKV: Store_id {#STORE_ID}: Too many failure messages "{#TYPE}" (over {$TIKV.STORE.ERRORS.MAX.WARN} in 5m)</t>
  </si>
  <si>
    <t>TiKV: Store_id{#STORE_ID}: 失败消息"{#TYPE}"过多(5分钟内超过{$TIKV.STORE.ERRORS.MAX.WARN})</t>
  </si>
  <si>
    <t>(3236/3008)</t>
  </si>
  <si>
    <t>TiDB by HTTP</t>
  </si>
  <si>
    <t>18570</t>
  </si>
  <si>
    <t>TiDB: Too many failed GC-related operations (over {$TIDB.GC_ACTIONS.ERRORS.MAX.WARN} in 5m)</t>
  </si>
  <si>
    <t>TiDB: 太多失败的GC相关操作(5分钟内超过{$TIDB.GC_ACTIONS.ERRORS.MAX.WARN})</t>
  </si>
  <si>
    <t>(3236/3009)</t>
  </si>
  <si>
    <t>Travis CI by HTTP</t>
  </si>
  <si>
    <t>19653</t>
  </si>
  <si>
    <t>Travis: Repo [{#SLUG}]: Percent of successful builds are &lt; {$TRAVIS.BUILDS.SUCCESS.PERCENT}%</t>
  </si>
  <si>
    <t>Travis: Repo[{#SLUG}]: 成功构建的百分比&lt;{$TRAVIS.BUILDS.SUCCESS.PERCENT}%</t>
  </si>
  <si>
    <t>(3236/3011)</t>
  </si>
  <si>
    <t>TrueNAS CORE by SNMP</t>
  </si>
  <si>
    <t>22619</t>
  </si>
  <si>
    <t>TrueNAS CORE: High CPU utilization (over {$CPU.UTIL.CRIT}% for 5m)</t>
  </si>
  <si>
    <t>TrueNAS CORE: CPU使用率过高(超过 {$CPU.UTIL.CRIT}%,达5分钟)</t>
  </si>
  <si>
    <t>(3236/3012)</t>
  </si>
  <si>
    <t>22628</t>
  </si>
  <si>
    <t>TrueNAS CORE: Dataset [{#DATASET_NAME}]: High space usage (more than {$DATASET.PUSED.MAX.WARN:"{#DATASET_NAME}"}% used)</t>
  </si>
  <si>
    <t>TrueNAS CORE: 数据集 [{#DATASET_NAME}]: 空间使用率过高(已使用超过 {$DATASET.PUSED.MAX.WARN: "{#DATASET_NAME}"}%)</t>
  </si>
  <si>
    <t>(3236/3013)</t>
  </si>
  <si>
    <t>22629</t>
  </si>
  <si>
    <t>TrueNAS CORE: Dataset [{#DATASET_NAME}]: Very high space usage (more than {$DATASET.PUSED.MAX.CRIT:"{#DATASET_NAME}"}% used)</t>
  </si>
  <si>
    <t>TrueNAS CORE: 数据集 [{#DATASET_NAME}]: 空间使用率非常高(已使用超过 {$DATASET.PUSED.MAX.CRIT: "{#DATASET_NAME}"}%)</t>
  </si>
  <si>
    <t>(3236/3014)</t>
  </si>
  <si>
    <t>22626</t>
  </si>
  <si>
    <t>TrueNAS CORE: Disk [{#DISK_NAME}]: Average disk temperature is too high (over {$TEMPERATURE.MAX.CRIT:"{#DISK_NAME}"}C for 5m)</t>
  </si>
  <si>
    <t>TrueNAS CORE: 磁盘 [{#DISK_NAME}]: 平均磁盘温度过高(超过 {$TEMPERATURE.MAX.CRIT: "{#DISK_NAME}"}°C,达5分钟)</t>
  </si>
  <si>
    <t>(3236/3015)</t>
  </si>
  <si>
    <t>22627</t>
  </si>
  <si>
    <t>TrueNAS CORE: Disk [{#DISK_NAME}]: Average disk temperature is too high (over {$TEMPERATURE.MAX.WARN:"{#DISK_NAME}"}C for 5m)</t>
  </si>
  <si>
    <t>TrueNAS CORE: 磁盘 [{#DISK_NAME}]: 平均磁盘温度过高(超过 {$TEMPERATURE.MAX.WARN: "{#DISK_NAME}"}°C,达5分钟)</t>
  </si>
  <si>
    <t>(3236/3016)</t>
  </si>
  <si>
    <t>22621</t>
  </si>
  <si>
    <t>TrueNAS CORE: Interface [{#IFNAME}({#IFALIAS})]: High inbound bandwidth usage ( &gt; {$IF.UTIL.MAX:"{#IFNAME}"}% )</t>
  </si>
  <si>
    <t>TrueNAS CORE: 接口 [{#IFNAME}({#IFALIAS})]: 入站带宽使用率过高(&gt; {$IF.UTIL.MAX: "{#IFNAME}"}%)</t>
  </si>
  <si>
    <t>(3236/3017)</t>
  </si>
  <si>
    <t>22622</t>
  </si>
  <si>
    <t>TrueNAS CORE: Interface [{#IFNAME}({#IFALIAS})]: High outbound bandwidth usage ( &gt; {$IF.UTIL.MAX:"{#IFNAME}"}% )</t>
  </si>
  <si>
    <t>TrueNAS CORE: 接口 [{#IFNAME}({#IFALIAS})]: 出站带宽使用率过高(&gt; {$IF.UTIL.MAX: "{#IFNAME}"}%)</t>
  </si>
  <si>
    <t>(3236/3018)</t>
  </si>
  <si>
    <t>22623</t>
  </si>
  <si>
    <t>TrueNAS CORE: Interface [{#IFNAME}({#IFALIAS})]: High input error rate ( &gt; {$IF.ERRORS.WARN:"{#IFNAME}"} for 5m)</t>
  </si>
  <si>
    <t>TrueNAS CORE: 接口 [{#IFNAME}({#IFALIAS})]: 输入错误率过高(&gt; {$IF.ERRORS.WARN: "{#IFNAME}"},达5分钟)</t>
  </si>
  <si>
    <t>(3236/3021)</t>
  </si>
  <si>
    <t>22624</t>
  </si>
  <si>
    <t>TrueNAS CORE: Interface [{#IFNAME}({#IFALIAS})]: High output error rate ( &gt; {$IF.ERRORS.WARN:"{#IFNAME}"} for 5m)</t>
  </si>
  <si>
    <t>TrueNAS CORE: 接口 [{#IFNAME}({#IFALIAS})]: 输出错误率过高(&gt; {$IF.ERRORS.WARN: "{#IFNAME}"},达5分钟)</t>
  </si>
  <si>
    <t>(3236/3022)</t>
  </si>
  <si>
    <t>22630</t>
  </si>
  <si>
    <t>TrueNAS CORE: Pool [{#POOLNAME}]: High space usage (more than {$ZPOOL.PUSED.MAX.WARN:"{#POOLNAME}"}% used)</t>
  </si>
  <si>
    <t>TrueNAS CORE: 存储池 [{#POOLNAME}]: 空间使用率过高(已使用超过 {$ZPOOL.PUSED.MAX.WARN: "{#POOLNAME}"}%)</t>
  </si>
  <si>
    <t>(3236/3023)</t>
  </si>
  <si>
    <t>22631</t>
  </si>
  <si>
    <t>TrueNAS CORE: Pool [{#POOLNAME}]: Very high space usage (more than {$ZPOOL.PUSED.MAX.CRIT:"{#POOLNAME}"}% used)</t>
  </si>
  <si>
    <t>TrueNAS CORE: 存储池 [{#POOLNAME}]: 空间使用率非常高(已使用超过 {$ZPOOL.PUSED.MAX.CRIT: "{#POOLNAME}"}%)</t>
  </si>
  <si>
    <t>(3236/3025)</t>
  </si>
  <si>
    <t>Ubiquiti AirOS by SNMP</t>
  </si>
  <si>
    <t>22362</t>
  </si>
  <si>
    <t>(3236/3026)</t>
  </si>
  <si>
    <t>22363</t>
  </si>
  <si>
    <t>(3236/3031)</t>
  </si>
  <si>
    <t>VMWare SD-WAN VeloCloud by HTTP</t>
  </si>
  <si>
    <t>21188</t>
  </si>
  <si>
    <t>Edge [{#NAME}]: Edge has been restarted (uptime &lt; 10m)</t>
  </si>
  <si>
    <t>Edge[{#NAME}]: Edge已重启(正常运行时间&lt;10分钟)</t>
  </si>
  <si>
    <t>(3236/3033)</t>
  </si>
  <si>
    <t>21190</t>
  </si>
  <si>
    <t>Gateway [{#NAME}]: Gateway has been restarted (uptime &lt; 10m)</t>
  </si>
  <si>
    <t>网关[{#NAME}]: 网关已重启(正常运行时间&lt;10分钟)</t>
  </si>
  <si>
    <t>(3236/3037)</t>
  </si>
  <si>
    <t>VMware</t>
  </si>
  <si>
    <t>23593</t>
  </si>
  <si>
    <t>Datastore free space is critically low ({#DATASTORE} free space &lt; {$VMWARE.DATASTORE.SPACE.CRIT}%)</t>
  </si>
  <si>
    <t>数据存储可用空间严重不足({#DATASTORE} 可用空间 &lt; {$VMWARE.DATASTORE.SPACE.CRIT}%)</t>
  </si>
  <si>
    <t>(3236/3038)</t>
  </si>
  <si>
    <t>23594</t>
  </si>
  <si>
    <t>Datastore free space is low ({#DATASTORE} free space &lt; {$VMWARE.DATASTORE.SPACE.WARN}%)</t>
  </si>
  <si>
    <t>数据存储可用空间不足({#DATASTORE} 可用空间 &lt; {$VMWARE.DATASTORE.SPACE.WARN}%)</t>
  </si>
  <si>
    <t>(3236/3041)</t>
  </si>
  <si>
    <t>VMware FQDN</t>
  </si>
  <si>
    <t>23597</t>
  </si>
  <si>
    <t>(3236/3042)</t>
  </si>
  <si>
    <t>23598</t>
  </si>
  <si>
    <t>(3236/3043)</t>
  </si>
  <si>
    <t>VMware Hypervisor</t>
  </si>
  <si>
    <t>23595</t>
  </si>
  <si>
    <t>Datastore free space is critically low ({#DATASTORE} free space &lt; {$VMWARE.HV.DATASTORE.SPACE.CRIT}%)</t>
  </si>
  <si>
    <t>数据存储可用空间严重不足({#DATASTORE} 可用空间 &lt; {$VMWARE.HV.DATASTORE.SPACE.CRIT}%)</t>
  </si>
  <si>
    <t>(3236/3044)</t>
  </si>
  <si>
    <t>23596</t>
  </si>
  <si>
    <t>Datastore free space is low ({#DATASTORE} free space &lt; {$VMWARE.HV.DATASTORE.SPACE.WARN}%)</t>
  </si>
  <si>
    <t>数据存储可用空间不足({#DATASTORE} 可用空间 &lt; {$VMWARE.HV.DATASTORE.SPACE.WARN}%)</t>
  </si>
  <si>
    <t>(3236/3050)</t>
  </si>
  <si>
    <t>Veeam Backup and Replication by HTTP</t>
  </si>
  <si>
    <t>23069</t>
  </si>
  <si>
    <t>Veeam: Failed job [{#NAME}]</t>
  </si>
  <si>
    <t>Veeam: 任务失败[{#NAME}]</t>
  </si>
  <si>
    <t>(3236/3051)</t>
  </si>
  <si>
    <t>23070</t>
  </si>
  <si>
    <t>Veeam: Failed session [{#NAME}]</t>
  </si>
  <si>
    <t>Veeam: 会话失败[{#NAME}]</t>
  </si>
  <si>
    <t>(3236/3052)</t>
  </si>
  <si>
    <t>WildFly Domain by JMX</t>
  </si>
  <si>
    <t>18912</t>
  </si>
  <si>
    <t>WildFly domain: Server {#SERVER}: Server group has changed (new group: {ITEM.VALUE})</t>
  </si>
  <si>
    <t>WildFly domain: 服务器{#SERVER}: 服务器组已变更(新组: {ITEM.VALUE})</t>
  </si>
  <si>
    <t>(3236/3053)</t>
  </si>
  <si>
    <t>18913</t>
  </si>
  <si>
    <t>WildFly domain: Server {#SERVER}: Server status has changed (new status: {ITEM.VALUE})</t>
  </si>
  <si>
    <t>WildFly domain: 服务器{#SERVER}: 服务器状态已变更(新状态: {ITEM.VALUE})</t>
  </si>
  <si>
    <t>(3236/3054)</t>
  </si>
  <si>
    <t>WildFly Server by JMX</t>
  </si>
  <si>
    <t>18919</t>
  </si>
  <si>
    <t>WildFly deployment [{#DEPLOYMENT}]: Deployment status has changed (new status: {ITEM.VALUE})</t>
  </si>
  <si>
    <t>WildFly部署[{#DEPLOYMENT}]: 部署状态已变更(新状态: {ITEM.VALUE})</t>
  </si>
  <si>
    <t>(3236/3057)</t>
  </si>
  <si>
    <t>18920</t>
  </si>
  <si>
    <t>WildFly {#JMX_DATA_SOURCE}: Connection usage is too high (over {$WILDFLY.CONN.USAGE.WARN.MAX} in 5m)</t>
  </si>
  <si>
    <t>WildFly{#JMX_DATA_SOURCE}: 连接使用率太高(5分钟内超过{$WILDFLY.CONN.USAGE.WARN.MAX})</t>
  </si>
  <si>
    <t>(3236/3059)</t>
  </si>
  <si>
    <t>18925</t>
  </si>
  <si>
    <t>WildFly {#JMX_DATA_SOURCE}: Too many waiting connections (over {$WILDFLY.CONN.WAIT.MAX.WARN} for 5m)</t>
  </si>
  <si>
    <t>WildFly{#JMX_DATA_SOURCE}: 等待连接太多(超过{$WILDFLY.CONN.WAIT.MAX.WARN}达5分钟)</t>
  </si>
  <si>
    <t>(3236/3062)</t>
  </si>
  <si>
    <t>Windows by SNMP</t>
  </si>
  <si>
    <t>22509</t>
  </si>
  <si>
    <t>(3236/3063)</t>
  </si>
  <si>
    <t>22510</t>
  </si>
  <si>
    <t>(3236/3066)</t>
  </si>
  <si>
    <t>22512</t>
  </si>
  <si>
    <t>(3236/3067)</t>
  </si>
  <si>
    <t>22513</t>
  </si>
  <si>
    <t>(3236/3068)</t>
  </si>
  <si>
    <t>22514</t>
  </si>
  <si>
    <t>(3236/3069)</t>
  </si>
  <si>
    <t>Windows by Zabbix agent</t>
  </si>
  <si>
    <t>22470</t>
  </si>
  <si>
    <t>(3236/3070)</t>
  </si>
  <si>
    <t>22471</t>
  </si>
  <si>
    <t>(3236/3073)</t>
  </si>
  <si>
    <t>22476</t>
  </si>
  <si>
    <t>"{#SERVICE.NAME}" ({#SERVICE.DISPLAYNAME}) is not running (startup type {#SERVICE.STARTUPNAME})</t>
  </si>
  <si>
    <t>"{#SERVICE.NAME}"({#SERVICE.DISPLAYNAME})未运行(启动类型{#SERVICE.STARTUPNAME})</t>
  </si>
  <si>
    <t>(3236/3074)</t>
  </si>
  <si>
    <t>22474</t>
  </si>
  <si>
    <t>{#DEVNAME}: Disk read request responses are too high (read &gt; {$VFS.DEV.READ.AWAIT.WARN:"{#DEVNAME}"}s for 15m)</t>
  </si>
  <si>
    <t>{#DEVNAME}: 磁盘读取请求响应太高(读取 &gt; {$VFS.DEV.READ.AWAIT.WARN: "{#DEVNAME}"} 秒达15分钟)</t>
  </si>
  <si>
    <t>(3236/3075)</t>
  </si>
  <si>
    <t>22473</t>
  </si>
  <si>
    <t>{#DEVNAME}: Disk is overloaded (util &gt; {$VFS.DEV.UTIL.MAX.WARN}% for 15m)</t>
  </si>
  <si>
    <t>{#DEVNAME}: 磁盘过载(使用率&gt;{$VFS.DEV.UTIL.MAX.WARN}%达15分钟)</t>
  </si>
  <si>
    <t>(3236/3076)</t>
  </si>
  <si>
    <t>22475</t>
  </si>
  <si>
    <t>{#DEVNAME}: Disk write request responses are too high (write &gt; {$VFS.DEV.WRITE.AWAIT.WARN:"{#DEVNAME}"}s for 15m)</t>
  </si>
  <si>
    <t>{#DEVNAME}: 磁盘写入请求响应太高(写入&gt;{$VFS.DEV.WRITE.AWAIT.WARN: "{#DEVNAME}"}秒达15分钟)</t>
  </si>
  <si>
    <t>(3236/3077)</t>
  </si>
  <si>
    <t>22477</t>
  </si>
  <si>
    <t>{#FSLABEL}({#FSNAME}): Disk space is critically low (used &gt; {$VFS.FS.PUSED.MAX.CRIT:"{#FSNAME}"}%)</t>
  </si>
  <si>
    <t>{#FSLABEL}({#FSNAME}): 磁盘空间严重不足(已使用率&gt;{$VFS.FS.PUSED.MAX.CRIT: "{#FSNAME}"}%)</t>
  </si>
  <si>
    <t>(3236/3078)</t>
  </si>
  <si>
    <t>22478</t>
  </si>
  <si>
    <t>{#FSLABEL}({#FSNAME}): Disk space is low (used &gt; {$VFS.FS.PUSED.MAX.WARN:"{#FSNAME}"}%)</t>
  </si>
  <si>
    <t>{#FSLABEL}({#FSNAME}): 磁盘空间不足(已使用率&gt;{$VFS.FS.PUSED.MAX.WARN: "{#FSNAME}"}%)</t>
  </si>
  <si>
    <t>(3236/3079)</t>
  </si>
  <si>
    <t>Windows by Zabbix agent active</t>
  </si>
  <si>
    <t>22492</t>
  </si>
  <si>
    <t>(3236/3080)</t>
  </si>
  <si>
    <t>22493</t>
  </si>
  <si>
    <t>(3236/3083)</t>
  </si>
  <si>
    <t>22498</t>
  </si>
  <si>
    <t>(3236/3084)</t>
  </si>
  <si>
    <t>22496</t>
  </si>
  <si>
    <t>(3236/3085)</t>
  </si>
  <si>
    <t>22495</t>
  </si>
  <si>
    <t>(3236/3086)</t>
  </si>
  <si>
    <t>22497</t>
  </si>
  <si>
    <t>(3236/3087)</t>
  </si>
  <si>
    <t>22499</t>
  </si>
  <si>
    <t>(3236/3088)</t>
  </si>
  <si>
    <t>22500</t>
  </si>
  <si>
    <t>(3236/3089)</t>
  </si>
  <si>
    <t>Windows filesystems by Zabbix agent</t>
  </si>
  <si>
    <t>16182</t>
  </si>
  <si>
    <t>(3236/3090)</t>
  </si>
  <si>
    <t>16183</t>
  </si>
  <si>
    <t>(3236/3091)</t>
  </si>
  <si>
    <t>Windows filesystems by Zabbix agent active</t>
  </si>
  <si>
    <t>17305</t>
  </si>
  <si>
    <t>(3236/3092)</t>
  </si>
  <si>
    <t>17306</t>
  </si>
  <si>
    <t>(3236/3093)</t>
  </si>
  <si>
    <t>Windows network by Zabbix agent</t>
  </si>
  <si>
    <t>18466</t>
  </si>
  <si>
    <t>(3236/3094)</t>
  </si>
  <si>
    <t>18465</t>
  </si>
  <si>
    <t>(3236/3097)</t>
  </si>
  <si>
    <t>Windows network by Zabbix agent active</t>
  </si>
  <si>
    <t>18470</t>
  </si>
  <si>
    <t>(3236/3098)</t>
  </si>
  <si>
    <t>18469</t>
  </si>
  <si>
    <t>(3236/3101)</t>
  </si>
  <si>
    <t>Windows physical disks by Zabbix agent</t>
  </si>
  <si>
    <t>17043</t>
  </si>
  <si>
    <t>(3236/3102)</t>
  </si>
  <si>
    <t>17912</t>
  </si>
  <si>
    <t>(3236/3103)</t>
  </si>
  <si>
    <t>17913</t>
  </si>
  <si>
    <t>(3236/3104)</t>
  </si>
  <si>
    <t>Windows physical disks by Zabbix agent active</t>
  </si>
  <si>
    <t>17311</t>
  </si>
  <si>
    <t>(3236/3105)</t>
  </si>
  <si>
    <t>17918</t>
  </si>
  <si>
    <t>(3236/3106)</t>
  </si>
  <si>
    <t>17919</t>
  </si>
  <si>
    <t>(3236/3107)</t>
  </si>
  <si>
    <t>Windows services by Zabbix agent</t>
  </si>
  <si>
    <t>16713</t>
  </si>
  <si>
    <t>(3236/3108)</t>
  </si>
  <si>
    <t>Windows services by Zabbix agent active</t>
  </si>
  <si>
    <t>17312</t>
  </si>
  <si>
    <t>(3236/3109)</t>
  </si>
  <si>
    <t>YugabyteDB Cluster by HTTP</t>
  </si>
  <si>
    <t>23432</t>
  </si>
  <si>
    <t>YugabyteDB Node [{#NODE.NAME}]: Node disk IOPS utilization is high (over {$YUGABYTEDB.IOPS.UTILIZATION.WARN} for 5m)</t>
  </si>
  <si>
    <t>YugabyteDB节点 [{#NODE.NAME}]: 节点磁盘IOPS利用率过高(超过 {$YUGABYTEDB.IOPS.UTILIZATION.WARN},达5分钟)</t>
  </si>
  <si>
    <t>(3236/3110)</t>
  </si>
  <si>
    <t>23433</t>
  </si>
  <si>
    <t>YugabyteDB Node [{#NODE.NAME}]: Node disk IOPS utilization is too high (over {$YUGABYTEDB.IOPS.UTILIZATION.CRIT} for 5m)</t>
  </si>
  <si>
    <t>YugabyteDB节点 [{#NODE.NAME}]: 节点磁盘IOPS利用率过高(超过 {$YUGABYTEDB.IOPS.UTILIZATION.CRIT},达5分钟)</t>
  </si>
  <si>
    <t>(3236/3113)</t>
  </si>
  <si>
    <t>ZYXEL AAM1212-51 IES-612 by SNMP</t>
  </si>
  <si>
    <t>19035</t>
  </si>
  <si>
    <t>ZYXEL AAM1212-51 / IES-612: High the DSL line attenuation in Port {#SNMPINDEX} (&gt;{$ZYXEL.ADSL.ATN.MAX}dB for 5m)</t>
  </si>
  <si>
    <t>ZYXEL AAM1212-51 / IES-612: 端口{#SNMPINDEX}中的DSL线路衰减高(&gt;{$ZYXEL.ADSL.ATN.MAX}dB达5分钟)</t>
  </si>
  <si>
    <t>(3236/3114)</t>
  </si>
  <si>
    <t>19036</t>
  </si>
  <si>
    <t>ZYXEL AAM1212-51 / IES-612: Low the DSL line noise margins in Port {#SNMPINDEX} (&lt;{$ZYXEL.ADSL.SNR.MIN}dB for 5m)</t>
  </si>
  <si>
    <t>ZYXEL AAM1212-51 / IES-612: 端口{#SNMPINDEX}中的DSL线路噪声容限低(&lt;{$ZYXEL.ADSL.SNR.MIN}dB达5分钟)</t>
  </si>
  <si>
    <t>(3236/3115)</t>
  </si>
  <si>
    <t>19037</t>
  </si>
  <si>
    <t>(3236/3116)</t>
  </si>
  <si>
    <t>19038</t>
  </si>
  <si>
    <t>(3236/3120)</t>
  </si>
  <si>
    <t>ZYXEL ES3500-8PD by SNMP</t>
  </si>
  <si>
    <t>19049</t>
  </si>
  <si>
    <t>ZYXEL ES3500-8PD: High memory utilization in "{#ZYXEL.MEMORY.NAME}" pool (&gt;{$MEMORY.UTIL.MAX}% for 5m)</t>
  </si>
  <si>
    <t>ZYXEL ES3500-8PD: "{#ZYXEL.MEMORY.NAME}"池中的内存利用率高了(&gt;{$MEMORY.UTIL.MAX}%达5分钟)</t>
  </si>
  <si>
    <t>(3236/3123)</t>
  </si>
  <si>
    <t>19053</t>
  </si>
  <si>
    <t>ZYXEL ES3500-8PD: SFP {#SNMPINDEX} has been replaced (new serial number received)</t>
  </si>
  <si>
    <t>ZYXEL ES3500-8PD: SFP{#SNMPINDEX}已更换(收到新序列号)</t>
  </si>
  <si>
    <t>(3236/3124)</t>
  </si>
  <si>
    <t>19051</t>
  </si>
  <si>
    <t>ZYXEL ES3500-8PD: SFP {#ZYXEL.SFP.PORT}: High {#ZYXEL.SFP.DESCRIPTION} (over {#ZYXEL.SFP.WARN.MAX}{#ZYXEL.SFP.UNIT})</t>
  </si>
  <si>
    <t>ZYXEL ES3500-8PD: SFP{#ZYXEL.SFP.PORT}: {#ZYXEL.SFP.DESCRIPTION}高(超过{#ZYXEL.SFP.WARN.MAX}{#ZYXEL.SFP.UNIT})</t>
  </si>
  <si>
    <t>(3236/3125)</t>
  </si>
  <si>
    <t>19052</t>
  </si>
  <si>
    <t>ZYXEL ES3500-8PD: SFP {#ZYXEL.SFP.PORT}: Low {#ZYXEL.SFP.DESCRIPTION} (less than {#ZYXEL.SFP.WARN.MIN}{#ZYXEL.SFP.UNIT})</t>
  </si>
  <si>
    <t>ZYXEL ES3500-8PD: SFP{#ZYXEL.SFP.PORT}: {#ZYXEL.SFP.DESCRIPTION}低(小于{#ZYXEL.SFP.WARN.MIN}{#ZYXEL.SFP.UNIT})</t>
  </si>
  <si>
    <t>(3236/3133)</t>
  </si>
  <si>
    <t>ZYXEL IES-500x by SNMP</t>
  </si>
  <si>
    <t>19073</t>
  </si>
  <si>
    <t>ZYXEL IES-500x: High the DSL line attenuation in Slot {#ZYXEL.SLOT.ID} Port {#ZYXEL.PORTID} (&gt;{$ZYXEL.ADSL.ATN.MAX}dB for 5m)</t>
  </si>
  <si>
    <t>ZYXEL IES-500x: 插槽{#ZYXEL.SLOT.ID}端口{#ZYXEL.PORTID}中的DSL线路衰减高(&gt;{$ZYXEL.ADSL.ATN.MAX}dB达5分钟)</t>
  </si>
  <si>
    <t>(3236/3134)</t>
  </si>
  <si>
    <t>19074</t>
  </si>
  <si>
    <t>ZYXEL IES-500x: Low the DSL line noise margins in Slot {#ZYXEL.SLOT.ID} Port {#ZYXEL.PORTID} (&lt;{$ZYXEL.ADSL.SNR.MIN}dB for 5m)</t>
  </si>
  <si>
    <t>ZYXEL IES-500x: 插槽{#ZYXEL.SLOT.ID}端口{#ZYXEL.PORTID}中降DSL线路噪声容限低(&lt;{$ZYXEL.ADSL.SNR.MIN}dB达5分钟)</t>
  </si>
  <si>
    <t>(3236/3135)</t>
  </si>
  <si>
    <t>19075</t>
  </si>
  <si>
    <t>(3236/3136)</t>
  </si>
  <si>
    <t>19076</t>
  </si>
  <si>
    <t>(3236/3139)</t>
  </si>
  <si>
    <t>19070</t>
  </si>
  <si>
    <t>ZYXEL IES-500x: Slot {#ZYXEL.SLOT.ID} high CPU utilization (over {#ZYXEL.CPU.THRESH.HIGH}% for 5m)</t>
  </si>
  <si>
    <t>ZYXEL IES-500x: Slot{#ZYXEL.SLOT.ID}CPU使用率高了(超过{#ZYXEL.CPU.THRESH.HIGH}%达5分钟)</t>
  </si>
  <si>
    <t>(3236/3144)</t>
  </si>
  <si>
    <t>19072</t>
  </si>
  <si>
    <t>ZYXEL IES-500x: High memory utilization in Slot {#ZYXEL.SLOT.ID} pool (&gt;{#ZYXEL.MEMORYHIGHTHRESH}% for 5m)</t>
  </si>
  <si>
    <t>ZYXEL IES-500x: 插槽{#ZYXEL.SLOT.ID}池中的内存利用率高了(&gt;{#ZYXEL.MEMORYHIGHTHRESH}%达5分钟)</t>
  </si>
  <si>
    <t>(3236/3146)</t>
  </si>
  <si>
    <t>19069</t>
  </si>
  <si>
    <t>ZYXEL IES-500x: High Packet buffer utilization in Slot {#ZYXEL.SLOT.ID} (&gt;{#ZYXEL.BUFFERHIGHTHRESH}% for 5m)</t>
  </si>
  <si>
    <t>ZYXEL IES-500x: 插槽{#ZYXEL.SLOT.ID}中的数据包缓冲区利用率高(&gt;{#ZYXEL.BUFFERHIGHTHRESH}%达5分钟)</t>
  </si>
  <si>
    <t>(3236/3147)</t>
  </si>
  <si>
    <t>19084</t>
  </si>
  <si>
    <t>ZYXEL IES-500x: Slot {#ZYXEL.SLOT.ID} has been replaced (new serial number received)</t>
  </si>
  <si>
    <t>ZYXEL IES-500x: 插槽{#ZYXEL.SLOT.ID}已更换(收到新序列号)</t>
  </si>
  <si>
    <t>(3236/3149)</t>
  </si>
  <si>
    <t>19085</t>
  </si>
  <si>
    <t>ZYXEL IES-500x: Slot {#ZYXEL.SLOT.ID} has been restarted (uptime &lt; 10m)</t>
  </si>
  <si>
    <t>ZYXEL IES-500x: 插槽{#ZYXEL.SLOT.ID}已重启(正常运行时间&lt;10分钟)</t>
  </si>
  <si>
    <t>(3236/3152)</t>
  </si>
  <si>
    <t>ZYXEL IES-6000 by SNMP</t>
  </si>
  <si>
    <t>19095</t>
  </si>
  <si>
    <t>ZYXEL IES-6000: High the DSL line attenuation in Slot {#ZYXEL.SLOT.ID} Port {#ZYXEL.PORTID} (&gt;{$ZYXEL.ADSL.ATN.MAX}dB for 5m)</t>
  </si>
  <si>
    <t>ZYXEL IES-6000: 插槽{#ZYXEL.SLOT.ID}端口{#ZYXEL.PORTID}中DSL线路衰减高(&gt;{$ZYXEL.ADSL.ATN.MAX}dB达5分钟)</t>
  </si>
  <si>
    <t>(3236/3153)</t>
  </si>
  <si>
    <t>19096</t>
  </si>
  <si>
    <t>ZYXEL IES-6000: Low the DSL line noise margins in Slot {#ZYXEL.SLOT.ID} Port {#ZYXEL.PORTID} (&lt;{$ZYXEL.ADSL.SNR.MIN}dB for 5m)</t>
  </si>
  <si>
    <t>ZYXEL IES-6000: 插槽{#ZYXEL.SLOT.ID}端口{#ZYXEL.PORTID}中DSL线路噪声容限低了(&lt;{$ZYXEL.ADSL.SNR.MIN}dB达5分钟)</t>
  </si>
  <si>
    <t>(3236/3154)</t>
  </si>
  <si>
    <t>19097</t>
  </si>
  <si>
    <t>(3236/3155)</t>
  </si>
  <si>
    <t>19098</t>
  </si>
  <si>
    <t>(3236/3158)</t>
  </si>
  <si>
    <t>19092</t>
  </si>
  <si>
    <t>ZYXEL IES-6000: Slot {#ZYXEL.SLOT.ID} high CPU utilization (over {#ZYXEL.CPU.THRESH.HIGH}% for 5m)</t>
  </si>
  <si>
    <t>ZYXEL IES-6000: 插槽{#ZYXEL.SLOT.ID}CPU使用率高了(超过{#ZYXEL.CPU.THRESH.HIGH}%达5分钟)</t>
  </si>
  <si>
    <t>(3236/3163)</t>
  </si>
  <si>
    <t>19094</t>
  </si>
  <si>
    <t>ZYXEL IES-6000: High memory utilization in Slot {#ZYXEL.SLOT.ID} pool (&gt;{#ZYXEL.MEMORYHIGHTHRESH}% for 5m)</t>
  </si>
  <si>
    <t>ZYXEL IES-6000: 插槽{#ZYXEL.SLOT.ID}池中的高内存利用率(&gt;{#ZYXEL.MEMORYHIGHTHRESH}%达5分钟)</t>
  </si>
  <si>
    <t>(3236/3165)</t>
  </si>
  <si>
    <t>19091</t>
  </si>
  <si>
    <t>ZYXEL IES-6000: High Packet buffer utilization in Slot {#ZYXEL.SLOT.ID} (&gt;{#ZYXEL.BUFFERHIGHTHRESH}% for 5m)</t>
  </si>
  <si>
    <t>ZYXEL IES-6000: 插槽{#ZYXEL.SLOT.ID}中的数据包缓冲区利用率高(&gt;{#ZYXEL.BUFFERHIGHTHRESH}%达5分钟)</t>
  </si>
  <si>
    <t>(3236/3166)</t>
  </si>
  <si>
    <t>19106</t>
  </si>
  <si>
    <t>ZYXEL IES-6000: Slot {#ZYXEL.SLOT.ID} has been replaced (new serial number received)</t>
  </si>
  <si>
    <t>ZYXEL IES-6000: 插槽{#ZYXEL.SLOT.ID}已更换(收到新序列号)</t>
  </si>
  <si>
    <t>(3236/3168)</t>
  </si>
  <si>
    <t>19107</t>
  </si>
  <si>
    <t>ZYXEL IES-6000: Slot {#ZYXEL.SLOT.ID} has been restarted (uptime &lt; 10m)</t>
  </si>
  <si>
    <t>ZYXEL IES-6000: 插槽{#ZYXEL.SLOT.ID}已重启(正常运行时间&lt;10分钟)</t>
  </si>
  <si>
    <t>(3236/3171)</t>
  </si>
  <si>
    <t>ZYXEL IES1248-51 by SNMP</t>
  </si>
  <si>
    <t>19117</t>
  </si>
  <si>
    <t>ZYXEL IES1248-51: High the DSL line attenuation in Port {#SNMPINDEX} (&gt;{$ZYXEL.ADSL.ATN.MAX}dB for 5m)</t>
  </si>
  <si>
    <t>ZYXEL IES1248-51: 端口{#SNMPINDEX}中的DSL线路衰减高(&gt;{$ZYXEL.ADSL.ATN.MAX}dB达5分钟)</t>
  </si>
  <si>
    <t>(3236/3172)</t>
  </si>
  <si>
    <t>19118</t>
  </si>
  <si>
    <t>ZYXEL IES1248-51: Low the DSL line noise margins in Port {#SNMPINDEX} (&lt;{$ZYXEL.ADSL.SNR.MIN}dB for 5m)</t>
  </si>
  <si>
    <t>ZYXEL IES1248-51: 端口{#SNMPINDEX}中的DSL线路噪声容限低了(&lt;{$ZYXEL.ADSL.SNR.MIN}dB达5分钟)</t>
  </si>
  <si>
    <t>(3236/3173)</t>
  </si>
  <si>
    <t>19119</t>
  </si>
  <si>
    <t>(3236/3174)</t>
  </si>
  <si>
    <t>19120</t>
  </si>
  <si>
    <t>(3236/3179)</t>
  </si>
  <si>
    <t>ZYXEL MES-3528 by SNMP</t>
  </si>
  <si>
    <t>19134</t>
  </si>
  <si>
    <t>ZYXEL MES-3528: SFP {#SNMPINDEX} has been replaced (new serial number received)</t>
  </si>
  <si>
    <t>ZYXEL MES-3528: SFP{#SNMPINDEX}已更换(收到新序列号)</t>
  </si>
  <si>
    <t>(3236/3180)</t>
  </si>
  <si>
    <t>19132</t>
  </si>
  <si>
    <t>ZYXEL MES-3528: SFP {#ZYXEL.SFP.PORT}: High {#ZYXEL.SFP.DESCRIPTION} (over {#ZYXEL.SFP.WARN.MAX}{#ZYXEL.SFP.UNIT})</t>
  </si>
  <si>
    <t>ZYXEL MES-3528: SFP{#ZYXEL.SFP.PORT}: {#ZYXEL.SFP.DESCRIPTION}高了(超过{#ZYXEL.SFP.WARN.MAX}{#ZYXEL.SFP.UNIT})</t>
  </si>
  <si>
    <t>(3236/3181)</t>
  </si>
  <si>
    <t>19133</t>
  </si>
  <si>
    <t>ZYXEL MES-3528: SFP {#ZYXEL.SFP.PORT}: Low {#ZYXEL.SFP.DESCRIPTION} (less than {#ZYXEL.SFP.WARN.MIN}{#ZYXEL.SFP.UNIT})</t>
  </si>
  <si>
    <t>ZYXEL MES-3528: SFP{#ZYXEL.SFP.PORT}: {#ZYXEL.SFP.DESCRIPTION}低(小于{#ZYXEL.SFP.WARN.MIN}{#ZYXEL.SFP.UNIT})</t>
  </si>
  <si>
    <t>(3236/3182)</t>
  </si>
  <si>
    <t>ZYXEL MES3500-10 by SNMP</t>
  </si>
  <si>
    <t>19141</t>
  </si>
  <si>
    <t>ZYXEL MES3500-10: High memory utilization in "{#ZYXEL.MEMORY.NAME}" pool (&gt;{$MEMORY.UTIL.MAX}% for 5m)</t>
  </si>
  <si>
    <t>ZYXEL MES3500-10: "{#ZYXEL.MEMORY.NAME}"池中的内存利用率高了(&gt;{$MEMORY.UTIL.MAX}%达5分钟)</t>
  </si>
  <si>
    <t>(3236/3185)</t>
  </si>
  <si>
    <t>19145</t>
  </si>
  <si>
    <t>ZYXEL MES3500-10: SFP {#SNMPINDEX} has been replaced (new serial number received)</t>
  </si>
  <si>
    <t>ZYXEL MES3500-10: SFP{#SNMPINDEX}已更换(收到新序列号)</t>
  </si>
  <si>
    <t>(3236/3186)</t>
  </si>
  <si>
    <t>19143</t>
  </si>
  <si>
    <t>ZYXEL MES3500-10: SFP {#ZYXEL.SFP.PORT}: High {#ZYXEL.SFP.DESCRIPTION} (over {#ZYXEL.SFP.WARN.MAX}{#ZYXEL.SFP.UNIT})</t>
  </si>
  <si>
    <t>ZYXEL MES3500-10: SFP{#ZYXEL.SFP.PORT}: {#ZYXEL.SFP.DESCRIPTION}高(超过{#ZYXEL.SFP.WARN.MAX}{#ZYXEL.SFP.UNIT})</t>
  </si>
  <si>
    <t>(3236/3187)</t>
  </si>
  <si>
    <t>19144</t>
  </si>
  <si>
    <t>ZYXEL MES3500-10: SFP {#ZYXEL.SFP.PORT}: Low {#ZYXEL.SFP.DESCRIPTION} (less than {#ZYXEL.SFP.WARN.MIN}{#ZYXEL.SFP.UNIT})</t>
  </si>
  <si>
    <t>ZYXEL MES3500-10: SFP{#ZYXEL.SFP.PORT}: {#ZYXEL.SFP.DESCRIPTION}低(小于{#ZYXEL.SFP.WARN.MIN}{#ZYXEL.SFP.UNIT})</t>
  </si>
  <si>
    <t>(3236/3189)</t>
  </si>
  <si>
    <t>ZYXEL MES3500-24 by SNMP</t>
  </si>
  <si>
    <t>19154</t>
  </si>
  <si>
    <t>ZYXEL MES3500-24: High memory utilization in "{#ZYXEL.MEMORY.NAME}" pool (&gt;{$MEMORY.UTIL.MAX}% for 5m)</t>
  </si>
  <si>
    <t>ZYXEL MES3500-24: "{#ZYXEL.MEMORY.NAME}"池中的内存利用率高了(&gt;{$MEMORY.UTIL.MAX}%达5分钟)</t>
  </si>
  <si>
    <t>(3236/3192)</t>
  </si>
  <si>
    <t>19158</t>
  </si>
  <si>
    <t>ZYXEL MES3500-24: SFP {#SNMPINDEX} has been replaced (new serial number received)</t>
  </si>
  <si>
    <t>ZYXEL MES3500-24: SFP{#SNMPINDEX}已更换(收到新序列号)</t>
  </si>
  <si>
    <t>(3236/3193)</t>
  </si>
  <si>
    <t>19156</t>
  </si>
  <si>
    <t>ZYXEL MES3500-24: SFP {#ZYXEL.SFP.PORT}: High {#ZYXEL.SFP.DESCRIPTION} (over {#ZYXEL.SFP.WARN.MAX}{#ZYXEL.SFP.UNIT})</t>
  </si>
  <si>
    <t>ZYXEL MES3500-24: SFP{#ZYXEL.SFP.PORT}: {#ZYXEL.SFP.DESCRIPTION}高(超过{#ZYXEL.SFP.WARN.MAX}{#ZYXEL.SFP.UNIT})</t>
  </si>
  <si>
    <t>(3236/3194)</t>
  </si>
  <si>
    <t>19157</t>
  </si>
  <si>
    <t>ZYXEL MES3500-24: SFP {#ZYXEL.SFP.PORT}: Low {#ZYXEL.SFP.DESCRIPTION} (less than {#ZYXEL.SFP.WARN.MIN}{#ZYXEL.SFP.UNIT})</t>
  </si>
  <si>
    <t>ZYXEL MES3500-24: SFP{#ZYXEL.SFP.PORT}: {#ZYXEL.SFP.DESCRIPTION}低(小于{#ZYXEL.SFP.WARN.MIN}{#ZYXEL.SFP.UNIT})</t>
  </si>
  <si>
    <t>(3236/3198)</t>
  </si>
  <si>
    <t>ZYXEL MES3500-24S by SNMP</t>
  </si>
  <si>
    <t>19198</t>
  </si>
  <si>
    <t>ZYXEL MES3500-24S: SFP {#SNMPINDEX} has been replaced (new serial number received)</t>
  </si>
  <si>
    <t>ZYXEL MES3500-24S: SFP{#SNMPINDEX}已更换(收到新序列号)</t>
  </si>
  <si>
    <t>(3236/3199)</t>
  </si>
  <si>
    <t>19196</t>
  </si>
  <si>
    <t>ZYXEL MES3500-24S: SFP {#ZYXEL.SFP.PORT}: High {#ZYXEL.SFP.DESCRIPTION} (over {#ZYXEL.SFP.WARN.MAX}{#ZYXEL.SFP.UNIT})</t>
  </si>
  <si>
    <t>ZYXEL MES3500-24S: SFP{#ZYXEL.SFP.PORT}: {#ZYXEL.SFP.DESCRIPTION}高(超过{#ZYXEL.SFP.WARN.MAX}{#ZYXEL.SFP.UNIT})</t>
  </si>
  <si>
    <t>(3236/3200)</t>
  </si>
  <si>
    <t>19197</t>
  </si>
  <si>
    <t>ZYXEL MES3500-24S: SFP {#ZYXEL.SFP.PORT}: Low {#ZYXEL.SFP.DESCRIPTION} (less than {#ZYXEL.SFP.WARN.MIN}{#ZYXEL.SFP.UNIT})</t>
  </si>
  <si>
    <t>ZYXEL MES3500-24S: SFP{#ZYXEL.SFP.PORT}: {#ZYXEL.SFP.DESCRIPTION}低(小于{#ZYXEL.SFP.WARN.MIN}{#ZYXEL.SFP.UNIT})</t>
  </si>
  <si>
    <t>(3236/3206)</t>
  </si>
  <si>
    <t>ZYXEL MGS-3712 by SNMP</t>
  </si>
  <si>
    <t>19171</t>
  </si>
  <si>
    <t>ZYXEL MGS-3712: SFP {#SNMPINDEX} has been replaced (new serial number received)</t>
  </si>
  <si>
    <t>ZYXEL MGS-3712: SFP{#SNMPINDEX}已更换(收到新序列号)</t>
  </si>
  <si>
    <t>(3236/3207)</t>
  </si>
  <si>
    <t>19169</t>
  </si>
  <si>
    <t>ZYXEL MGS-3712: SFP {#ZYXEL.SFP.PORT}: High {#ZYXEL.SFP.DESCRIPTION} (over {#ZYXEL.SFP.WARN.MAX}{#ZYXEL.SFP.UNIT})</t>
  </si>
  <si>
    <t>ZYXEL MGS-3712: SFP{#ZYXEL.SFP.PORT}: {#ZYXEL.SFP.DESCRIPTION}高(超过{#ZYXEL.SFP.WARN.MAX}{#ZYXEL.SFP.UNIT})</t>
  </si>
  <si>
    <t>(3236/3208)</t>
  </si>
  <si>
    <t>19170</t>
  </si>
  <si>
    <t>ZYXEL MGS-3712: SFP {#ZYXEL.SFP.PORT}: Low {#ZYXEL.SFP.DESCRIPTION} (less than {#ZYXEL.SFP.WARN.MIN}{#ZYXEL.SFP.UNIT})</t>
  </si>
  <si>
    <t>ZYXEL MGS-3712: SFP{#ZYXEL.SFP.PORT}: {#ZYXEL.SFP.DESCRIPTION}低(小于{#ZYXEL.SFP.WARN.MIN}{#ZYXEL.SFP.UNIT})</t>
  </si>
  <si>
    <t>(3236/3213)</t>
  </si>
  <si>
    <t>ZYXEL MGS-3712F by SNMP</t>
  </si>
  <si>
    <t>19184</t>
  </si>
  <si>
    <t>ZYXEL MGS-3712F: SFP {#SNMPINDEX} has been replaced (new serial number received)</t>
  </si>
  <si>
    <t>ZYXEL MGS-3712F: SFP{#SNMPINDEX}已更换(收到新序列号)</t>
  </si>
  <si>
    <t>(3236/3214)</t>
  </si>
  <si>
    <t>19182</t>
  </si>
  <si>
    <t>ZYXEL MGS-3712F: SFP {#ZYXEL.SFP.PORT}: High {#ZYXEL.SFP.DESCRIPTION} (over {#ZYXEL.SFP.WARN.MAX}{#ZYXEL.SFP.UNIT})</t>
  </si>
  <si>
    <t>ZYXEL MGS-3712F: SFP{#ZYXEL.SFP.PORT}: {#ZYXEL.SFP.DESCRIPTION}高(超过{#ZYXEL.SFP.WARN.MAX}{#ZYXEL.SFP.UNIT})</t>
  </si>
  <si>
    <t>(3236/3215)</t>
  </si>
  <si>
    <t>19183</t>
  </si>
  <si>
    <t>ZYXEL MGS-3712F: SFP {#ZYXEL.SFP.PORT}: Low {#ZYXEL.SFP.DESCRIPTION} (less than {#ZYXEL.SFP.WARN.MIN}{#ZYXEL.SFP.UNIT})</t>
  </si>
  <si>
    <t>ZYXEL MGS-3712F: SFP{#ZYXEL.SFP.PORT}: {#ZYXEL.SFP.DESCRIPTION}低(小于{#ZYXEL.SFP.WARN.MIN}{#ZYXEL.SFP.UNIT})</t>
  </si>
  <si>
    <t>(3236/3219)</t>
  </si>
  <si>
    <t>ZYXEL MGS3520-28x by SNMP</t>
  </si>
  <si>
    <t>19212</t>
  </si>
  <si>
    <t>ZYXEL MGS3520-28x: SFP {#SNMPINDEX} has been replaced (new serial number received)</t>
  </si>
  <si>
    <t>ZYXEL MGS3520-28x: SFP{#SNMPINDEX}已更换(收到新序列号)</t>
  </si>
  <si>
    <t>(3236/3220)</t>
  </si>
  <si>
    <t>19210</t>
  </si>
  <si>
    <t>ZYXEL MGS3520-28x: SFP {#ZYXEL.SFP.PORT}: High {#ZYXEL.SFP.DESCRIPTION} (over {#ZYXEL.SFP.WARN.MAX}{#ZYXEL.SFP.UNIT})</t>
  </si>
  <si>
    <t>ZYXEL MGS3520-28x: SFP{#ZYXEL.SFP.PORT}: {#ZYXEL.SFP.DESCRIPTION}高(超过{#ZYXEL.SFP.WARN.MAX}{#ZYXEL.SFP.UNIT})</t>
  </si>
  <si>
    <t>(3236/3221)</t>
  </si>
  <si>
    <t>19211</t>
  </si>
  <si>
    <t>ZYXEL MGS3520-28x: SFP {#ZYXEL.SFP.PORT}: Low {#ZYXEL.SFP.DESCRIPTION} (less than {#ZYXEL.SFP.WARN.MIN}{#ZYXEL.SFP.UNIT})</t>
  </si>
  <si>
    <t>ZYXEL MGS3520-28x: SFP{#ZYXEL.SFP.PORT}: {#ZYXEL.SFP.DESCRIPTION}低(小于{#ZYXEL.SFP.WARN.MIN}{#ZYXEL.SFP.UNIT})</t>
  </si>
  <si>
    <t>(3236/3225)</t>
  </si>
  <si>
    <t>ZYXEL XGS-4728F by SNMP</t>
  </si>
  <si>
    <t>19222</t>
  </si>
  <si>
    <t>ZYXEL XGS-4728F: High memory utilization in "{#ZYXEL.MEMORY.NAME}" pool (&gt;{$MEMORY.UTIL.MAX}% for 5m)</t>
  </si>
  <si>
    <t>ZYXEL XGS-4728F: "{#ZYXEL.MEMORY.NAME}"池中的内存利用率高了(&gt;{$MEMORY.UTIL.MAX}%为5分钟)</t>
  </si>
  <si>
    <t>(3236/3228)</t>
  </si>
  <si>
    <t>19226</t>
  </si>
  <si>
    <t>ZYXEL XGS-4728F: SFP {#SNMPINDEX} has been replaced (new serial number received)</t>
  </si>
  <si>
    <t>ZYXEL XGS-4728F: SFP{#SNMPINDEX}已更换(收到新序列号)</t>
  </si>
  <si>
    <t>(3236/3229)</t>
  </si>
  <si>
    <t>19224</t>
  </si>
  <si>
    <t>ZYXEL XGS-4728F: SFP {#ZYXEL.SFP.PORT}: High {#ZYXEL.SFP.DESCRIPTION} (over {#ZYXEL.SFP.WARN.MAX}{#ZYXEL.SFP.UNIT})</t>
  </si>
  <si>
    <t>ZYXEL XGS-4728F: SFP{#ZYXEL.SFP.PORT}: {#ZYXEL.SFP.DESCRIPTION}高(超过{#ZYXEL.SFP.WARN.MAX}{#ZYXEL.SFP.UNIT})</t>
  </si>
  <si>
    <t>(3236/3230)</t>
  </si>
  <si>
    <t>19225</t>
  </si>
  <si>
    <t>ZYXEL XGS-4728F: SFP {#ZYXEL.SFP.PORT}: Low {#ZYXEL.SFP.DESCRIPTION} (less than {#ZYXEL.SFP.WARN.MIN}{#ZYXEL.SFP.UNIT})</t>
  </si>
  <si>
    <t>ZYXEL XGS-4728F: SFP{#ZYXEL.SFP.PORT}: {#ZYXEL.SFP.DESCRIPTION}低(小于{#ZYXEL.SFP.WARN.MIN}{#ZYXEL.SFP.UNIT})</t>
  </si>
  <si>
    <t>(3236/3233)</t>
  </si>
  <si>
    <t>Zookeeper by HTTP</t>
  </si>
  <si>
    <t>17528</t>
  </si>
  <si>
    <t>Zookeeper: Too many pending syncs (over {$ZOOKEEPER.PENDING_SYNCS.MAX.WARN}% for 5 min)</t>
  </si>
  <si>
    <t>Zookeeper: 挂起的同步太多(超过{$ZOOKEEPER.PENDING_SYNCS.MAX.WARN}%达5分钟)</t>
  </si>
  <si>
    <t>(3480/1)</t>
  </si>
  <si>
    <t>AIX by Zabbix agent</t>
  </si>
  <si>
    <t>17115</t>
  </si>
  <si>
    <t>AIX: FS [{#FSNAME}]: Running out of free inodes (free &lt; {$VFS.FS.INODE.PFREE.MIN.WARN:"{#FSNAME}"}%)</t>
  </si>
  <si>
    <t>AIX: FS [{#FSNAME}]: 索引节点不足(空闲 &lt; {$VFS.FS.INODE.PFREE.MIN.WARN: "{#FSNAME}"}%)</t>
  </si>
  <si>
    <t>(3480/2)</t>
  </si>
  <si>
    <t>23682</t>
  </si>
  <si>
    <t>AIX: {#FSNAME}: Running out of free inodes (free &lt; {$VFS.FS.INODE.PFREE.MIN.CRIT:"{#FSNAME}"}%)</t>
  </si>
  <si>
    <t>AIX: {#FSNAME}: 可用inode耗尽(可用&lt;{$VFS.FS.INODE.PFREE.MIN.CRIT: "{#FSNAME}"}%)</t>
  </si>
  <si>
    <t>(3480/3)</t>
  </si>
  <si>
    <t>17114</t>
  </si>
  <si>
    <t>AIX: FS [{#FSNAME}]: Space is low (used &gt; {$VFS.FS.PUSED.MAX.WARN:"{#FSNAME}"}%, total {{?last(//vfs.fs.dependent.size[{#FSNAME},total])/1024/1024/1024}.fmtnum(1)}GB)</t>
  </si>
  <si>
    <t>AIX: FS [{#FSNAME}]: 空间不足(已用 &gt; {$VFS.FS.PUSED.MAX.WARN: "{#FSNAME}"}%,总计 {{?last(//vfs.fs.dependent.size[{#FSNAME},total])/1024/1024/1024}.fmtnum(1)}GB)</t>
  </si>
  <si>
    <t>(3480/4)</t>
  </si>
  <si>
    <t>23683</t>
  </si>
  <si>
    <t>AIX: FS [{#FSNAME}]: Space is critically low (used &gt; {$VFS.FS.PUSED.MAX.CRIT:"{#FSNAME}"}%, total {{?last(//vfs.fs.dependent.size[{#FSNAME},total])/1024/1024/1024}.fmtnum(1)}GB)</t>
  </si>
  <si>
    <t>AIX: FS [{#FSNAME}]: 空间严重不足(已用 &gt; {$VFS.FS.PUSED.MAX.CRIT: "{#FSNAME}"}%,总计 {{?last(//vfs.fs.dependent.size[{#FSNAME},total])/1024/1024/1024}.fmtnum(1)}GB)</t>
  </si>
  <si>
    <t>(3480/8)</t>
  </si>
  <si>
    <t>APC Smart-UPS: {#BATTERY_PACK}.{#CARTRIDGE_INDEX}: Battery has high temperature (over {$BATTERY.TEMP.MAX.WARN}℃ for {$TIME.PERIOD})</t>
  </si>
  <si>
    <t>APC Smart-UPS: {#BATTERY_PACK}.{#CARTRIDGE_INDEX}: 电池温度太高(超过{$BATTERY.TEMP.MAX.WARN}℃持续{$TIME.PERIOD})</t>
  </si>
  <si>
    <t>(3480/15)</t>
  </si>
  <si>
    <t>APC Smart-UPS: {#PHASEINDEX}: Unacceptable phase {#PHASEINDEX} input voltage (out of range {$UPS.INPUT_VOLT.MIN.WARN}-{$UPS.INPUT_VOLT.MAX.WARN}V for {$TIME.PERIOD})</t>
  </si>
  <si>
    <t>APC Smart-UPS: {#PHASEINDEX}: 不可接受的相位{#PHASEINDEX}输入电压(超出范围{$UPS.INPUT_VOLT.MIN.WARN}-{$UPS.INPUT_VOLT.MAX.WARN}伏{$TIME.PERIOD})</t>
  </si>
  <si>
    <t>(3480/16)</t>
  </si>
  <si>
    <t>APC Smart-UPS: {#PHASEINDEX}: Unacceptable phase {#PHASEINDEX} output voltage (out of range {$UPS.INPUT_VOLT.MIN.WARN}-{$UPS.INPUT_VOLT.MAX.WARN}V for {$TIME.PERIOD})</t>
  </si>
  <si>
    <t>APC Smart-UPS: {#PHASEINDEX}: 不可接受的阶段{#PHASEINDEX}输出电压(超出范围{$UPS.INPUT_VOLT.MIN.WARN}-{$UPS.INPUT_VOLT.MAX.WARN}伏{$TIME.PERIOD})</t>
  </si>
  <si>
    <t>(3480/19)</t>
  </si>
  <si>
    <t>(3480/26)</t>
  </si>
  <si>
    <t>(3480/27)</t>
  </si>
  <si>
    <t>(3480/30)</t>
  </si>
  <si>
    <t>(3480/37)</t>
  </si>
  <si>
    <t>(3480/38)</t>
  </si>
  <si>
    <t>(3480/41)</t>
  </si>
  <si>
    <t>(3480/48)</t>
  </si>
  <si>
    <t>(3480/49)</t>
  </si>
  <si>
    <t>(3480/52)</t>
  </si>
  <si>
    <t>(3480/59)</t>
  </si>
  <si>
    <t>(3480/60)</t>
  </si>
  <si>
    <t>(3480/63)</t>
  </si>
  <si>
    <t>(3480/70)</t>
  </si>
  <si>
    <t>(3480/71)</t>
  </si>
  <si>
    <t>(3480/74)</t>
  </si>
  <si>
    <t>APC UPS Galaxy: {#BATTERY_PACK}.{#CARTRIDGE_INDEX}: Battery has high temperature (over {$BATTERY.TEMP.MAX.WARN}℃ for {$TIME.PERIOD})</t>
  </si>
  <si>
    <t>APC UPS Galaxy: {#BATTERY_PACK}.{#CARTRIDGE_INDEX}: 电池温度太高(超过{$BATTERY.TEMP.MAX.WARN}℃持续{$TIME.PERIOD})</t>
  </si>
  <si>
    <t>(3480/81)</t>
  </si>
  <si>
    <t>APC UPS Galaxy: {#PHASEINDEX}: Unacceptable phase {#PHASEINDEX} input voltage (out of range {$UPS.INPUT_VOLT.MIN.WARN}-{$UPS.INPUT_VOLT.MAX.WARN}V for {$TIME.PERIOD})</t>
  </si>
  <si>
    <t>APC UPS Galaxy: {#PHASEINDEX}: 不可接受的相位{#PHASEINDEX}输入电压(超出范围{$UPS.INPUT_VOLT.MIN.WARN}-{$UPS.INPUT_VOLT.MAX.WARN}伏{$TIME.PERIOD})</t>
  </si>
  <si>
    <t>(3480/82)</t>
  </si>
  <si>
    <t>APC UPS Galaxy: {#PHASEINDEX}: Unacceptable phase {#PHASEINDEX} output voltage (out of range {$UPS.INPUT_VOLT.MIN.WARN}-{$UPS.INPUT_VOLT.MAX.WARN}V for {$TIME.PERIOD})</t>
  </si>
  <si>
    <t>APC UPS Galaxy: {#PHASEINDEX}: 不可接受的阶段{#PHASEINDEX}输出电压(超出范围{$UPS.INPUT_VOLT.MIN.WARN}-{$UPS.INPUT_VOLT.MAX.WARN}伏{$TIME.PERIOD})</t>
  </si>
  <si>
    <t>(3480/85)</t>
  </si>
  <si>
    <t>APC UPS Symmetra: {#BATTERY_PACK}.{#CARTRIDGE_INDEX}: Battery has high temperature (over {$BATTERY.TEMP.MAX.WARN}℃ for {$TIME.PERIOD})</t>
  </si>
  <si>
    <t>APC UPS Symmetra: {#BATTERY_PACK}.{#CARTRIDGE_INDEX}: 电池温度太高(超过{$BATTERY.TEMP.MAX.WARN}℃持续{$TIME.PERIOD})</t>
  </si>
  <si>
    <t>(3480/92)</t>
  </si>
  <si>
    <t>APC UPS Symmetra: {#PHASEINDEX}: Unacceptable phase {#PHASEINDEX} input voltage (out of range {$UPS.INPUT_VOLT.MIN.WARN}-{$UPS.INPUT_VOLT.MAX.WARN}V for {$TIME.PERIOD})</t>
  </si>
  <si>
    <t>APC UPS Symmetra: {#PHASEINDEX}: 不可接受的相位{#PHASEINDEX}输入电压(超出范围{$UPS.INPUT_VOLT.MIN.WARN}-{$UPS.INPUT_VOLT.MAX.WARN}伏{$TIME.PERIOD})</t>
  </si>
  <si>
    <t>(3480/93)</t>
  </si>
  <si>
    <t>APC UPS Symmetra: {#PHASEINDEX}: Unacceptable phase {#PHASEINDEX} output voltage (out of range {$UPS.INPUT_VOLT.MIN.WARN}-{$UPS.INPUT_VOLT.MAX.WARN}V for {$TIME.PERIOD})</t>
  </si>
  <si>
    <t>APC UPS Symmetra: {#PHASEINDEX}: 不可接受的阶段{#PHASEINDEX}输出电压(超出范围{$UPS.INPUT_VOLT.MIN.WARN}-{$UPS.INPUT_VOLT.MAX.WARN}伏{$TIME.PERIOD})</t>
  </si>
  <si>
    <t>(3480/96)</t>
  </si>
  <si>
    <t>(3480/103)</t>
  </si>
  <si>
    <t>(3480/104)</t>
  </si>
  <si>
    <t>(3480/107)</t>
  </si>
  <si>
    <t>(3480/114)</t>
  </si>
  <si>
    <t>(3480/115)</t>
  </si>
  <si>
    <t>(3480/118)</t>
  </si>
  <si>
    <t>APC UPS: {#BATTERY_PACK}.{#CARTRIDGE_INDEX}: Battery has high temperature (over {$BATTERY.TEMP.MAX.WARN}℃ for {$TIME.PERIOD})</t>
  </si>
  <si>
    <t>APC UPS: {#BATTERY_PACK}.{#CARTRIDGE_INDEX}: 电池温度太高(超过{$BATTERY.TEMP.MAX.WARN}℃持续{$TIME.PERIOD})</t>
  </si>
  <si>
    <t>(3480/125)</t>
  </si>
  <si>
    <t>APC UPS: {#PHASEINDEX}: Unacceptable phase {#PHASEINDEX} input voltage (out of range {$UPS.INPUT_VOLT.MIN.WARN}-{$UPS.INPUT_VOLT.MAX.WARN}V for {$TIME.PERIOD})</t>
  </si>
  <si>
    <t>APC UPS: {#PHASEINDEX}: 不可接受的相位{#PHASEINDEX}输入电压(超出范围{$UPS.INPUT_VOLT.MIN.WARN}-{$UPS.INPUT_VOLT.MAX.WARN}伏{$TIME.PERIOD})</t>
  </si>
  <si>
    <t>(3480/126)</t>
  </si>
  <si>
    <t>APC UPS: {#PHASEINDEX}: Unacceptable phase {#PHASEINDEX} output voltage (out of range {$UPS.INPUT_VOLT.MIN.WARN}-{$UPS.INPUT_VOLT.MAX.WARN}V for {$TIME.PERIOD})</t>
  </si>
  <si>
    <t>APC UPS: {#PHASEINDEX}: 不可接受的阶段{#PHASEINDEX}输出电压(超出范围{$UPS.INPUT_VOLT.MIN.WARN}-{$UPS.INPUT_VOLT.MAX.WARN}伏{$TIME.PERIOD})</t>
  </si>
  <si>
    <t>(3480/130)</t>
  </si>
  <si>
    <t>22838</t>
  </si>
  <si>
    <t>AWS EC2: Burst balance is too low (less {$AWS.EBS.BURST.CREDIT.BALANCE.MIN.WARN}% for 5m)</t>
  </si>
  <si>
    <t>AWS EC2: 突发余额太低(减少{$AWS.EBS.BURST.CREDIT.BALANCE.MIN.WARN}%达5分钟)</t>
  </si>
  <si>
    <t>(3480/133)</t>
  </si>
  <si>
    <t>23310</t>
  </si>
  <si>
    <t>AWS ECS Cluster: [{#AWS.ECS.SERVICE.NAME}]: High CPU utilization (over {$AWS.ECS.CLUSTER.SERVICE.CPU.UTIL.WARN}% for 15m)</t>
  </si>
  <si>
    <t>AWS ECS Cluster: [{#AWS.ECS.SERVICE.NAME}]: CPU 使用率过高(超过 {$AWS.ECS.CLUSTER.SERVICE.CPU.UTIL.WARN}% 达 15 分钟)</t>
  </si>
  <si>
    <t>(3480/134)</t>
  </si>
  <si>
    <t>23311</t>
  </si>
  <si>
    <t>AWS ECS Cluster: [{#AWS.ECS.SERVICE.NAME}]: High memory utilization (over {$AWS.ECS.CLUSTER.SERVICE.MEMORY.UTIL.WARN}% for 15m)</t>
  </si>
  <si>
    <t>AWS ECS Cluster: [{#AWS.ECS.SERVICE.NAME}]: 内存使用率过高(超过 {$AWS.ECS.CLUSTER.SERVICE.MEMORY.UTIL.WARN}% 达 15 分钟)</t>
  </si>
  <si>
    <t>(3480/137)</t>
  </si>
  <si>
    <t>23318</t>
  </si>
  <si>
    <t>AWS ECS Serverless: [{#AWS.ECS.SERVICE.NAME}]: High CPU utilization (over {$AWS.ECS.CLUSTER.SERVICE.CPU.UTIL.WARN}% for 15m)</t>
  </si>
  <si>
    <t>AWS ECS Serverless: [{#AWS.ECS.SERVICE.NAME}]: CPU 使用率过高(超过 {$AWS.ECS.CLUSTER.SERVICE.CPU.UTIL.WARN}% 达 15 分钟)</t>
  </si>
  <si>
    <t>(3480/138)</t>
  </si>
  <si>
    <t>AWS ECS Serverless: [{#AWS.ECS.SERVICE.NAME}]: High memory utilization (over {$AWS.ECS.CLUSTER.SERVICE.MEMORY.UTIL.WARN}% for 15m)</t>
  </si>
  <si>
    <t>AWS ECS Serverless: [{#AWS.ECS.SERVICE.NAME}]: 内存使用率过高(超过 {$AWS.ECS.CLUSTER.SERVICE.MEMORY.UTIL.WARN}% 达 15 分钟)</t>
  </si>
  <si>
    <t>(3480/139)</t>
  </si>
  <si>
    <t>23531</t>
  </si>
  <si>
    <t>AWS ELB ALB: [{#ALARM_NAME}] has 'Alarm' state (reason: {ITEM.LASTVALUE2})</t>
  </si>
  <si>
    <t>AWS ELB ALB: [{#ALARM_NAME}] 处于 '警报' 状态(原因: {ITEM.LASTVALUE2})</t>
  </si>
  <si>
    <t>(3480/140)</t>
  </si>
  <si>
    <t>23532</t>
  </si>
  <si>
    <t>AWS ELB ALB: [{#ALARM_NAME}] has 'Insufficient data' state</t>
  </si>
  <si>
    <t>AWS ELB ALB: [{#ALARM_NAME}] 处于 '数据不足' 状态</t>
  </si>
  <si>
    <t>(3480/141)</t>
  </si>
  <si>
    <t>23678</t>
  </si>
  <si>
    <t>AWS ELB NLB: [{#ALARM_NAME}] has 'Alarm' state (reason: {ITEM.LASTVALUE2})</t>
  </si>
  <si>
    <t>AWS ELB NLB: [{#ALARM_NAME}] 处于 '警报' 状态(原因: {ITEM.LASTVALUE2})</t>
  </si>
  <si>
    <t>(3480/142)</t>
  </si>
  <si>
    <t>23679</t>
  </si>
  <si>
    <t>AWS ELB NLB: [{#ALARM_NAME}] has 'Insufficient data' state</t>
  </si>
  <si>
    <t>AWS ELB NLB: [{#ALARM_NAME}] 处于 '数据不足' 状态</t>
  </si>
  <si>
    <t>(3480/143)</t>
  </si>
  <si>
    <t>23680</t>
  </si>
  <si>
    <t>AWS ELB NLB: [{#AWS.ELB.TARGET.GROUP.NAME}]: Healthy Host Count = 0</t>
  </si>
  <si>
    <t>AWS ELB NLB: [{#AWS.ELB.TARGET.GROUP.NAME}]: 健康主机数 = 0</t>
  </si>
  <si>
    <t>(3480/144)</t>
  </si>
  <si>
    <t>23681</t>
  </si>
  <si>
    <t>AWS ELB NLB: [{#AWS.ELB.TARGET.GROUP.NAME}]: Unhealthy Host Count &gt; {$AWS.ELB.UNHEALTHY.HOST.MAX}</t>
  </si>
  <si>
    <t>AWS ELB NLB: [{#AWS.ELB.TARGET.GROUP.NAME}]: 非健康主机数 &gt; {$AWS.ELB.UNHEALTHY.HOST.MAX}</t>
  </si>
  <si>
    <t>(3480/145)</t>
  </si>
  <si>
    <t>23749</t>
  </si>
  <si>
    <t>AWS Lambda: [{#ALARM_NAME}] has 'Alarm' state (reason: {ITEM.LASTVALUE2})</t>
  </si>
  <si>
    <t>AWS Lambda: [{#ALARM_NAME}] 处于 '警报' 状态(原因: {ITEM.LASTVALUE2})</t>
  </si>
  <si>
    <t>(3480/146)</t>
  </si>
  <si>
    <t>23750</t>
  </si>
  <si>
    <t>AWS Lambda: [{#ALARM_NAME}] has 'Insufficient data' state</t>
  </si>
  <si>
    <t>AWS Lambda: [{#ALARM_NAME}] 处于 '数据不足' 状态</t>
  </si>
  <si>
    <t>(3480/151)</t>
  </si>
  <si>
    <t>23398</t>
  </si>
  <si>
    <t>Acronis: Alert [{#ALERT_ID}]: "critical" severity</t>
  </si>
  <si>
    <t>Acronis: 告警 [{#ALERT_ID}]: "critical" 级别告警</t>
  </si>
  <si>
    <t>(3480/152)</t>
  </si>
  <si>
    <t>23399</t>
  </si>
  <si>
    <t>Acronis: Alert [{#ALERT_ID}]: "error" severity</t>
  </si>
  <si>
    <t>Acronis: 告警 [{#ALERT_ID}]: "error" 级别告警</t>
  </si>
  <si>
    <t>(3480/153)</t>
  </si>
  <si>
    <t>23400</t>
  </si>
  <si>
    <t>Acronis: Alert [{#ALERT_ID}]: "warning" severity</t>
  </si>
  <si>
    <t>Acronis: 告警 [{#ALERT_ID}]: "warning" 级别告警</t>
  </si>
  <si>
    <t>(3480/168)</t>
  </si>
  <si>
    <t>Alcatel TiMOS: Interface {#IFNAME}({#IFALIAS}): High error rate (&gt;{$IF.ERRORS.WARN:"{#IFNAME}"} for 5m)</t>
  </si>
  <si>
    <t>Alcatel TiMOS: 接口{#IFNAME}({#IFALIAS}): 错误率太高(&gt;{$IF.ERRORS.WARN: "{#IFNAME}"}达5分钟)</t>
  </si>
  <si>
    <t>(3480/169)</t>
  </si>
  <si>
    <t>Alcatel TiMOS: Interface {#IFNAME}({#IFALIAS}): High bandwidth usage (&gt;{$IF.UTIL.MAX:"{#IFNAME}"}%)</t>
  </si>
  <si>
    <t>Alcatel TiMOS: 接口{#IFNAME}({#IFALIAS}): 带宽使用率太高(&gt;{$IF.UTIL.MAX: "{#IFNAME}"}%)</t>
  </si>
  <si>
    <t>(3480/175)</t>
  </si>
  <si>
    <t>Alcatel TiMOS: {#SNMPVALUE}: Temperature is above critical threshold: &gt;{$TEMP_CRIT:"{#SNMPVALUE}"}</t>
  </si>
  <si>
    <t>Alcatel TiMOS: {#SNMPVALUE}: 温度高于临界阈值: &gt;{$TEMP_CRIT: "{#SNMPVALUE}"}</t>
  </si>
  <si>
    <t>(3480/176)</t>
  </si>
  <si>
    <t>Alcatel TiMOS: {#SNMPVALUE}: Temperature is above warning threshold: &gt;{$TEMP_WARN:"{#SNMPVALUE}"}</t>
  </si>
  <si>
    <t>Alcatel TiMOS: {#SNMPVALUE}: 温度高于告警阈值: &gt;{$TEMP_WARN: "{#SNMPVALUE}"}</t>
  </si>
  <si>
    <t>(3480/177)</t>
  </si>
  <si>
    <t>Alcatel TiMOS: {#SNMPVALUE}: Temperature is too low: &lt;{$TEMP_CRIT_LOW:"{#SNMPVALUE}"}</t>
  </si>
  <si>
    <t>Alcatel TiMOS: {#SNMPVALUE}: 温度太低: &lt;{$TEMP_CRIT_LOW: "{#SNMPVALUE}"}</t>
  </si>
  <si>
    <t>(3480/178)</t>
  </si>
  <si>
    <t>Alcatel TiMOS: {#ENT_NAME}: Device has been replaced (new serial number received)</t>
  </si>
  <si>
    <t>Alcatel TiMOS: {#ENT_NAME}: 设备已更换(收到新序列号)</t>
  </si>
  <si>
    <t>(3480/179)</t>
  </si>
  <si>
    <t>Apache ActiveMQ: {#JMXBROKERNAME}: {#JMXDESTINATIONTYPE} {#JMXDESTINATIONNAME}: Consumers count is too low (below {$ACTIVEMQ.DESTINATION.CONSUMERS.MIN.HIGH:"{#JMXDESTINATIONNAME}"} for {$ACTIVEMQ.DESTINATION.CONSUMERS.MIN.TIME:"{#JMXDESTINATIONNAME}"})</t>
  </si>
  <si>
    <t>Apache ActiveMQ: {#JMXBROKERNAME}: {#JMXDESTINATIONTYPE}{#JMXDESTINATIONNAME}: 消费者数量太低(低于{$ACTIVEMQ.DESTINATION.CONSUMERS.MIN.HIGH: "{#JMXDESTINATIONNAME}"}达{$ACTIVEMQ.DESTINATION.CONSUMERS.MIN.TIME: "{#JMXDESTINATIONNAME}"})</t>
  </si>
  <si>
    <t>(3480/180)</t>
  </si>
  <si>
    <t>Apache ActiveMQ: {#JMXBROKERNAME}: {#JMXDESTINATIONTYPE} {#JMXDESTINATIONNAME}: Producers count is too low (below {$ACTIVEMQ.DESTINATION.PRODUCERS.MIN.HIGH:"{#JMXDESTINATIONNAME}"} for {$ACTIVEMQ.DESTINATION.PRODUCERS.MIN.TIME:"{#JMXDESTINATIONNAME}"})</t>
  </si>
  <si>
    <t>Apache ActiveMQ: {#JMXBROKERNAME}: {#JMXDESTINATIONTYPE}{#JMXDESTINATIONNAME}: 生产者数量太低(低于{$ACTIVEMQ.DESTINATION.PRODUCERS.MIN.HIGH: "{#JMXDESTINATIONNAME}"}达{$ACTIVEMQ.DESTINATION.PRODUCERS.MIN.TIME: "{#JMXDESTINATIONNAME}"})</t>
  </si>
  <si>
    <t>(3480/181)</t>
  </si>
  <si>
    <t>Apache ActiveMQ: Broker {#JMXBROKERNAME}: Memory usage is too high (over {$ACTIVEMQ.MEM.MAX.HIGH:"{#JMXBROKERNAME}"}%)</t>
  </si>
  <si>
    <t>Apache ActiveMQ: Broker {#JMXBROKERNAME}: Memory使用率太高(超过{$ACTIVEMQ.MEM.MAX.HIGH: "{#JMXBROKERNAME}"}%)</t>
  </si>
  <si>
    <t>(3480/182)</t>
  </si>
  <si>
    <t>Apache ActiveMQ: Broker {#JMXBROKERNAME}: Memory usage is too high (over {$ACTIVEMQ.MEM.MAX.WARN:"{#JMXBROKERNAME}"}%)</t>
  </si>
  <si>
    <t>Apache ActiveMQ: Broker {#JMXBROKERNAME}: Memory使用率太高(超过{$ACTIVEMQ.MEM.MAX.WARN: "{#JMXBROKERNAME}"}%)</t>
  </si>
  <si>
    <t>(3480/183)</t>
  </si>
  <si>
    <t>Apache ActiveMQ: Broker {#JMXBROKERNAME}: Version has changed (new version: {ITEM.VALUE})</t>
  </si>
  <si>
    <t>Apache ActiveMQ: Broker {#JMXBROKERNAME}: 版本已变更(新版本: {ITEM.VALUE})</t>
  </si>
  <si>
    <t>(3480/184)</t>
  </si>
  <si>
    <t>Apache ActiveMQ: {#JMXBROKERNAME}: {#JMXDESTINATIONTYPE} {#JMXDESTINATIONNAME}: Message enqueue rate is higher than dequeue rate for {$ACTIVEMQ.MSG.RATE.WARN.TIME:"{#JMXDESTINATIONNAME}"}</t>
  </si>
  <si>
    <t>Apache ActiveMQ: {#JMXBROKERNAME}: {#JMXDESTINATIONTYPE}{#JMXDESTINATIONNAME}: 消息入队率高于出队率{$ACTIVEMQ.MSG.RATE.WARN.TIME: "{#JMXDESTINATIONNAME}"}</t>
  </si>
  <si>
    <t>(3480/185)</t>
  </si>
  <si>
    <t>Apache ActiveMQ: {#JMXBROKERNAME}: {#JMXDESTINATIONTYPE} {#JMXDESTINATIONNAME}: Expired messages count higher than {$ACTIVEMQ.EXPIRED.WARN:"{#JMXDESTINATIONNAME}"}</t>
  </si>
  <si>
    <t>Apache ActiveMQ: {#JMXBROKERNAME}: {#JMXDESTINATIONTYPE}{#JMXDESTINATIONNAME}: 过期消息计数很高于{$ACTIVEMQ.EXPIRED.WARN: "{#JMXDESTINATIONNAME}"}</t>
  </si>
  <si>
    <t>(3480/186)</t>
  </si>
  <si>
    <t>Apache ActiveMQ: {#JMXBROKERNAME}: {#JMXDESTINATIONTYPE} {#JMXDESTINATIONNAME}: Memory usage is too high (over {$ACTIVEMQ.MEM.MAX.HIGH:"{#JMXDESTINATIONNAME}"}%)</t>
  </si>
  <si>
    <t>Apache ActiveMQ: {#JMXBROKERNAME}: {#JMXDESTINATIONTYPE}{#JMXDESTINATIONNAME}: 内存使用率太高(超过{$ACTIVEMQ.MEM.MAX.HIGH: "{#JMXDESTINATIONNAME}"}%)</t>
  </si>
  <si>
    <t>(3480/187)</t>
  </si>
  <si>
    <t>Apache ActiveMQ: {#JMXBROKERNAME}: {#JMXDESTINATIONTYPE} {#JMXDESTINATIONNAME}: Memory usage is too high (over {$ACTIVEMQ.MEM.MAX.WARN:"{#JMXDESTINATIONNAME}"}%)</t>
  </si>
  <si>
    <t>Apache ActiveMQ: {#JMXBROKERNAME}: {#JMXDESTINATIONTYPE}{#JMXDESTINATIONNAME}: 内存使用率太高(超过{$ACTIVEMQ.MEM.MAX.WARN: "{#JMXDESTINATIONNAME}"}%)</t>
  </si>
  <si>
    <t>(3480/188)</t>
  </si>
  <si>
    <t>Apache ActiveMQ: {#JMXBROKERNAME}: {#JMXDESTINATIONTYPE} {#JMXDESTINATIONNAME}: Queue size higher than {$ACTIVEMQ.QUEUE.WARN:"{#JMXDESTINATIONNAME}"} for {$ACTIVEMQ.QUEUE.TIME:"{#JMXDESTINATIONNAME}"}</t>
  </si>
  <si>
    <t>Apache ActiveMQ: {#JMXBROKERNAME}: {#JMXDESTINATIONTYPE}{#JMXDESTINATIONNAME}: 队列大小大于{$ACTIVEMQ.QUEUE.WARN: "{#JMXDESTINATIONNAME}"}{$ACTIVEMQ.QUEUE.TIME: "{#JMXDESTINATIONNAME}"}</t>
  </si>
  <si>
    <t>(3480/189)</t>
  </si>
  <si>
    <t>Apache ActiveMQ: Broker {#JMXBROKERNAME}: Storage usage is too high (over {$ACTIVEMQ.STORE.MAX.HIGH:"{#JMXBROKERNAME}"}%)</t>
  </si>
  <si>
    <t>Apache ActiveMQ: Broker {#JMXBROKERNAME}: 存储使用率太高(超过{$ACTIVEMQ.STORE.MAX.HIGH: "{#JMXBROKERNAME}"}%)</t>
  </si>
  <si>
    <t>(3480/190)</t>
  </si>
  <si>
    <t>Apache ActiveMQ: Broker {#JMXBROKERNAME}: Storage usage is too high (over {$ACTIVEMQ.STORE.MAX.WARN:"{#JMXBROKERNAME}"}%)</t>
  </si>
  <si>
    <t>Apache ActiveMQ: Broker {#JMXBROKERNAME}: 存储使用率太高(超过{$ACTIVEMQ.STORE.MAX.WARN: "{#JMXBROKERNAME}"}%)</t>
  </si>
  <si>
    <t>(3480/191)</t>
  </si>
  <si>
    <t>Apache ActiveMQ: Broker {#JMXBROKERNAME}: Temp usage is too high (over {$ACTIVEMQ.TEMP.MAX.WARN:"{#JMXBROKERNAME}"}%)</t>
  </si>
  <si>
    <t>Apache ActiveMQ: Broker {#JMXBROKERNAME}: Temp使用率太高(超过{$ACTIVEMQ.TEMP.MAX.WARN: "{#JMXBROKERNAME}"}%)</t>
  </si>
  <si>
    <t>(3480/192)</t>
  </si>
  <si>
    <t>(3480/193)</t>
  </si>
  <si>
    <t>Apache ActiveMQ: Broker {#JMXBROKERNAME}: Consumers count is too low (below {$ACTIVEMQ.BROKER.CONSUMERS.MIN.HIGH:"{#JMXBROKERNAME}"} for {$ACTIVEMQ.BROKER.CONSUMERS.MIN.TIME:"{#JMXBROKERNAME}"})</t>
  </si>
  <si>
    <t>Apache ActiveMQ: Broker {#JMXBROKERNAME}: 消费者数量太少(少于{$ACTIVEMQ.BROKER.CONSUMERS.MIN.HIGH: "{#JMXBROKERNAME}"}达{$ACTIVEMQ.BROKER.CONSUMERS.MIN.TIME: "{#JMXBROKERNAME}"})</t>
  </si>
  <si>
    <t>(3480/194)</t>
  </si>
  <si>
    <t>Apache ActiveMQ: Broker {#JMXBROKERNAME}: Message enqueue rate is higher than dequeue rate for {$ACTIVEMQ.MSG.RATE.WARN.TIME:"{#JMXBROKERNAME}"}</t>
  </si>
  <si>
    <t>Apache ActiveMQ: Broker {#JMXBROKERNAME}: 消息入队率高于出队率达{$ACTIVEMQ.MSG.RATE.WARN.TIME: "{#JMXBROKERNAME}"}</t>
  </si>
  <si>
    <t>(3480/195)</t>
  </si>
  <si>
    <t>Apache ActiveMQ: Broker {#JMXBROKERNAME}: Producers count is too low (below {$ACTIVEMQ.BROKER.PRODUCERS.MIN.HIGH:"{#JMXBROKERNAME}"} for {$ACTIVEMQ.BROKER.PRODUCERS.MIN.TIME:"{#JMXBROKERNAME}"})</t>
  </si>
  <si>
    <t>Apache ActiveMQ: Broker {#JMXBROKERNAME}: 生产者数量太少(少于{$ACTIVEMQ.BROKER.PRODUCERS.MIN.HIGH: "{#JMXBROKERNAME}"}达{$ACTIVEMQ.BROKER.PRODUCERS.MIN.TIME: "{#JMXBROKERNAME}"})</t>
  </si>
  <si>
    <t>(3480/196)</t>
  </si>
  <si>
    <t>Apache ActiveMQ: Broker {#JMXBROKERNAME}: Broker has been restarted (uptime &lt; 10m)</t>
  </si>
  <si>
    <t>Apache ActiveMQ: Broker {#JMXBROKERNAME}: Broker 已重启(正常运行时间&lt;10分钟)</t>
  </si>
  <si>
    <t>(3480/198)</t>
  </si>
  <si>
    <t>Apache Tomcat: {#JMXNAME}: Busy worker threads count are more than {$TOMCAT.THREADS.MAX.PCT:"{#JMXNAME}"}% of the limit for {$TOMCAT.THREADS.MAX.TIME:"{#JMXNAME}"}</t>
  </si>
  <si>
    <t>Apache Tomcat: {#JMXNAME}: 繁忙的工作线程数超过{$TOMCAT.THREADS.MAX.PCT: "{#JMXNAME}"}%的限制达{$TOMCAT.THREADS.MAX.TIME: "{#JMXNAME}"}</t>
  </si>
  <si>
    <t>(3480/199)</t>
  </si>
  <si>
    <t>Apache by Zabbix agent</t>
  </si>
  <si>
    <t>23039</t>
  </si>
  <si>
    <t>Apache: Failed to fetch status page (or no data for 30m)</t>
  </si>
  <si>
    <t>Apache: 法获取状态页面(或30分钟内无数据)</t>
  </si>
  <si>
    <t>(3480/201)</t>
  </si>
  <si>
    <t>23041</t>
  </si>
  <si>
    <t>Apache: Service response time is too high (over {$APACHE.RESPONSE_TIME.MAX.WARN}s for 5m)</t>
  </si>
  <si>
    <t>Apache: 务响应时间过高(5分钟内超过{$APACHE.RESPONSE_TIME.MAX.WARN}秒)</t>
  </si>
  <si>
    <t>(3480/203)</t>
  </si>
  <si>
    <t>Apache by Zabbix agent active</t>
  </si>
  <si>
    <t>23821</t>
  </si>
  <si>
    <t>(3480/205)</t>
  </si>
  <si>
    <t>23823</t>
  </si>
  <si>
    <t>(3480/207)</t>
  </si>
  <si>
    <t>Aranet: {#METRIC}: Critically low battery voltage on "[{#GATEWAY_NAME}] {#SENSOR_NAME}" (below {$ARANET.BATT.VOLTAGE.MIN.CRIT:"{#SENSOR_NAME}"}{#UNIT} for 5m)</t>
  </si>
  <si>
    <t>Aranet: {#METRIC}: "[{#GATEWAY_NAME}]{#SENSOR_NAME}"上的电池电压特别低(低于{$ARANET.BATT.VOLTAGE.MIN.CRIT: "{#SENSOR_NAME}"}{#UNIT}达5分钟)</t>
  </si>
  <si>
    <t>(3480/208)</t>
  </si>
  <si>
    <t>Aranet: {#METRIC}: Low battery voltage on "[{#GATEWAY_NAME}] {#SENSOR_NAME}" (below {$ARANET.BATT.VOLTAGE.MIN.WARN:"{#SENSOR_NAME}"}{#UNIT} for 5m)</t>
  </si>
  <si>
    <t>Aranet: {#METRIC}: "[{#GATEWAY_NAME}]{#SENSOR_NAME}"上的电池电压低(低于{$ARANET.BATT.VOLTAGE.MIN.WARN: "{#SENSOR_NAME}"}{#UNIT}达5分钟)</t>
  </si>
  <si>
    <t>(3480/209)</t>
  </si>
  <si>
    <t>Aranet: {#METRIC}: Critically high CO2 level on "[{#GATEWAY_NAME}] {#SENSOR_NAME}" (over {$ARANET.CO2.MAX.CRIT:"{#SENSOR_NAME}"}{#UNIT} for 5m)</t>
  </si>
  <si>
    <t>Aranet: {#METRIC}: "[{#GATEWAY_NAME}]{#SENSOR_NAME}"上的CO2浓度非常高(超过{$ARANET.CO2.MAX.CRIT: "{#SENSOR_NAME}"}{#UNIT}达5分钟)</t>
  </si>
  <si>
    <t>(3480/210)</t>
  </si>
  <si>
    <t>Aranet: {#METRIC}: High CO2 level on "[{#GATEWAY_NAME}] {#SENSOR_NAME}" (over {$ARANET.CO2.MAX.WARN:"{#SENSOR_NAME}"}{#UNIT} for 5m)</t>
  </si>
  <si>
    <t>Aranet: {#METRIC}: "[{#GATEWAY_NAME}]{#SENSOR_NAME}"上的高二氧化碳浓度(超过{$ARANET.CO2.MAX.WARN: "{#SENSOR_NAME}"}{#UNIT}达5分钟)</t>
  </si>
  <si>
    <t>(3480/211)</t>
  </si>
  <si>
    <t>Aranet: {#METRIC}: Low humidity on "[{#GATEWAY_NAME}] {#SENSOR_NAME}" (below {$ARANET.HUMIDITY.MIN.WARN:"{#SENSOR_NAME}"}{#UNIT} for 5m)</t>
  </si>
  <si>
    <t>Aranet: {#METRIC}: "[{#GATEWAY_NAME}]{#SENSOR_NAME}"湿度低(低于{$ARANET.HUMIDITY.MIN.WARN: "{#SENSOR_NAME}"}{#UNIT}达5分钟)</t>
  </si>
  <si>
    <t>(3480/212)</t>
  </si>
  <si>
    <t>Aranet: {#METRIC}: High humidity on "[{#GATEWAY_NAME}] {#SENSOR_NAME}" (over {$ARANET.HUMIDITY.MAX.WARN:"{#SENSOR_NAME}"}{#UNIT} for 5m)</t>
  </si>
  <si>
    <t>Aranet: {#METRIC}: "[{#GATEWAY_NAME}]{#SENSOR_NAME}"湿度高(超过{$ARANET.HUMIDITY.MAX.WARN: "{#SENSOR_NAME}"}{#UNIT}达5分钟)</t>
  </si>
  <si>
    <t>(3480/213)</t>
  </si>
  <si>
    <t>Aranet: {#METRIC}: Sensor data "[{#GATEWAY_NAME}] {#SENSOR_NAME}" is not updated (more than {$ARANET.LAST_UPDATE.MAX.WARN:"{#SENSOR_NAME}"})</t>
  </si>
  <si>
    <t>Aranet: {#METRIC}: 传感器数据"[{#GATEWAY_NAME}]{#SENSOR_NAME}"未更新(超过{$ARANET.LAST_UPDATE.MAX.WARN: "{#SENSOR_NAME}"})</t>
  </si>
  <si>
    <t>(3480/215)</t>
  </si>
  <si>
    <t>Arista: Interface {#IFNAME}({#IFALIAS}): High error rate (&gt;{$IF.ERRORS.WARN:"{#IFNAME}"} for 5m)</t>
  </si>
  <si>
    <t>Arista: 接口{#IFNAME}({#IFALIAS}): 错误率太高(&gt;{$IF.ERRORS.WARN: "{#IFNAME}"}达5分钟)</t>
  </si>
  <si>
    <t>(3480/216)</t>
  </si>
  <si>
    <t>Arista: Interface {#IFNAME}({#IFALIAS}): High bandwidth usage (&gt;{$IF.UTIL.MAX:"{#IFNAME}"}%)</t>
  </si>
  <si>
    <t>Arista: 接口{#IFNAME}({#IFALIAS}): 带宽使用率太高(&gt;{$IF.UTIL.MAX: "{#IFNAME}"}%)</t>
  </si>
  <si>
    <t>(3480/219)</t>
  </si>
  <si>
    <t>Arista: {#SENSOR_INFO}: Fan speed is below the critical threshold of {#THRESHOLD_LO_CRIT}rpm for 5m</t>
  </si>
  <si>
    <t>Arista: {#SENSOR_INFO}: 风扇速度低于临界阈值{#THRESHOLD_LO_CRIT}rpm达5分钟</t>
  </si>
  <si>
    <t>(3480/220)</t>
  </si>
  <si>
    <t>Arista: {#SENSOR_INFO}: Fan speed is below the warning threshold of {#THRESHOLD_LO_WARN}rpm for 5m</t>
  </si>
  <si>
    <t>Arista: {#SENSOR_INFO}: 风扇速度低于告警阈值{#THRESHOLD_LO_WARN}rpm达5分钟</t>
  </si>
  <si>
    <t>(3480/221)</t>
  </si>
  <si>
    <t>Arista: {#SENSOR_INFO}: Fan speed is above the critical threshold of {#THRESHOLD_HI_CRIT}rpm for 5m</t>
  </si>
  <si>
    <t>Arista: {#SENSOR_INFO}: 风扇速度超过临界阈值{#THRESHOLD_HI_CRIT}rpm达5分钟</t>
  </si>
  <si>
    <t>(3480/222)</t>
  </si>
  <si>
    <t>Arista: {#SENSOR_INFO}: Fan speed is above the warning threshold of {#THRESHOLD_HI_WARN}rpm for 5m</t>
  </si>
  <si>
    <t>Arista: {#SENSOR_INFO}: 风扇速度超过告警阈值{#THRESHOLD_HI_WARN}rpm达5分钟</t>
  </si>
  <si>
    <t>(3480/225)</t>
  </si>
  <si>
    <t>Arista: {#SENSOR_INFO}: Temperature is below the critical threshold of {#THRESHOLD_LO_CRIT}°C for 5m</t>
  </si>
  <si>
    <t>Arista: {#SENSOR_INFO}: 温度低于临界阈值{#THRESHOLD_LO_CRIT}°C达5分钟</t>
  </si>
  <si>
    <t>(3480/226)</t>
  </si>
  <si>
    <t>Arista: {#SENSOR_INFO}: Temperature is below the warning threshold of {#THRESHOLD_LO_WARN}°C for 5m</t>
  </si>
  <si>
    <t>Arista: {#SENSOR_INFO}: 温度低于告警阈值{#THRESHOLD_LO_WARN}°C达5分钟</t>
  </si>
  <si>
    <t>(3480/227)</t>
  </si>
  <si>
    <t>Arista: {#SENSOR_INFO}: Temperature is above the critical threshold of {#THRESHOLD_HI_CRIT}°C for 5m</t>
  </si>
  <si>
    <t>Arista: {#SENSOR_INFO}: 温度高于临界阈值{#THRESHOLD_HI_CRIT}°C达5分钟</t>
  </si>
  <si>
    <t>(3480/228)</t>
  </si>
  <si>
    <t>Arista: {#SENSOR_INFO}: Temperature is above the warning threshold of {#THRESHOLD_HI_WARN}°C for 5m</t>
  </si>
  <si>
    <t>Arista: {#SENSOR_INFO}: 温度超过告警阈值{#THRESHOLD_HI_WARN}°C达5分钟</t>
  </si>
  <si>
    <t>(3480/229)</t>
  </si>
  <si>
    <t>Arista: {#SENSOR_INFO}: Voltage is below the critical threshold of {#THRESHOLD_LO_CRIT}V for 5m</t>
  </si>
  <si>
    <t>Arista: {#SENSOR_INFO}: 电压低于临界阈值{#THRESHOLD_LO_CRIT}伏达5分钟</t>
  </si>
  <si>
    <t>(3480/230)</t>
  </si>
  <si>
    <t>Arista: {#SENSOR_INFO}: Voltage is below the warning threshold of {#THRESHOLD_LO_WARN}V for 5m</t>
  </si>
  <si>
    <t>Arista: {#SENSOR_INFO}: 电压低于告警阈值{#THRESHOLD_LO_WARN}伏达5分钟</t>
  </si>
  <si>
    <t>(3480/231)</t>
  </si>
  <si>
    <t>Arista: {#SENSOR_INFO}: Voltage is above the critical threshold of {#THRESHOLD_HI_CRIT}V for 5m</t>
  </si>
  <si>
    <t>Arista: {#SENSOR_INFO}: 电压高于临界阈值{#THRESHOLD_HI_CRIT}伏达5分钟</t>
  </si>
  <si>
    <t>(3480/232)</t>
  </si>
  <si>
    <t>Arista: {#SENSOR_INFO}: Voltage is above the warning threshold of {#THRESHOLD_HI_WARN}V for 5m</t>
  </si>
  <si>
    <t>Arista: {#SENSOR_INFO}: 电压高于告警阈值{#THRESHOLD_HI_WARN}伏达5分钟</t>
  </si>
  <si>
    <t>(3480/233)</t>
  </si>
  <si>
    <t>Arista: {#ENT_NAME}: Device has been replaced (new serial number received)</t>
  </si>
  <si>
    <t>Arista: {#ENT_NAME}: 设备已更换(收到新序列号)</t>
  </si>
  <si>
    <t>(3480/234)</t>
  </si>
  <si>
    <t>Arista: {#FSNAME}: Disk space is critically low (used &gt; {$VFS.FS.PUSED.MAX.CRIT:"{#FSNAME}"}%)</t>
  </si>
  <si>
    <t>Arista: {#FSNAME}: 磁盘空间严重不足(已使用率&gt;{$VFS.FS.PUSED.MAX.CRIT: "{#FSNAME}"}%)</t>
  </si>
  <si>
    <t>(3480/235)</t>
  </si>
  <si>
    <t>Arista: {#FSNAME}: Disk space is low (used &gt; {$VFS.FS.PUSED.MAX.WARN:"{#FSNAME}"}%)</t>
  </si>
  <si>
    <t>Arista: {#FSNAME}: 磁盘空间不足(已使用率&gt;{$VFS.FS.PUSED.MAX.WARN: "{#FSNAME}"}%)</t>
  </si>
  <si>
    <t>(3480/236)</t>
  </si>
  <si>
    <t>Arista: {#MEMNAME}: High memory utilization (&gt;{$MEMORY.UTIL.MAX}% for 5m)</t>
  </si>
  <si>
    <t>Arista: {#MEMNAME}: 内存利用率高了(&gt;{$MEMORY.UTIL.MAX}%达5分钟)</t>
  </si>
  <si>
    <t>(3480/237)</t>
  </si>
  <si>
    <t>Asterisk: IAX trunk "{#OBJECTNAME}": Number of the IAX trunk "{#OBJECTNAME}" active channels is too high (over {$AMI.TRUNK_ACTIVE_CHANNELS.MAX.WARN:"{#OBJECTNAME}"} for 10m)</t>
  </si>
  <si>
    <t>Asterisk: IAXtrunk"{#OBJECTNAME}": IAXtrunk"{#OBJECTNAME}"活跃信道数太高(超过{$AMI.TRUNK_ACTIVE_CHANNELS.MAX.WARN: "{#OBJECTNAME}"}达10分钟)</t>
  </si>
  <si>
    <t>(3480/239)</t>
  </si>
  <si>
    <t>Asterisk: PJSIP trunk "{#OBJECTNAME}": Number of the PJSIP trunk "{#OBJECTNAME}" active channels is too high (over {$AMI.TRUNK_ACTIVE_CHANNELS.MAX.WARN:"{#OBJECTNAME}"} for 10m)</t>
  </si>
  <si>
    <t>Asterisk: PJSIPtrunk"{#OBJECTNAME}": PJSIPtrunk"{#OBJECTNAME}"活动信道数太高(超过{$AMI.TRUNK_ACTIVE_CHANNELS.MAX.WARN: "{#OBJECTNAME}"}达10分钟)</t>
  </si>
  <si>
    <t>(3480/241)</t>
  </si>
  <si>
    <t>Asterisk: "{#QUEUE}": Number of callers in the queue "{#QUEUE}" is too high (over {$AMI.QUEUE_CALLERS.MAX.WARN:"{#QUEUE}"} for 10m)</t>
  </si>
  <si>
    <t>Asterisk: "{#QUEUE}": 队列"{#QUEUE}"中的呼叫者数量太高(超过{$AMI.QUEUE_CALLERS.MAX.WARN: "{#QUEUE}"}达10分钟)</t>
  </si>
  <si>
    <t>(3480/242)</t>
  </si>
  <si>
    <t>Asterisk: SIP trunk "{#OBJECTNAME}": Number of the SIP trunk "{#OBJECTNAME}" active channels is too high (over {$AMI.TRUNK_ACTIVE_CHANNELS.MAX.WARN:"{#OBJECTNAME}"} for 10m)</t>
  </si>
  <si>
    <t>Asterisk: SIPtrunk"{#OBJECTNAME}": SIPtrunk"{#OBJECTNAME}"活动信道数太高(超过{$AMI.TRUNK_ACTIVE_CHANNELS.MAX.WARN: "{#OBJECTNAME}"}达10分钟)</t>
  </si>
  <si>
    <t>(3480/244)</t>
  </si>
  <si>
    <t>Azure Backup Jobs by HTTP</t>
  </si>
  <si>
    <t>25034</t>
  </si>
  <si>
    <t>Azure backup jobs: Job type [{#JOB.OPERATION}] for [{#JOB.FRIENDLY.NAME}] with ID [{#JOB.NAME}] has cancelled.</t>
  </si>
  <si>
    <t>Azure备份作业：ID为[{#JOB.NAME}]的[{#JOB.FRIENDLY.NAME}]的作业类型[{#JOB.OPERATION}]已取消。</t>
  </si>
  <si>
    <t>(3480/245)</t>
  </si>
  <si>
    <t>25035</t>
  </si>
  <si>
    <t>Azure backup jobs: Job type [{#JOB.OPERATION}] for [{#JOB.FRIENDLY.NAME}] with ID [{#JOB.NAME}] has completed with warnings.</t>
  </si>
  <si>
    <t>Azure备份作业：针对[{#JOB.FRIENDLY.NAME}]的[{#JOB.OPERATION}]类型作业（ID[{#JOB.NAME}]）已完成但存在警告</t>
  </si>
  <si>
    <t>(3480/246)</t>
  </si>
  <si>
    <t>25036</t>
  </si>
  <si>
    <t>Azure backup jobs: Job type [{#JOB.OPERATION}] for [{#JOB.FRIENDLY.NAME}] with ID [{#JOB.NAME}] has  expired.</t>
  </si>
  <si>
    <t>Azure备份作业：ID为[{#JOB.NAME}]的[{#JOB.FRIENDLY.NAME}]的作业类型[{#JOB.OPERATION}]已过期。</t>
  </si>
  <si>
    <t>(3480/247)</t>
  </si>
  <si>
    <t>25037</t>
  </si>
  <si>
    <t>Azure backup jobs: Job type [{#JOB.OPERATION}] for [{#JOB.FRIENDLY.NAME}] with ID [{#JOB.NAME}] has failed.</t>
  </si>
  <si>
    <t>Azure备份作业：ID为[{#JOB.NAME}]的[{#JOB.FRIENDLY.NAME}]的作业类型[{#JOB.OPERATION}]已失败。</t>
  </si>
  <si>
    <t>(3480/248)</t>
  </si>
  <si>
    <t>25038</t>
  </si>
  <si>
    <t>Azure backup jobs: Job type [{#JOB.OPERATION}] for [{#JOB.FRIENDLY.NAME}] with ID [{#JOB.NAME}] is in unknown status.</t>
  </si>
  <si>
    <t>Azure备份作业：ID为[{#JOB.NAME}]的[{#JOB.FRIENDLY.NAME}]作业类型[{#JOB.OPERATION}]处于未知状态。</t>
  </si>
  <si>
    <t>(3480/249)</t>
  </si>
  <si>
    <t>23235</t>
  </si>
  <si>
    <t>(3480/250)</t>
  </si>
  <si>
    <t>23236</t>
  </si>
  <si>
    <t>(3480/251)</t>
  </si>
  <si>
    <t>(3480/252)</t>
  </si>
  <si>
    <t>Brocade FC: Interface {#IFNAME}({#IFALIAS}): High error rate (&gt;{$IF.ERRORS.WARN:"{#IFNAME}"} for 5m)</t>
  </si>
  <si>
    <t>Brocade FC: 接口{#IFNAME}({#IFALIAS}): 错误率太高(&gt;{$IF.ERRORS.WARN: "{#IFNAME}"}达5分钟)</t>
  </si>
  <si>
    <t>(3480/253)</t>
  </si>
  <si>
    <t>Brocade FC: Interface {#IFNAME}({#IFALIAS}): High bandwidth usage (&gt;{$IF.UTIL.MAX:"{#IFNAME}"}%)</t>
  </si>
  <si>
    <t>Brocade FC: 接口{#IFNAME}({#IFALIAS}): 带宽使用率太高(&gt;{$IF.UTIL.MAX: "{#IFNAME}"}%)</t>
  </si>
  <si>
    <t>(3480/260)</t>
  </si>
  <si>
    <t>Brocade FC: {#SENSOR_INFO}: Temperature is above warning threshold: &gt;{$TEMP_WARN:"{#SENSOR_INFO}"}</t>
  </si>
  <si>
    <t>Brocade FC: {#SENSOR_INFO}: 温度高于告警阈值: &gt;{$TEMP_WARN: "{#SENSOR_INFO}"}</t>
  </si>
  <si>
    <t>(3480/261)</t>
  </si>
  <si>
    <t>Brocade FC: {#SENSOR_INFO}: Temperature is above critical threshold: &gt;{$TEMP_CRIT:"{#SENSOR_INFO}"}</t>
  </si>
  <si>
    <t>Brocade FC: {#SENSOR_INFO}: 温度高于临界阈值: &gt;{$TEMP_CRIT: "{#SENSOR_INFO}"}</t>
  </si>
  <si>
    <t>(3480/262)</t>
  </si>
  <si>
    <t>Brocade FC: {#SENSOR_INFO}: Temperature is too low: &lt;{$TEMP_CRIT_LOW:"{#SENSOR_INFO}"}</t>
  </si>
  <si>
    <t>Brocade FC: {#SENSOR_INFO}: 温度太低: &lt;{$TEMP_CRIT_LOW: "{#SENSOR_INFO}"}</t>
  </si>
  <si>
    <t>(3480/263)</t>
  </si>
  <si>
    <t>Brocade Nonstackable: Interface {#IFNAME}({#IFALIAS}): High error rate (&gt;{$IF.ERRORS.WARN:"{#IFNAME}"} for 5m)</t>
  </si>
  <si>
    <t>Brocade Nonstackable: 接口{#IFNAME}({#IFALIAS}): 错误率太高(&gt;{$IF.ERRORS.WARN: "{#IFNAME}"}达5分钟)</t>
  </si>
  <si>
    <t>(3480/264)</t>
  </si>
  <si>
    <t>Brocade Nonstackable: Interface {#IFNAME}({#IFALIAS}): High bandwidth usage (&gt;{$IF.UTIL.MAX:"{#IFNAME}"}%)</t>
  </si>
  <si>
    <t>Brocade Nonstackable: 接口{#IFNAME}({#IFALIAS}): 带宽使用率太高(&gt;{$IF.UTIL.MAX: "{#IFNAME}"}%)</t>
  </si>
  <si>
    <t>(3480/271)</t>
  </si>
  <si>
    <t>Brocade Nonstackable: {#SENSOR_DESCR}: Temperature is above critical threshold: &gt;{$TEMP_CRIT:"{#SENSOR_DESCR}"}</t>
  </si>
  <si>
    <t>Brocade Nonstackable: {#SENSOR_DESCR}: 温度高于临界阈值: &gt;{$TEMP_CRIT: "{#SENSOR_DESCR}"}</t>
  </si>
  <si>
    <t>(3480/272)</t>
  </si>
  <si>
    <t>Brocade Nonstackable: {#SENSOR_DESCR}: Temperature is above warning threshold: &gt;{$TEMP_WARN:"{#SENSOR_DESCR}"}</t>
  </si>
  <si>
    <t>Brocade Nonstackable: {#SENSOR_DESCR}: 温度高于告警阈值: &gt;{$TEMP_WARN: "{#SENSOR_DESCR}"}</t>
  </si>
  <si>
    <t>(3480/273)</t>
  </si>
  <si>
    <t>Brocade Nonstackable: {#SENSOR_DESCR}: Temperature is too low: &lt;{$TEMP_CRIT_LOW:"{#SENSOR_DESCR}"}</t>
  </si>
  <si>
    <t>Brocade Nonstackable: {#SENSOR_DESCR}: 温度太低: &lt;{$TEMP_CRIT_LOW: "{#SENSOR_DESCR}"}</t>
  </si>
  <si>
    <t>(3480/274)</t>
  </si>
  <si>
    <t>Brocade Nonstackable: Chassis #{#SNMPINDEX}: Temperature is above warning threshold: &gt;{$TEMP_WARN:"Chassis"}</t>
  </si>
  <si>
    <t>Brocade Nonstackable: 主板#{#SNMPINDEX}: 温度高于告警阈值: &gt;{$TEMP_WARN: "Chassis"}</t>
  </si>
  <si>
    <t>(3480/275)</t>
  </si>
  <si>
    <t>Brocade Nonstackable: Chassis #{#SNMPINDEX}: Temperature is above critical threshold: &gt;{$TEMP_CRIT:"Chassis"}</t>
  </si>
  <si>
    <t>Brocade Nonstackable: 主板#{#SNMPINDEX}: 温度高于临界阈值: &gt;{$TEMP_CRIT: "Chassis"}</t>
  </si>
  <si>
    <t>(3480/276)</t>
  </si>
  <si>
    <t>Brocade Nonstackable: Chassis #{#SNMPINDEX}: Temperature is too low: &lt;{$TEMP_CRIT_LOW:"Chassis"}</t>
  </si>
  <si>
    <t>Brocade Nonstackable: 主板#{#SNMPINDEX}: 温度太低: &lt;{$TEMP_CRIT_LOW: "Chassis"}</t>
  </si>
  <si>
    <t>(3480/277)</t>
  </si>
  <si>
    <t>Brocade Stackable: Interface {#IFNAME}({#IFALIAS}): High error rate (&gt;{$IF.ERRORS.WARN:"{#IFNAME}"} for 5m)</t>
  </si>
  <si>
    <t>Brocade Stackable: 接口{#IFNAME}({#IFALIAS}): 错误率太高(&gt;{$IF.ERRORS.WARN: "{#IFNAME}"}达5分钟)</t>
  </si>
  <si>
    <t>(3480/278)</t>
  </si>
  <si>
    <t>Brocade Stackable: Interface {#IFNAME}({#IFALIAS}): High bandwidth usage (&gt;{$IF.UTIL.MAX:"{#IFNAME}"}%)</t>
  </si>
  <si>
    <t>Brocade Stackable: 接口{#IFNAME}({#IFALIAS}): 带宽使用率太高(&gt;{$IF.UTIL.MAX: "{#IFNAME}"}%)</t>
  </si>
  <si>
    <t>(3480/285)</t>
  </si>
  <si>
    <t>Brocade Stackable: {#SENSOR_DESCR}: Temperature is above critical threshold: &gt;{$TEMP_CRIT:"{#SENSOR_DESCR}"}</t>
  </si>
  <si>
    <t>Brocade Stackable: {#SENSOR_DESCR}: 温度高于临界阈值: &gt;{$TEMP_CRIT: "{#SENSOR_DESCR}"}</t>
  </si>
  <si>
    <t>(3480/286)</t>
  </si>
  <si>
    <t>Brocade Stackable: {#SENSOR_DESCR}: Temperature is above warning threshold: &gt;{$TEMP_WARN:"{#SENSOR_DESCR}"}</t>
  </si>
  <si>
    <t>Brocade Stackable: {#SENSOR_DESCR}: 温度高于告警阈值: &gt;{$TEMP_WARN: "{#SENSOR_DESCR}"}</t>
  </si>
  <si>
    <t>(3480/287)</t>
  </si>
  <si>
    <t>Brocade Stackable: {#SENSOR_DESCR}: Temperature is too low: &lt;{$TEMP_CRIT_LOW:"{#SENSOR_DESCR}"}</t>
  </si>
  <si>
    <t>Brocade Stackable: {#SENSOR_DESCR}: 温度太低: &lt;{$TEMP_CRIT_LOW: "{#SENSOR_DESCR}"}</t>
  </si>
  <si>
    <t>(3480/288)</t>
  </si>
  <si>
    <t>Brocade Stackable: Unit {#SNMPVALUE}: Device has been replaced (new serial number received)</t>
  </si>
  <si>
    <t>Brocade Stackable: 单元{#SNMPVALUE}: 设备已更换(收到新序列号)</t>
  </si>
  <si>
    <t>(3480/293)</t>
  </si>
  <si>
    <t>Chassis: {#SENSOR_ID} value is below non-critical low (less than {#SENSOR_LO_WARN} for 5m)</t>
  </si>
  <si>
    <t>Chassis: {#SENSOR_ID}值触发了告警值(低于{#SENSOR_LO_WARN}达5分钟)</t>
  </si>
  <si>
    <t>(3480/294)</t>
  </si>
  <si>
    <t>Chassis: {#SENSOR_ID} value is below critical low (less than {#SENSOR_LO_CRIT} for 5m)</t>
  </si>
  <si>
    <t>Chassis: {#SENSOR_ID}值触发了严重告警值(低于{#SENSOR_LO_CRIT}达5分钟)</t>
  </si>
  <si>
    <t>(3480/295)</t>
  </si>
  <si>
    <t>Chassis: {#SENSOR_ID} value is below non-recoverable low (less than {#SENSOR_LO_DISAST} for 5m)</t>
  </si>
  <si>
    <t>Chassis: {#SENSOR_ID}值触发了灾难告警值(低于{#SENSOR_LO_DISAST}达5分钟)</t>
  </si>
  <si>
    <t>(3480/296)</t>
  </si>
  <si>
    <t>Chassis: {#SENSOR_ID} value is above non-critical high (greater than {#SENSOR_HI_WARN} for 5m)</t>
  </si>
  <si>
    <t>Chassis: {#SENSOR_ID}值触发了告警值(高于{#SENSOR_HI_WARN}达5分钟)</t>
  </si>
  <si>
    <t>(3480/297)</t>
  </si>
  <si>
    <t>Chassis: {#SENSOR_ID} value is above critical high (greater than {#SENSOR_HI_CRIT} for 5m)</t>
  </si>
  <si>
    <t>Chassis: {#SENSOR_ID}值触发了严重告警值(高于{#SENSOR_HI_CRIT}达5分钟)</t>
  </si>
  <si>
    <t>(3480/298)</t>
  </si>
  <si>
    <t>Chassis: {#SENSOR_ID} value is above non-recoverable high (greater than {#SENSOR_HI_DISAST} for 5m)</t>
  </si>
  <si>
    <t>Chassis: {#SENSOR_ID}值触发了灾难告警值(高于{#SENSOR_HI_DISAST}达5分钟)</t>
  </si>
  <si>
    <t>(3480/299)</t>
  </si>
  <si>
    <t>23617</t>
  </si>
  <si>
    <t>(3480/300)</t>
  </si>
  <si>
    <t>23620</t>
  </si>
  <si>
    <t>Check Point: Interface {#IFNAME}({#IFALIAS}): High error rate (&gt;{$NET.IF.ERRORS.WARN:"{#IFNAME}"} for 5m)</t>
  </si>
  <si>
    <t>Check Point: 接口 {#IFNAME}({#IFALIAS}): 错误率过高(&gt;{$NET.IF.ERRORS.WARN: "{#IFNAME}"} 达 5 分钟)</t>
  </si>
  <si>
    <t>(3480/301)</t>
  </si>
  <si>
    <t>Check Point: Interface {#IFNAME}({#IFALIAS}): High bandwidth usage (&gt;{$NET.IF.UTIL.MAX:"{#IFNAME}"}%)</t>
  </si>
  <si>
    <t>Check Point: 接口 {#IFNAME}({#IFALIAS}): 带宽使用率过高(&gt;{$NET.IF.UTIL.MAX: "{#IFNAME}"}%)</t>
  </si>
  <si>
    <t>(3480/306)</t>
  </si>
  <si>
    <t>23625</t>
  </si>
  <si>
    <t>Check Point: {#SENSOR.NAME}: Temperature is above critical threshold: &gt;{$TEMP.VALUE.CRIT:"{#SENSOR.NAME}"}</t>
  </si>
  <si>
    <t>Check Point: {#SENSOR.NAME}: 温度超过临界阈值: &gt;{$TEMP.VALUE.CRIT: "{#SENSOR.NAME}"}</t>
  </si>
  <si>
    <t>(3480/307)</t>
  </si>
  <si>
    <t>23626</t>
  </si>
  <si>
    <t>Check Point: {#SENSOR.NAME}: Temperature is above warning threshold: &gt;{$TEMP.VALUE.WARN:"{#SENSOR.NAME}"}</t>
  </si>
  <si>
    <t>Check Point: {#SENSOR.NAME}: 温度超过警告阈值: &gt;{$TEMP.VALUE.WARN: "{#SENSOR.NAME}"}</t>
  </si>
  <si>
    <t>(3480/308)</t>
  </si>
  <si>
    <t>23627</t>
  </si>
  <si>
    <t>Check Point: {#SENSOR.NAME}: Temperature is too low: &lt;{$TEMP.VALUE.LOW:"{#SENSOR.NAME}"}</t>
  </si>
  <si>
    <t>Check Point: {#SENSOR.NAME}: 温度过低: &lt;{$TEMP.VALUE.LOW: "{#SENSOR.NAME}"}</t>
  </si>
  <si>
    <t>(3480/309)</t>
  </si>
  <si>
    <t>23623</t>
  </si>
  <si>
    <t>Check Point: {#SW.NAME}: License expires soon (less than {$LICENSE.EXPIRY.WARN:"{#SW.NAME}"} days)</t>
  </si>
  <si>
    <t>Check Point: {#SW.NAME}: 许可证即将到期(少于 {$LICENSE.EXPIRY.WARN: "{#SW.NAME}"} 天)</t>
  </si>
  <si>
    <t>(3480/311)</t>
  </si>
  <si>
    <t>23628</t>
  </si>
  <si>
    <t>Check Point: {#DISK.NAME}: Disk space is critically low (used &gt; {$DISK.PUSED.MAX.CRIT:"{#DISK.NAME}"}%)</t>
  </si>
  <si>
    <t>Check Point: {#DISK.NAME}: 磁盘空间严重不足(已使用 &gt; {$DISK.PUSED.MAX.CRIT: "{#DISK.NAME}"}%)</t>
  </si>
  <si>
    <t>(3480/312)</t>
  </si>
  <si>
    <t>23629</t>
  </si>
  <si>
    <t>Check Point: {#DISK.NAME}: Disk space is low (used &gt; {$DISK.PUSED.MAX.WARN:"{#DISK.NAME}"}%)</t>
  </si>
  <si>
    <t>Check Point: {#DISK.NAME}: 磁盘空间不足(已使用 &gt; {$DISK.PUSED.MAX.WARN: "{#DISK.NAME}"}%)</t>
  </si>
  <si>
    <t>(3480/314)</t>
  </si>
  <si>
    <t>(3480/315)</t>
  </si>
  <si>
    <t>(3480/317)</t>
  </si>
  <si>
    <t>(3480/319)</t>
  </si>
  <si>
    <t>Cisco Catalyst 3750V2-24FS: Interface {#IFNAME}({#IFALIAS}): High input error rate ( &gt; {$IF.ERRORS.WARN:"{#IFNAME}"} for 5m)</t>
  </si>
  <si>
    <t>Cisco Catalyst 3750V2-24FS: 接口{#IFNAME}({#IFALIAS}): 入方向错误率高了(&gt;{$IF.ERRORS.WARN: "{#IFNAME}"}达5分钟)</t>
  </si>
  <si>
    <t>(3480/320)</t>
  </si>
  <si>
    <t>Cisco Catalyst 3750V2-24FS: Interface {#IFNAME}({#IFALIAS}): High inbound bandwidth usage ( &gt; {$IF.UTIL.MAX:"{#IFNAME}"}% )</t>
  </si>
  <si>
    <t>Cisco Catalyst 3750V2-24FS: 接口{#IFNAME}({#IFALIAS}): 入方向带宽使用率高了(&gt;{$IF.UTIL.MAX: "{#IFNAME}"}%)</t>
  </si>
  <si>
    <t>(3480/321)</t>
  </si>
  <si>
    <t>Cisco Catalyst 3750V2-24FS: Interface {#IFNAME}({#IFALIAS}): High output error rate ( &gt; {$IF.ERRORS.WARN:"{#IFNAME}"} for 5m)</t>
  </si>
  <si>
    <t>Cisco Catalyst 3750V2-24FS: 接口{#IFNAME}({#IFALIAS}): 出方向错误率高了(&gt;{$IF.ERRORS.WARN: "{#IFNAME}"}达5分钟)</t>
  </si>
  <si>
    <t>(3480/322)</t>
  </si>
  <si>
    <t>Cisco Catalyst 3750V2-24FS: Interface {#IFNAME}({#IFALIAS}): High outbound bandwidth usage ( &gt; {$IF.UTIL.MAX:"{#IFNAME}"}% )</t>
  </si>
  <si>
    <t>Cisco Catalyst 3750V2-24FS: 接口{#IFNAME}({#IFALIAS}): 出方向带宽使用率高了(&gt;{$IF.UTIL.MAX: "{#IFNAME}"}%)</t>
  </si>
  <si>
    <t>(3480/331)</t>
  </si>
  <si>
    <t>Cisco Catalyst 3750V2-24FS: {#SNMPVALUE}: Temperature is above critical threshold: &gt;{$TEMP_CRIT:"{#SNMPVALUE}"}</t>
  </si>
  <si>
    <t>Cisco Catalyst 3750V2-24FS: {#SNMPVALUE}: 温度高于临界阈值: &gt;{$TEMP_CRIT: "{#SNMPVALUE}"}</t>
  </si>
  <si>
    <t>(3480/332)</t>
  </si>
  <si>
    <t>Cisco Catalyst 3750V2-24FS: {#SNMPVALUE}: Temperature is above warning threshold: &gt;{$TEMP_WARN:"{#SNMPVALUE}"}</t>
  </si>
  <si>
    <t>Cisco Catalyst 3750V2-24FS: {#SNMPVALUE}: 温度高于告警阈值: &gt;{$TEMP_WARN: "{#SNMPVALUE}"}</t>
  </si>
  <si>
    <t>(3480/333)</t>
  </si>
  <si>
    <t>Cisco Catalyst 3750V2-24FS: {#SNMPVALUE}: Temperature is too low: &lt;{$TEMP_CRIT_LOW:"{#SNMPVALUE}"}</t>
  </si>
  <si>
    <t>Cisco Catalyst 3750V2-24FS: {#SNMPVALUE}: 温度太低: &lt;{$TEMP_CRIT_LOW: "{#SNMPVALUE}"}</t>
  </si>
  <si>
    <t>(3480/334)</t>
  </si>
  <si>
    <t>Cisco Catalyst 3750V2-24FS: #{#SNMPINDEX}: High CPU utilization (over {$CPU.UTIL.CRIT}% for 5m)</t>
  </si>
  <si>
    <t>Cisco Catalyst 3750V2-24FS: #{#SNMPINDEX}: CPU使用率高了(超过{$CPU.UTIL.CRIT}%达5分钟)</t>
  </si>
  <si>
    <t>(3480/335)</t>
  </si>
  <si>
    <t>Cisco Catalyst 3750V2-24FS: {#ENT_NAME}: Device has been replaced (new serial number received)</t>
  </si>
  <si>
    <t>Cisco Catalyst 3750V2-24FS: {#ENT_NAME}: 设备已更换(收到新序列号)</t>
  </si>
  <si>
    <t>(3480/336)</t>
  </si>
  <si>
    <t>Cisco Catalyst 3750V2-24FS: {#SNMPVALUE}: High memory utilization ( &gt;{$MEMORY.UTIL.MAX}% for 5m)</t>
  </si>
  <si>
    <t>Cisco Catalyst 3750V2-24FS: {#SNMPVALUE}: 内存利用率高了(&gt;{$MEMORY.UTIL.MAX}%达5分钟)</t>
  </si>
  <si>
    <t>(3480/338)</t>
  </si>
  <si>
    <t>Cisco Catalyst 3750V2-24PS: Interface {#IFNAME}({#IFALIAS}): High input error rate ( &gt; {$IF.ERRORS.WARN:"{#IFNAME}"} for 5m)</t>
  </si>
  <si>
    <t>Cisco Catalyst 3750V2-24PS: 接口{#IFNAME}({#IFALIAS}): 入方向错误率高了(&gt;{$IF.ERRORS.WARN: "{#IFNAME}"}达5分钟)</t>
  </si>
  <si>
    <t>(3480/339)</t>
  </si>
  <si>
    <t>Cisco Catalyst 3750V2-24PS: Interface {#IFNAME}({#IFALIAS}): High inbound bandwidth usage ( &gt; {$IF.UTIL.MAX:"{#IFNAME}"}% )</t>
  </si>
  <si>
    <t>Cisco Catalyst 3750V2-24PS: 接口{#IFNAME}({#IFALIAS}): 入方向带宽使用率高了(&gt;{$IF.UTIL.MAX: "{#IFNAME}"}%)</t>
  </si>
  <si>
    <t>(3480/340)</t>
  </si>
  <si>
    <t>Cisco Catalyst 3750V2-24PS: Interface {#IFNAME}({#IFALIAS}): High output error rate ( &gt; {$IF.ERRORS.WARN:"{#IFNAME}"} for 5m)</t>
  </si>
  <si>
    <t>Cisco Catalyst 3750V2-24PS: 接口{#IFNAME}({#IFALIAS}): 出方向错误率高了(&gt;{$IF.ERRORS.WARN: "{#IFNAME}"}达5分钟)</t>
  </si>
  <si>
    <t>(3480/341)</t>
  </si>
  <si>
    <t>Cisco Catalyst 3750V2-24PS: Interface {#IFNAME}({#IFALIAS}): High outbound bandwidth usage ( &gt; {$IF.UTIL.MAX:"{#IFNAME}"}% )</t>
  </si>
  <si>
    <t>Cisco Catalyst 3750V2-24PS: 接口{#IFNAME}({#IFALIAS}): 出方向带宽使用率高了(&gt;{$IF.UTIL.MAX: "{#IFNAME}"}%)</t>
  </si>
  <si>
    <t>(3480/350)</t>
  </si>
  <si>
    <t>Cisco Catalyst 3750V2-24PS: {#SNMPVALUE}: Temperature is above critical threshold: &gt;{$TEMP_CRIT:"{#SNMPVALUE}"}</t>
  </si>
  <si>
    <t>Cisco Catalyst 3750V2-24PS: {#SNMPVALUE}: 温度高于临界阈值: &gt;{$TEMP_CRIT: "{#SNMPVALUE}"}</t>
  </si>
  <si>
    <t>(3480/351)</t>
  </si>
  <si>
    <t>Cisco Catalyst 3750V2-24PS: {#SNMPVALUE}: Temperature is above warning threshold: &gt;{$TEMP_WARN:"{#SNMPVALUE}"}</t>
  </si>
  <si>
    <t>Cisco Catalyst 3750V2-24PS: {#SNMPVALUE}: 温度高于告警阈值: &gt;{$TEMP_WARN: "{#SNMPVALUE}"}</t>
  </si>
  <si>
    <t>(3480/352)</t>
  </si>
  <si>
    <t>Cisco Catalyst 3750V2-24PS: {#SNMPVALUE}: Temperature is too low: &lt;{$TEMP_CRIT_LOW:"{#SNMPVALUE}"}</t>
  </si>
  <si>
    <t>Cisco Catalyst 3750V2-24PS: {#SNMPVALUE}: 温度太低: &lt;{$TEMP_CRIT_LOW: "{#SNMPVALUE}"}</t>
  </si>
  <si>
    <t>(3480/353)</t>
  </si>
  <si>
    <t>Cisco Catalyst 3750V2-24PS: #{#SNMPINDEX}: High CPU utilization (over {$CPU.UTIL.CRIT}% for 5m)</t>
  </si>
  <si>
    <t>Cisco Catalyst 3750V2-24PS: #{#SNMPINDEX}: CPU使用率高了(超过{$CPU.UTIL.CRIT}%达5分钟)</t>
  </si>
  <si>
    <t>(3480/354)</t>
  </si>
  <si>
    <t>Cisco Catalyst 3750V2-24PS: {#ENT_NAME}: Device has been replaced (new serial number received)</t>
  </si>
  <si>
    <t>Cisco Catalyst 3750V2-24PS: {#ENT_NAME}: 设备已更换(收到新序列号)</t>
  </si>
  <si>
    <t>(3480/355)</t>
  </si>
  <si>
    <t>Cisco Catalyst 3750V2-24PS: {#SNMPVALUE}: High memory utilization ( &gt;{$MEMORY.UTIL.MAX}% for 5m)</t>
  </si>
  <si>
    <t>Cisco Catalyst 3750V2-24PS: {#SNMPVALUE}: 内存利用率高了(&gt;{$MEMORY.UTIL.MAX}%达5分钟)</t>
  </si>
  <si>
    <t>(3480/357)</t>
  </si>
  <si>
    <t>Cisco Catalyst 3750V2-24TS: Interface {#IFNAME}({#IFALIAS}): High input error rate ( &gt; {$IF.ERRORS.WARN:"{#IFNAME}"} for 5m)</t>
  </si>
  <si>
    <t>Cisco Catalyst 3750V2-24TS: 接口{#IFNAME}({#IFALIAS}): 入方向错误率高了(&gt;{$IF.ERRORS.WARN: "{#IFNAME}"}达5分钟)</t>
  </si>
  <si>
    <t>(3480/358)</t>
  </si>
  <si>
    <t>Cisco Catalyst 3750V2-24TS: Interface {#IFNAME}({#IFALIAS}): High inbound bandwidth usage ( &gt; {$IF.UTIL.MAX:"{#IFNAME}"}% )</t>
  </si>
  <si>
    <t>Cisco Catalyst 3750V2-24TS: 接口{#IFNAME}({#IFALIAS}): 入方向带宽使用率高了(&gt;{$IF.UTIL.MAX: "{#IFNAME}"}%)</t>
  </si>
  <si>
    <t>(3480/359)</t>
  </si>
  <si>
    <t>Cisco Catalyst 3750V2-24TS: Interface {#IFNAME}({#IFALIAS}): High output error rate ( &gt; {$IF.ERRORS.WARN:"{#IFNAME}"} for 5m)</t>
  </si>
  <si>
    <t>Cisco Catalyst 3750V2-24TS: 接口{#IFNAME}({#IFALIAS}): 出方向错误率高了(&gt;{$IF.ERRORS.WARN: "{#IFNAME}"}达5分钟)</t>
  </si>
  <si>
    <t>(3480/360)</t>
  </si>
  <si>
    <t>Cisco Catalyst 3750V2-24TS: Interface {#IFNAME}({#IFALIAS}): High outbound bandwidth usage ( &gt; {$IF.UTIL.MAX:"{#IFNAME}"}% )</t>
  </si>
  <si>
    <t>Cisco Catalyst 3750V2-24TS: 接口{#IFNAME}({#IFALIAS}): 出方向带宽使用率高了(&gt;{$IF.UTIL.MAX: "{#IFNAME}"}%)</t>
  </si>
  <si>
    <t>(3480/369)</t>
  </si>
  <si>
    <t>Cisco Catalyst 3750V2-24TS: {#SNMPVALUE}: Temperature is above critical threshold: &gt;{$TEMP_CRIT:"{#SNMPVALUE}"}</t>
  </si>
  <si>
    <t>Cisco Catalyst 3750V2-24TS: {#SNMPVALUE}: 温度高于临界阈值: &gt;{$TEMP_CRIT: "{#SNMPVALUE}"}</t>
  </si>
  <si>
    <t>(3480/370)</t>
  </si>
  <si>
    <t>Cisco Catalyst 3750V2-24TS: {#SNMPVALUE}: Temperature is above warning threshold: &gt;{$TEMP_WARN:"{#SNMPVALUE}"}</t>
  </si>
  <si>
    <t>Cisco Catalyst 3750V2-24TS: {#SNMPVALUE}: 温度高于告警阈值: &gt;{$TEMP_WARN: "{#SNMPVALUE}"}</t>
  </si>
  <si>
    <t>(3480/371)</t>
  </si>
  <si>
    <t>Cisco Catalyst 3750V2-24TS: {#SNMPVALUE}: Temperature is too low: &lt;{$TEMP_CRIT_LOW:"{#SNMPVALUE}"}</t>
  </si>
  <si>
    <t>Cisco Catalyst 3750V2-24TS: {#SNMPVALUE}: 温度太低: &lt;{$TEMP_CRIT_LOW: "{#SNMPVALUE}"}</t>
  </si>
  <si>
    <t>(3480/372)</t>
  </si>
  <si>
    <t>Cisco Catalyst 3750V2-24TS: #{#SNMPINDEX}: High CPU utilization (over {$CPU.UTIL.CRIT}% for 5m)</t>
  </si>
  <si>
    <t>Cisco Catalyst 3750V2-24TS: #{#SNMPINDEX}: CPU使用率高了(超过{$CPU.UTIL.CRIT}%达5分钟)</t>
  </si>
  <si>
    <t>(3480/373)</t>
  </si>
  <si>
    <t>Cisco Catalyst 3750V2-24TS: {#ENT_NAME}: Device has been replaced (new serial number received)</t>
  </si>
  <si>
    <t>Cisco Catalyst 3750V2-24TS: {#ENT_NAME}: 设备已更换(收到新序列号)</t>
  </si>
  <si>
    <t>(3480/374)</t>
  </si>
  <si>
    <t>Cisco Catalyst 3750V2-24TS: {#SNMPVALUE}: High memory utilization ( &gt;{$MEMORY.UTIL.MAX}% for 5m)</t>
  </si>
  <si>
    <t>Cisco Catalyst 3750V2-24TS: {#SNMPVALUE}: 内存利用率高了(&gt;{$MEMORY.UTIL.MAX}%达5分钟)</t>
  </si>
  <si>
    <t>(3480/376)</t>
  </si>
  <si>
    <t>Cisco Catalyst 3750V2-48PS: Interface {#IFNAME}({#IFALIAS}): High input error rate ( &gt; {$IF.ERRORS.WARN:"{#IFNAME}"} for 5m)</t>
  </si>
  <si>
    <t>Cisco Catalyst 3750V2-48PS: 接口{#IFNAME}({#IFALIAS}): 入方向错误率高了(&gt;{$IF.ERRORS.WARN: "{#IFNAME}"}达5分钟)</t>
  </si>
  <si>
    <t>(3480/377)</t>
  </si>
  <si>
    <t>Cisco Catalyst 3750V2-48PS: Interface {#IFNAME}({#IFALIAS}): High inbound bandwidth usage ( &gt; {$IF.UTIL.MAX:"{#IFNAME}"}% )</t>
  </si>
  <si>
    <t>Cisco Catalyst 3750V2-48PS: 接口{#IFNAME}({#IFALIAS}): 入方向带宽使用率高了(&gt;{$IF.UTIL.MAX: "{#IFNAME}"}%)</t>
  </si>
  <si>
    <t>(3480/378)</t>
  </si>
  <si>
    <t>Cisco Catalyst 3750V2-48PS: Interface {#IFNAME}({#IFALIAS}): High output error rate ( &gt; {$IF.ERRORS.WARN:"{#IFNAME}"} for 5m)</t>
  </si>
  <si>
    <t>Cisco Catalyst 3750V2-48PS: 接口{#IFNAME}({#IFALIAS}): 出方向错误率高了(&gt;{$IF.ERRORS.WARN: "{#IFNAME}"}达5分钟)</t>
  </si>
  <si>
    <t>(3480/379)</t>
  </si>
  <si>
    <t>Cisco Catalyst 3750V2-48PS: Interface {#IFNAME}({#IFALIAS}): High outbound bandwidth usage ( &gt; {$IF.UTIL.MAX:"{#IFNAME}"}% )</t>
  </si>
  <si>
    <t>Cisco Catalyst 3750V2-48PS: 接口{#IFNAME}({#IFALIAS}): 出方向带宽使用率高了(&gt;{$IF.UTIL.MAX: "{#IFNAME}"}%)</t>
  </si>
  <si>
    <t>(3480/388)</t>
  </si>
  <si>
    <t>Cisco Catalyst 3750V2-48PS: {#SNMPVALUE}: Temperature is above critical threshold: &gt;{$TEMP_CRIT:"{#SNMPVALUE}"}</t>
  </si>
  <si>
    <t>Cisco Catalyst 3750V2-48PS: {#SNMPVALUE}: 温度高于临界阈值: &gt;{$TEMP_CRIT: "{#SNMPVALUE}"}</t>
  </si>
  <si>
    <t>(3480/389)</t>
  </si>
  <si>
    <t>Cisco Catalyst 3750V2-48PS: {#SNMPVALUE}: Temperature is above warning threshold: &gt;{$TEMP_WARN:"{#SNMPVALUE}"}</t>
  </si>
  <si>
    <t>Cisco Catalyst 3750V2-48PS: {#SNMPVALUE}: 温度高于告警阈值: &gt;{$TEMP_WARN: "{#SNMPVALUE}"}</t>
  </si>
  <si>
    <t>(3480/390)</t>
  </si>
  <si>
    <t>Cisco Catalyst 3750V2-48PS: {#SNMPVALUE}: Temperature is too low: &lt;{$TEMP_CRIT_LOW:"{#SNMPVALUE}"}</t>
  </si>
  <si>
    <t>Cisco Catalyst 3750V2-48PS: {#SNMPVALUE}: 温度太低: &lt;{$TEMP_CRIT_LOW: "{#SNMPVALUE}"}</t>
  </si>
  <si>
    <t>(3480/391)</t>
  </si>
  <si>
    <t>Cisco Catalyst 3750V2-48PS: #{#SNMPINDEX}: High CPU utilization (over {$CPU.UTIL.CRIT}% for 5m)</t>
  </si>
  <si>
    <t>Cisco Catalyst 3750V2-48PS: #{#SNMPINDEX}: CPU使用率高了(超过{$CPU.UTIL.CRIT}%达5分钟)</t>
  </si>
  <si>
    <t>(3480/392)</t>
  </si>
  <si>
    <t>Cisco Catalyst 3750V2-48PS: {#ENT_NAME}: Device has been replaced (new serial number received)</t>
  </si>
  <si>
    <t>Cisco Catalyst 3750V2-48PS: {#ENT_NAME}: 设备已更换(收到新序列号)</t>
  </si>
  <si>
    <t>(3480/393)</t>
  </si>
  <si>
    <t>Cisco Catalyst 3750V2-48PS: {#SNMPVALUE}: High memory utilization ( &gt;{$MEMORY.UTIL.MAX}% for 5m)</t>
  </si>
  <si>
    <t>Cisco Catalyst 3750V2-48PS: {#SNMPVALUE}: 内存利用率高了(&gt;{$MEMORY.UTIL.MAX}%达5分钟)</t>
  </si>
  <si>
    <t>(3480/395)</t>
  </si>
  <si>
    <t>Cisco Catalyst 3750V2-48TS: Interface {#IFNAME}({#IFALIAS}): High input error rate ( &gt; {$IF.ERRORS.WARN:"{#IFNAME}"} for 5m)</t>
  </si>
  <si>
    <t>Cisco Catalyst 3750V2-48TS: 接口{#IFNAME}({#IFALIAS}): 入方向错误率高了(&gt;{$IF.ERRORS.WARN: "{#IFNAME}"}达5分钟)</t>
  </si>
  <si>
    <t>(3480/396)</t>
  </si>
  <si>
    <t>Cisco Catalyst 3750V2-48TS: Interface {#IFNAME}({#IFALIAS}): High inbound bandwidth usage ( &gt; {$IF.UTIL.MAX:"{#IFNAME}"}% )</t>
  </si>
  <si>
    <t>Cisco Catalyst 3750V2-48TS: 接口{#IFNAME}({#IFALIAS}): 入方向带宽使用率高了(&gt;{$IF.UTIL.MAX: "{#IFNAME}"}%)</t>
  </si>
  <si>
    <t>(3480/397)</t>
  </si>
  <si>
    <t>Cisco Catalyst 3750V2-48TS: Interface {#IFNAME}({#IFALIAS}): High output error rate ( &gt; {$IF.ERRORS.WARN:"{#IFNAME}"} for 5m)</t>
  </si>
  <si>
    <t>Cisco Catalyst 3750V2-48TS: 接口{#IFNAME}({#IFALIAS}): 出方向错误率高了(&gt;{$IF.ERRORS.WARN: "{#IFNAME}"}达5分钟)</t>
  </si>
  <si>
    <t>(3480/398)</t>
  </si>
  <si>
    <t>Cisco Catalyst 3750V2-48TS: Interface {#IFNAME}({#IFALIAS}): High outbound bandwidth usage ( &gt; {$IF.UTIL.MAX:"{#IFNAME}"}% )</t>
  </si>
  <si>
    <t>Cisco Catalyst 3750V2-48TS: 接口{#IFNAME}({#IFALIAS}): 出方向带宽使用率高了(&gt;{$IF.UTIL.MAX: "{#IFNAME}"}%)</t>
  </si>
  <si>
    <t>(3480/407)</t>
  </si>
  <si>
    <t>Cisco Catalyst 3750V2-48TS: {#SNMPVALUE}: Temperature is above critical threshold: &gt;{$TEMP_CRIT:"{#SNMPVALUE}"}</t>
  </si>
  <si>
    <t>Cisco Catalyst 3750V2-48TS: {#SNMPVALUE}: 温度高于临界阈值: &gt;{$TEMP_CRIT: "{#SNMPVALUE}"}</t>
  </si>
  <si>
    <t>(3480/408)</t>
  </si>
  <si>
    <t>Cisco Catalyst 3750V2-48TS: {#SNMPVALUE}: Temperature is above warning threshold: &gt;{$TEMP_WARN:"{#SNMPVALUE}"}</t>
  </si>
  <si>
    <t>Cisco Catalyst 3750V2-48TS: {#SNMPVALUE}: 温度高于告警阈值: &gt;{$TEMP_WARN: "{#SNMPVALUE}"}</t>
  </si>
  <si>
    <t>(3480/409)</t>
  </si>
  <si>
    <t>Cisco Catalyst 3750V2-48TS: {#SNMPVALUE}: Temperature is too low: &lt;{$TEMP_CRIT_LOW:"{#SNMPVALUE}"}</t>
  </si>
  <si>
    <t>Cisco Catalyst 3750V2-48TS: {#SNMPVALUE}: 温度太低: &lt;{$TEMP_CRIT_LOW: "{#SNMPVALUE}"}</t>
  </si>
  <si>
    <t>(3480/410)</t>
  </si>
  <si>
    <t>Cisco Catalyst 3750V2-48TS: #{#SNMPINDEX}: High CPU utilization (over {$CPU.UTIL.CRIT}% for 5m)</t>
  </si>
  <si>
    <t>Cisco Catalyst 3750V2-48TS: #{#SNMPINDEX}: CPU使用率高了(超过{$CPU.UTIL.CRIT}%达5分钟)</t>
  </si>
  <si>
    <t>(3480/411)</t>
  </si>
  <si>
    <t>Cisco Catalyst 3750V2-48TS: {#ENT_NAME}: Device has been replaced (new serial number received)</t>
  </si>
  <si>
    <t>Cisco Catalyst 3750V2-48TS: {#ENT_NAME}: 设备已更换(收到新序列号)</t>
  </si>
  <si>
    <t>(3480/412)</t>
  </si>
  <si>
    <t>Cisco Catalyst 3750V2-48TS: {#SNMPVALUE}: High memory utilization ( &gt;{$MEMORY.UTIL.MAX}% for 5m)</t>
  </si>
  <si>
    <t>Cisco Catalyst 3750V2-48TS: {#SNMPVALUE}: 内存利用率高了(&gt;{$MEMORY.UTIL.MAX}%达5分钟)</t>
  </si>
  <si>
    <t>(3480/414)</t>
  </si>
  <si>
    <t>Cisco IOS: Interface {#IFNAME}({#IFALIAS}): High error rate (&gt;{$IF.ERRORS.WARN:"{#IFNAME}"} for 5m)</t>
  </si>
  <si>
    <t>Cisco IOS: 接口{#IFNAME}({#IFALIAS}): 错误率太高(&gt;{$IF.ERRORS.WARN: "{#IFNAME}"}达5分钟)</t>
  </si>
  <si>
    <t>(3480/415)</t>
  </si>
  <si>
    <t>Cisco IOS: Interface {#IFNAME}({#IFALIAS}): High bandwidth usage (&gt;{$IF.UTIL.MAX:"{#IFNAME}"}%)</t>
  </si>
  <si>
    <t>Cisco IOS: 接口{#IFNAME}({#IFALIAS}): 带宽使用率太高(&gt;{$IF.UTIL.MAX: "{#IFNAME}"}%)</t>
  </si>
  <si>
    <t>(3480/422)</t>
  </si>
  <si>
    <t>Cisco IOS: {#SNMPVALUE}: Temperature is above critical threshold: &gt;{$TEMP_CRIT:"{#SNMPVALUE}"}</t>
  </si>
  <si>
    <t>Cisco IOS: {#SNMPVALUE}: 温度高于临界阈值: &gt;{$TEMP_CRIT: "{#SNMPVALUE}"}</t>
  </si>
  <si>
    <t>(3480/423)</t>
  </si>
  <si>
    <t>Cisco IOS: {#SNMPVALUE}: Temperature is above warning threshold: &gt;{$TEMP_WARN:"{#SNMPVALUE}"}</t>
  </si>
  <si>
    <t>Cisco IOS: {#SNMPVALUE}: 温度高于告警阈值: &gt;{$TEMP_WARN: "{#SNMPVALUE}"}</t>
  </si>
  <si>
    <t>(3480/424)</t>
  </si>
  <si>
    <t>Cisco IOS: {#SNMPVALUE}: Temperature is too low: &lt;{$TEMP_CRIT_LOW:"{#SNMPVALUE}"}</t>
  </si>
  <si>
    <t>Cisco IOS: {#SNMPVALUE}: 温度太低: &lt;{$TEMP_CRIT_LOW: "{#SNMPVALUE}"}</t>
  </si>
  <si>
    <t>(3480/425)</t>
  </si>
  <si>
    <t>Cisco IOS: #{#SNMPINDEX}: High CPU utilization (over {$CPU.UTIL.CRIT}% for 5m)</t>
  </si>
  <si>
    <t>Cisco IOS: #{#SNMPINDEX}: CPU使用率高了(超过{$CPU.UTIL.CRIT}%达5分钟)</t>
  </si>
  <si>
    <t>(3480/426)</t>
  </si>
  <si>
    <t>Cisco IOS: {#ENT_NAME}: Device has been replaced (new serial number received)</t>
  </si>
  <si>
    <t>Cisco IOS: {#ENT_NAME}: 设备已更换(收到新序列号)</t>
  </si>
  <si>
    <t>(3480/427)</t>
  </si>
  <si>
    <t>Cisco IOS: {#SNMPVALUE}: High memory utilization (&gt;{$MEMORY.UTIL.MAX}% for 5m)</t>
  </si>
  <si>
    <t>Cisco IOS: {#SNMPVALUE}: 内存利用率高了(&gt;{$MEMORY.UTIL.MAX}%达5分钟)</t>
  </si>
  <si>
    <t>(3480/432)</t>
  </si>
  <si>
    <t>(3480/433)</t>
  </si>
  <si>
    <t>(3480/434)</t>
  </si>
  <si>
    <t>(3480/435)</t>
  </si>
  <si>
    <t>(3480/436)</t>
  </si>
  <si>
    <t>(3480/437)</t>
  </si>
  <si>
    <t>(3480/438)</t>
  </si>
  <si>
    <t>(3480/445)</t>
  </si>
  <si>
    <t>(3480/446)</t>
  </si>
  <si>
    <t>(3480/447)</t>
  </si>
  <si>
    <t>(3480/448)</t>
  </si>
  <si>
    <t>Cisco IOS: {#SNMPVALUE}: High CPU utilization (over {$CPU.UTIL.CRIT}% for 5m)</t>
  </si>
  <si>
    <t>Cisco IOS: {#SNMPVALUE}: CPU使用率高了(超过{$CPU.UTIL.CRIT}%达5分钟)</t>
  </si>
  <si>
    <t>(3480/449)</t>
  </si>
  <si>
    <t>(3480/450)</t>
  </si>
  <si>
    <t>(3480/454)</t>
  </si>
  <si>
    <t>23428</t>
  </si>
  <si>
    <t>Meraki: VPN [{#NETWORK.NAME}][{#SENDER.UPLINK}]=&gt;[{#PEER.NETWORK.NAME}][{#RECEIVER.UPLINK}]: High average VPN connection loss (over &gt;= {$MERAKI.VPN.LOSS.PERCENTILE%)</t>
  </si>
  <si>
    <t>Meraki: VPN [{#NETWORK.NAME}][{#SENDER.UPLINK}]=&gt;[{#PEER.NETWORK.NAME}][{#RECEIVER.UPLINK}]: 平均VPN连接丢失率高(超过&gt;= {$MERAKI.VPN.LOSS.PERCENTILE}%)</t>
  </si>
  <si>
    <t>(3480/456)</t>
  </si>
  <si>
    <t>23075</t>
  </si>
  <si>
    <t>Cisco Nexus 9000: Interface {#IFNAME}({#IFALIAS}): High input error rate ( &gt; {$IF.ERRORS.WARN:"{#IFNAME}"} for 5m)</t>
  </si>
  <si>
    <t>Cisco Nexus 9000: 接口{#IFNAME}({#IFALIAS}): 入方向错误率高了(&gt;{$IF.ERRORS.WARN: "{#IFNAME}"}达5分钟)</t>
  </si>
  <si>
    <t>(3480/457)</t>
  </si>
  <si>
    <t>23073</t>
  </si>
  <si>
    <t>Cisco Nexus 9000: Interface {#IFNAME}({#IFALIAS}): High inbound bandwidth usage ( &gt; {$IF.UTIL.MAX:"{#IFNAME}"}% )</t>
  </si>
  <si>
    <t>Cisco Nexus 9000: 接口{#IFNAME}({#IFALIAS}): 入方向带宽使用率高了(&gt;{$IF.UTIL.MAX: "{#IFNAME}"}%)</t>
  </si>
  <si>
    <t>(3480/458)</t>
  </si>
  <si>
    <t>Cisco Nexus 9000: Interface {#IFNAME}({#IFALIAS}): High output error rate ( &gt; {$IF.ERRORS.WARN:"{#IFNAME}"} for 5m)</t>
  </si>
  <si>
    <t>Cisco Nexus 9000: 接口{#IFNAME}({#IFALIAS}): 出方向错误率高了(&gt;{$IF.ERRORS.WARN: "{#IFNAME}"}达5分钟)</t>
  </si>
  <si>
    <t>(3480/459)</t>
  </si>
  <si>
    <t>23074</t>
  </si>
  <si>
    <t>Cisco Nexus 9000: Interface {#IFNAME}({#IFALIAS}): High outbound bandwidth usage ( &gt; {$IF.UTIL.MAX:"{#IFNAME}"}% )</t>
  </si>
  <si>
    <t>Cisco Nexus 9000: 接口{#IFNAME}({#IFALIAS}): 出方向带宽使用率高了(&gt;{$IF.UTIL.MAX: "{#IFNAME}"}%)</t>
  </si>
  <si>
    <t>(3480/470)</t>
  </si>
  <si>
    <t>Cisco Nexus 9000: {#SNMPVALUE}: Temperature is above critical threshold: &gt;{$TEMP_CRIT:"{#SNMPVALUE}"}°C</t>
  </si>
  <si>
    <t>Cisco Nexus 9000: {#SNMPVALUE}: 温度高于临界阈值: &gt;{$TEMP_CRIT: "{#SNMPVALUE}"}°C</t>
  </si>
  <si>
    <t>(3480/471)</t>
  </si>
  <si>
    <t>Cisco Nexus 9000: {#SNMPVALUE}: Temperature is above warning threshold: &gt;{$TEMP_WARN:"{#SNMPVALUE}°C"}</t>
  </si>
  <si>
    <t>Cisco Nexus 9000: {#SNMPVALUE}: 温度高于告警阈值: &gt;{$TEMP_WARN: "{#SNMPVALUE}°C"}</t>
  </si>
  <si>
    <t>(3480/472)</t>
  </si>
  <si>
    <t>Cisco Nexus 9000: {#SNMPVALUE}: Temperature is too low: &lt;{$TEMP_CRIT_LOW:"{#SNMPVALUE}°C"}</t>
  </si>
  <si>
    <t>Cisco Nexus 9000: {#SNMPVALUE}: 温度太低了: &lt;{$TEMP_CRIT_LOW: "{#SNMPVALUE}°C"}</t>
  </si>
  <si>
    <t>(3480/473)</t>
  </si>
  <si>
    <t>23066</t>
  </si>
  <si>
    <t>Cisco Nexus 9000: #{#SNMPINDEX}: High CPU utilization (over {$CPU.UTIL.CRIT}% for 5m)</t>
  </si>
  <si>
    <t>Cisco Nexus 9000: #{#SNMPINDEX}: CPU使用率高了(超过{$CPU.UTIL.CRIT}%达5分钟)</t>
  </si>
  <si>
    <t>(3480/474)</t>
  </si>
  <si>
    <t>23067</t>
  </si>
  <si>
    <t>Cisco Nexus 9000: {#ENT_NAME}: Device has been replaced (new serial number received)</t>
  </si>
  <si>
    <t>Cisco Nexus 9000: {#ENT_NAME}: 设备已更换(收到新序列号)</t>
  </si>
  <si>
    <t>(3480/475)</t>
  </si>
  <si>
    <t>23071</t>
  </si>
  <si>
    <t>Cisco Nexus 9000: {#SNMPVALUE}: High memory utilization ( &gt;{$MEMORY.UTIL.MAX}% for 5m)</t>
  </si>
  <si>
    <t>Cisco Nexus 9000: {#SNMPVALUE}: 内存利用率高了(&gt;{$MEMORY.UTIL.MAX}%达5分钟)</t>
  </si>
  <si>
    <t>(3480/476)</t>
  </si>
  <si>
    <t>23358</t>
  </si>
  <si>
    <t>Cisco SD-WAN: ["{#FSNAME}"]: Disk space is critically low (used &gt; {$SDWAN.FS.PUSED.MAX.CRIT:"{#FSNAME}"}%)</t>
  </si>
  <si>
    <t>Cisco SD-WAN: ["{#FSNAME}"]: 磁盘空间严重不足(已使用率&gt;{$SDWAN.FS.PUSED.MAX.CRIT: "{#FSNAME}"}%)</t>
  </si>
  <si>
    <t>(3480/477)</t>
  </si>
  <si>
    <t>23359</t>
  </si>
  <si>
    <t>Cisco SD-WAN: ["{#FSNAME}"]: Disk space is low (used &gt; {$SDWAN.FS.PUSED.MAX.WARN:"{#FSNAME}"}%)</t>
  </si>
  <si>
    <t>Cisco SD-WAN: ["{#FSNAME}"]: 磁盘空间不足(已使用率&gt;{$SDWAN.FS.PUSED.MAX.WARN: "{#FSNAME}"}%)</t>
  </si>
  <si>
    <t>(3480/478)</t>
  </si>
  <si>
    <t>23362</t>
  </si>
  <si>
    <t>Cisco SD-WAN: Interface ["{#IFNAME}"]: High error rate (&gt;{$SDWAN.IF.ERRORS.WARN:"{#IFNAME}"} for 5m)</t>
  </si>
  <si>
    <t>Cisco SD-WAN: 接口["{#IFNAME}"]: 错误率高(&gt;{$SDWAN.IF.ERRORS.WARN: "{#IFNAME}"}达5分钟)</t>
  </si>
  <si>
    <t>(3480/479)</t>
  </si>
  <si>
    <t>23361</t>
  </si>
  <si>
    <t>Cisco SD-WAN: Interface ["{#IFNAME}"]: High bandwidth usage (&gt;{$SDWAN.IF.UTIL.MAX:"{#IFNAME}"}%)</t>
  </si>
  <si>
    <t>Cisco SD-WAN: 接口["{#IFNAME}"]: 带宽使用率高(&gt;{$SDWAN.IF.UTIL.MAX: "{#IFNAME}"}%)</t>
  </si>
  <si>
    <t>(3480/482)</t>
  </si>
  <si>
    <t>Cisco Secure Firewall Threat Defense by HTTP</t>
  </si>
  <si>
    <t>25055</t>
  </si>
  <si>
    <t>Cisco Secure FTD: High CPU utilization (over {$CISCO.FTD.CPU.UTIL.WARN:"{#NAME}"}% for 15m)</t>
  </si>
  <si>
    <t>思科安全FTD：CPU使用率过高（超过{$CISCO.FTD.CPU.UTIL.WARN:"{#NAME}"}%持续15分钟）</t>
  </si>
  <si>
    <t>(3480/485)</t>
  </si>
  <si>
    <t>25064</t>
  </si>
  <si>
    <t>Cisco Secure FTD: FS [{#FSNAME}][{#FSMOUNT}]: Space is low (utilization is over {$CISCO.FTD.FS.PUSED.WARN:"{#FSNAME}"}% for 15m)</t>
  </si>
  <si>
    <t>思科安全FTD：文件系统[{#FSNAME}][{#FSMOUNT}]：存储空间不足（15分钟内使用率超过{$CISCO.FTD.FS.PUSED.WARN:"{#FSNAME}"}%）</t>
  </si>
  <si>
    <t>(3480/486)</t>
  </si>
  <si>
    <t>25058</t>
  </si>
  <si>
    <t>Cisco Secure FTD: Interface [{#NAME}][{#DESCR}]: High input error rate ( &gt; {$CISCO.FTD.IF.ERRORS.WARN:"{#NAME}"} for 5m)</t>
  </si>
  <si>
    <t>思科安全FTD：接口[{#NAME}][{#DESCR}]：高输入错误率（5分钟内 &gt; {$CISCO.FTD.IF.ERRORS.WARN:"{#NAME}"}）</t>
  </si>
  <si>
    <t>(3480/487)</t>
  </si>
  <si>
    <t>25059</t>
  </si>
  <si>
    <t>Cisco Secure FTD: Interface [{#NAME}][{#DESCR}]: High output error rate ( &gt; {$CISCO.FTD.IF.ERRORS.WARN:"{#NAME}"} for 5m)</t>
  </si>
  <si>
    <t>Cisco Secure FTD: 接口 [{#NAME}][{#DESCR}]：高输出错误率（5分钟内 &gt; {$CISCO.FTD.IF.ERRORS.WARN:"{#NAME}"}）</t>
  </si>
  <si>
    <t>(3480/489)</t>
  </si>
  <si>
    <t>25061</t>
  </si>
  <si>
    <t>Cisco Secure FTD: High memory utilization (over {$CISCO.FTD.MEMORY.UTIL.WARN:"{#NAME}"}% for 15m)</t>
  </si>
  <si>
    <t>思科安全FTD：内存利用率过高（超过{$CISCO.FTD.MEMORY.UTIL.WARN:"{#NAME}"}%持续15分钟）</t>
  </si>
  <si>
    <t>(3480/490)</t>
  </si>
  <si>
    <t>25062</t>
  </si>
  <si>
    <t>Cisco Secure FTD: Temperature is above critical threshold: &gt;{$CISCO.FTD.TEMP.CRIT:"{#SENSOR}"}</t>
  </si>
  <si>
    <t>思科安全FTD：温度超过严重阈值：&gt;{$CISCO.FTD.TEMP.CRIT:"{#SENSOR}"}</t>
  </si>
  <si>
    <t>(3480/491)</t>
  </si>
  <si>
    <t>25063</t>
  </si>
  <si>
    <t>Cisco Secure FTD: Temperature is above warning threshold: &gt;{$CISCO.FTD.TEMP.WARN:"{#SENSOR}"}</t>
  </si>
  <si>
    <t>思科安全FTD：温度超过警告阈值：&gt;{$CISCO.FTD.TEMP.WARN:"{#SENSOR}"}</t>
  </si>
  <si>
    <t>(3480/497)</t>
  </si>
  <si>
    <t>Cisco UCS Manager: {#DISK_LOCATION}: Disk has been replaced (new serial number received)</t>
  </si>
  <si>
    <t>Cisco UCS Manager: {#DISK_LOCATION}: 磁盘已更换(收到新序列号)</t>
  </si>
  <si>
    <t>(3480/500)</t>
  </si>
  <si>
    <t>Cisco UCS Manager: {#UNIT_LOCATION}: Device has been replaced (new serial number received)</t>
  </si>
  <si>
    <t>Cisco UCS Manager: {#UNIT_LOCATION}: 设备已更换(收到新序列号)</t>
  </si>
  <si>
    <t>(3480/502)</t>
  </si>
  <si>
    <t>Cisco UCS Manager: Interface {#IFNAME}({#IFALIAS}): High error rate on {#IFNAME} ( &gt; {$IF.ERRORS.WARN:"{#IFNAME}"} for 5m)</t>
  </si>
  <si>
    <t>Cisco UCS Manager: 接口{#IFNAME}({#IFALIAS}): {#IFNAME}上的错误率高了(&gt;{$IF.ERRORS.WARN: "{#IFNAME}"}达5分钟)</t>
  </si>
  <si>
    <t>(3480/508)</t>
  </si>
  <si>
    <t>Cisco UCS Manager: {#SENSOR_LOCATION}.IOH: Temperature is above critical threshold: &gt;{$TEMP.MAX.CRIT:"Ambient"}</t>
  </si>
  <si>
    <t>Cisco UCS Manager: {#SENSOR_LOCATION}.IOH: 温度高于临界阈值: &gt;{$TEMP.MAX.CRIT: "Ambient"}</t>
  </si>
  <si>
    <t>(3480/509)</t>
  </si>
  <si>
    <t>Cisco UCS Manager: {#SENSOR_LOCATION}.IOH: Temperature is above warning threshold: &gt;{$TEMP.MAX.WARN:"Ambient"}</t>
  </si>
  <si>
    <t>Cisco UCS Manager: {#SENSOR_LOCATION}.IOH: 温度高于告警阈值: &gt;{$TEMP.MAX.WARN: "Ambient"}</t>
  </si>
  <si>
    <t>(3480/510)</t>
  </si>
  <si>
    <t>Cisco UCS Manager: {#SENSOR_LOCATION}.Ambient: Temperature is above critical threshold: &gt;{$TEMP.MAX.CRIT:"Ambient"}</t>
  </si>
  <si>
    <t>Cisco UCS Manager: {#SENSOR_LOCATION}.Ambient: 温度高于临界阈值: &gt;{$TEMP.MAX.CRIT: "Ambient"}</t>
  </si>
  <si>
    <t>(3480/511)</t>
  </si>
  <si>
    <t>Cisco UCS Manager: {#SENSOR_LOCATION}.Ambient: Temperature is above warning threshold: &gt;{$TEMP.MAX.WARN:"Ambient"}</t>
  </si>
  <si>
    <t>Cisco UCS Manager: {#SENSOR_LOCATION}.Ambient: 温度高于告警阈值: &gt;{$TEMP.MAX.WARN: "Ambient"}</t>
  </si>
  <si>
    <t>(3480/512)</t>
  </si>
  <si>
    <t>Cisco UCS Manager: {#SENSOR_LOCATION}.Front: Temperature is above critical threshold: &gt;{$TEMP.MAX.CRIT:"Ambient"}</t>
  </si>
  <si>
    <t>Cisco UCS Manager: {#SENSOR_LOCATION}.Front: 温度高于临界阈值: &gt;{$TEMP.MAX.CRIT: "Ambient"}</t>
  </si>
  <si>
    <t>(3480/513)</t>
  </si>
  <si>
    <t>Cisco UCS Manager: {#SENSOR_LOCATION}.Front: Temperature is above warning threshold: &gt;{$TEMP.MAX.WARN:"Ambient"}</t>
  </si>
  <si>
    <t>Cisco UCS Manager: {#SENSOR_LOCATION}.Front: 温度高于告警阈值: &gt;{$TEMP.MAX.WARN: "Ambient"}</t>
  </si>
  <si>
    <t>(3480/514)</t>
  </si>
  <si>
    <t>Cisco UCS Manager: {#SENSOR_LOCATION}.Rear: Temperature is above critical threshold: &gt;{$TEMP.MAX.CRIT:"Ambient"}</t>
  </si>
  <si>
    <t>Cisco UCS Manager: {#SENSOR_LOCATION}.Rear: 温度高于临界阈值: &gt;{$TEMP.MAX.CRIT: "Ambient"}</t>
  </si>
  <si>
    <t>(3480/515)</t>
  </si>
  <si>
    <t>Cisco UCS Manager: {#SENSOR_LOCATION}.Rear: Temperature is above warning threshold: &gt;{$TEMP.MAX.WARN:"Ambient"}</t>
  </si>
  <si>
    <t>Cisco UCS Manager: {#SENSOR_LOCATION}.Rear: 温度高于告警阈值: &gt;{$TEMP.MAX.WARN: "Ambient"}</t>
  </si>
  <si>
    <t>(3480/516)</t>
  </si>
  <si>
    <t>Cisco UCS Manager: {#SENSOR_LOCATION}: Temperature is above critical threshold: &gt;{$TEMP.MAX.CRIT:"CPU"}</t>
  </si>
  <si>
    <t>Cisco UCS Manager: {#SENSOR_LOCATION}: 温度高于临界阈值: &gt;{$TEMP.MAX.CRIT: "CPU"}</t>
  </si>
  <si>
    <t>(3480/517)</t>
  </si>
  <si>
    <t>Cisco UCS Manager: {#SENSOR_LOCATION}: Temperature is above warning threshold: &gt;{$TEMP.MAX.WARN:"CPU"}</t>
  </si>
  <si>
    <t>Cisco UCS Manager: {#SENSOR_LOCATION}: 温度高于告警阈值: &gt;{$TEMP.MAX.WARN: "CPU"}</t>
  </si>
  <si>
    <t>(3480/524)</t>
  </si>
  <si>
    <t>Cisco UCS: {#SENSOR_LOCATION}.IOH: Temperature is above warning threshold: &gt;{$TEMP_WARN:"Ambient"}</t>
  </si>
  <si>
    <t>Cisco UCS: {#SENSOR_LOCATION}.IOH: 温度高于告警阈值: &gt;{$TEMP_WARN: "Ambient"}</t>
  </si>
  <si>
    <t>(3480/525)</t>
  </si>
  <si>
    <t>Cisco UCS: {#SENSOR_LOCATION}.IOH: Temperature is above critical threshold: &gt;{$TEMP_CRIT:"Ambient"}</t>
  </si>
  <si>
    <t>Cisco UCS: {#SENSOR_LOCATION}.IOH: 温度高于临界阈值: &gt;{$TEMP_CRIT: "Ambient"}</t>
  </si>
  <si>
    <t>(3480/526)</t>
  </si>
  <si>
    <t>Cisco UCS: {#SENSOR_LOCATION}.IOH: Temperature is too low: &lt;{$TEMP_CRIT_LOW:"Ambient"}</t>
  </si>
  <si>
    <t>Cisco UCS: {#SENSOR_LOCATION}.IOH: 温度太低: &lt;{$TEMP_CRIT_LOW: "Ambient"}</t>
  </si>
  <si>
    <t>(3480/527)</t>
  </si>
  <si>
    <t>Cisco UCS: {#SENSOR_LOCATION}.Ambient: Temperature is above warning threshold: &gt;{$TEMP_WARN:"Ambient"}</t>
  </si>
  <si>
    <t>Cisco UCS: {#SENSOR_LOCATION}.Ambient: 温度高于告警阈值: &gt;{$TEMP_WARN: "Ambient"}</t>
  </si>
  <si>
    <t>(3480/528)</t>
  </si>
  <si>
    <t>Cisco UCS: {#SENSOR_LOCATION}.Ambient: Temperature is above critical threshold: &gt;{$TEMP_CRIT:"Ambient"}</t>
  </si>
  <si>
    <t>Cisco UCS: {#SENSOR_LOCATION}.Ambient: 温度高于临界阈值: &gt;{$TEMP_CRIT: "Ambient"}</t>
  </si>
  <si>
    <t>(3480/529)</t>
  </si>
  <si>
    <t>Cisco UCS: {#SENSOR_LOCATION}.Ambient: Temperature is too low: &lt;{$TEMP_CRIT_LOW:"Ambient"}</t>
  </si>
  <si>
    <t>Cisco UCS: {#SENSOR_LOCATION}.Ambient: 温度太低: &lt;{$TEMP_CRIT_LOW: "Ambient"}</t>
  </si>
  <si>
    <t>(3480/530)</t>
  </si>
  <si>
    <t>Cisco UCS: {#SENSOR_LOCATION}.Front: Temperature is above warning threshold: &gt;{$TEMP_WARN:"Ambient"}</t>
  </si>
  <si>
    <t>Cisco UCS: {#SENSOR_LOCATION}.Front: 温度高于告警阈值: &gt;{$TEMP_WARN: "Ambient"}</t>
  </si>
  <si>
    <t>(3480/531)</t>
  </si>
  <si>
    <t>Cisco UCS: {#SENSOR_LOCATION}.Front: Temperature is above critical threshold: &gt;{$TEMP_CRIT:"Ambient"}</t>
  </si>
  <si>
    <t>Cisco UCS: {#SENSOR_LOCATION}.Front: 温度高于临界阈值: &gt;{$TEMP_CRIT: "Ambient"}</t>
  </si>
  <si>
    <t>(3480/532)</t>
  </si>
  <si>
    <t>Cisco UCS: {#SENSOR_LOCATION}.Front: Temperature is too low: &lt;{$TEMP_CRIT_LOW:"Ambient"}</t>
  </si>
  <si>
    <t>Cisco UCS: {#SENSOR_LOCATION}.Front: 温度太低: &lt;{$TEMP_CRIT_LOW: "Ambient"}</t>
  </si>
  <si>
    <t>(3480/533)</t>
  </si>
  <si>
    <t>Cisco UCS: {#SENSOR_LOCATION}.Rear: Temperature is above warning threshold: &gt;{$TEMP_WARN:"Ambient"}</t>
  </si>
  <si>
    <t>Cisco UCS: {#SENSOR_LOCATION}.Rear: 温度高于告警阈值: &gt;{$TEMP_WARN: "Ambient"}</t>
  </si>
  <si>
    <t>(3480/534)</t>
  </si>
  <si>
    <t>Cisco UCS: {#SENSOR_LOCATION}.Rear: Temperature is above critical threshold: &gt;{$TEMP_CRIT:"Ambient"}</t>
  </si>
  <si>
    <t>Cisco UCS: {#SENSOR_LOCATION}.Rear: 温度高于临界阈值: &gt;{$TEMP_CRIT: "Ambient"}</t>
  </si>
  <si>
    <t>(3480/535)</t>
  </si>
  <si>
    <t>Cisco UCS: {#SENSOR_LOCATION}.Rear: Temperature is too low: &lt;{$TEMP_CRIT_LOW:"Ambient"}</t>
  </si>
  <si>
    <t>Cisco UCS: {#SENSOR_LOCATION}.Rear: 温度太低: &lt;{$TEMP_CRIT_LOW: "Ambient"}</t>
  </si>
  <si>
    <t>(3480/536)</t>
  </si>
  <si>
    <t>Cisco UCS: {#SENSOR_LOCATION}: Temperature is above warning threshold: &gt;{$TEMP_WARN:"CPU"}</t>
  </si>
  <si>
    <t>Cisco UCS: {#SENSOR_LOCATION}: 温度高于告警阈值: &gt;{$TEMP_WARN: "CPU"}</t>
  </si>
  <si>
    <t>(3480/537)</t>
  </si>
  <si>
    <t>Cisco UCS: {#SENSOR_LOCATION}: Temperature is above critical threshold: &gt;{$TEMP_CRIT:"CPU"}</t>
  </si>
  <si>
    <t>Cisco UCS: {#SENSOR_LOCATION}: 温度高于临界阈值: &gt;{$TEMP_CRIT: "CPU"}</t>
  </si>
  <si>
    <t>(3480/538)</t>
  </si>
  <si>
    <t>Cisco UCS: {#SENSOR_LOCATION}: Temperature is too low: &lt;{$TEMP_CRIT_LOW:"CPU"}</t>
  </si>
  <si>
    <t>Cisco UCS: {#SENSOR_LOCATION}: 温度太低: &lt;{$TEMP_CRIT_LOW: "CPU"}</t>
  </si>
  <si>
    <t>(3480/546)</t>
  </si>
  <si>
    <t>Cisco UCS: {#UNIT_LOCATION}: Device has been replaced (new serial number received)</t>
  </si>
  <si>
    <t>Cisco UCS: {#UNIT_LOCATION}: 设备已更换(收到新序列号)</t>
  </si>
  <si>
    <t>(3480/553)</t>
  </si>
  <si>
    <t>(3480/554)</t>
  </si>
  <si>
    <t>(3480/555)</t>
  </si>
  <si>
    <t>22653</t>
  </si>
  <si>
    <t>(3480/556)</t>
  </si>
  <si>
    <t>22654</t>
  </si>
  <si>
    <t>(3480/565)</t>
  </si>
  <si>
    <t>D-Link DES 7200: Interface {#IFNAME}({#IFALIAS}): High error rate (&gt;{$IF.ERRORS.WARN:"{#IFNAME}"} for 5m)</t>
  </si>
  <si>
    <t>D-Link DES 7200: 接口{#IFNAME}({#IFALIAS}): 错误率太高(&gt;{$IF.ERRORS.WARN: "{#IFNAME}"}达5分钟)</t>
  </si>
  <si>
    <t>(3480/566)</t>
  </si>
  <si>
    <t>D-Link DES 7200: Interface {#IFNAME}({#IFALIAS}): High bandwidth usage (&gt;{$IF.UTIL.MAX:"{#IFNAME}"}%)</t>
  </si>
  <si>
    <t>D-Link DES 7200: 接口{#IFNAME}({#IFALIAS}): 带宽使用率太高(&gt;{$IF.UTIL.MAX: "{#IFNAME}"}%)</t>
  </si>
  <si>
    <t>(3480/571)</t>
  </si>
  <si>
    <t>D-Link DES 7200: {#SNMPVALUE}: Temperature is above critical threshold: &gt;{$TEMP_CRIT:"{#SNMPVALUE}"}</t>
  </si>
  <si>
    <t>D-Link DES 7200: {#SNMPVALUE}: 温度高于临界阈值: &gt;{$TEMP_CRIT: "{#SNMPVALUE}"}</t>
  </si>
  <si>
    <t>(3480/572)</t>
  </si>
  <si>
    <t>D-Link DES 7200: {#SNMPVALUE}: Temperature is above warning threshold: &gt;{$TEMP_WARN:"{#SNMPVALUE}"}</t>
  </si>
  <si>
    <t>D-Link DES 7200: {#SNMPVALUE}: 温度高于告警阈值: &gt;{$TEMP_WARN: "{#SNMPVALUE}"}</t>
  </si>
  <si>
    <t>(3480/573)</t>
  </si>
  <si>
    <t>D-Link DES 7200: {#SNMPVALUE}: Temperature is too low: &lt;{$TEMP_CRIT_LOW:"{#SNMPVALUE}"}</t>
  </si>
  <si>
    <t>D-Link DES 7200: {#SNMPVALUE}: 温度太低: &lt;{$TEMP_CRIT_LOW: "{#SNMPVALUE}"}</t>
  </si>
  <si>
    <t>(3480/574)</t>
  </si>
  <si>
    <t>D-Link DES 7200: {#SNMPINDEX}: High memory utilization (&gt;{$MEMORY.UTIL.MAX}% for 5m)</t>
  </si>
  <si>
    <t>D-Link DES 7200: {#SNMPINDEX}: 内存利用率高了(&gt;{$MEMORY.UTIL.MAX}%达5分钟)</t>
  </si>
  <si>
    <t>(3480/576)</t>
  </si>
  <si>
    <t>D-Link DES_DGS Switch: Interface {#IFNAME}({#IFALIAS}): High error rate (&gt;{$IF.ERRORS.WARN:"{#IFNAME}"} for 5m)</t>
  </si>
  <si>
    <t>D-Link DES_DGS Switch: 接口{#IFNAME}({#IFALIAS}): 错误率太高(&gt;{$IF.ERRORS.WARN: "{#IFNAME}"}达5分钟)</t>
  </si>
  <si>
    <t>(3480/577)</t>
  </si>
  <si>
    <t>D-Link DES_DGS Switch: Interface {#IFNAME}({#IFALIAS}): High bandwidth usage (&gt;{$IF.UTIL.MAX:"{#IFNAME}"}%)</t>
  </si>
  <si>
    <t>D-Link DES_DGS Switch: 接口{#IFNAME}({#IFALIAS}): 带宽使用率太高(&gt;{$IF.UTIL.MAX: "{#IFNAME}"}%)</t>
  </si>
  <si>
    <t>(3480/582)</t>
  </si>
  <si>
    <t>D-Link DES_DGS Switch: #{#SNMPVALUE}: Temperature is above critical threshold: &gt;{$TEMP_CRIT:"{#SNMPVALUE}"}</t>
  </si>
  <si>
    <t>D-Link DES_DGS Switch: #{#SNMPVALUE}: 温度高于临界阈值: &gt;{$TEMP_CRIT: "{#SNMPVALUE}"}</t>
  </si>
  <si>
    <t>(3480/583)</t>
  </si>
  <si>
    <t>D-Link DES_DGS Switch: #{#SNMPVALUE}: Temperature is above warning threshold: &gt;{$TEMP_WARN:"{#SNMPVALUE}"}</t>
  </si>
  <si>
    <t>D-Link DES_DGS Switch: #{#SNMPVALUE}: 温度高于告警阈值: &gt;{$TEMP_WARN: "{#SNMPVALUE}"}</t>
  </si>
  <si>
    <t>(3480/584)</t>
  </si>
  <si>
    <t>D-Link DES_DGS Switch: #{#SNMPVALUE}: Temperature is too low: &lt;{$TEMP_CRIT_LOW:"{#SNMPVALUE}"}</t>
  </si>
  <si>
    <t>D-Link DES_DGS Switch: #{#SNMPVALUE}: 温度太低: &lt;{$TEMP_CRIT_LOW: "{#SNMPVALUE}"}</t>
  </si>
  <si>
    <t>(3480/585)</t>
  </si>
  <si>
    <t>D-Link DES_DGS Switch: #{#SNMPVALUE}: High memory utilization (&gt;{$MEMORY.UTIL.MAX}% for 5m)</t>
  </si>
  <si>
    <t>D-Link DES_DGS Switch: #{#SNMPVALUE}: 内存利用率高了(&gt;{$MEMORY.UTIL.MAX}%达5分钟)</t>
  </si>
  <si>
    <t>(3480/590)</t>
  </si>
  <si>
    <t>DELL PowerEdge R660 by HTTP</t>
  </si>
  <si>
    <t>24009</t>
  </si>
  <si>
    <t>Dell R660: [{#DISK_NAME}] has been replaced (new serial number received)</t>
  </si>
  <si>
    <t>戴尔R660:[{#DISK_NAME}]已更换(已收到新序列号)</t>
  </si>
  <si>
    <t>(3480/616)</t>
  </si>
  <si>
    <t>DELL PowerEdge R660 by SNMP</t>
  </si>
  <si>
    <t>24044</t>
  </si>
  <si>
    <t>(3480/638)</t>
  </si>
  <si>
    <t>24080</t>
  </si>
  <si>
    <t>Dell R720: [{#DISK_NAME}] has been replaced (new serial number received)</t>
  </si>
  <si>
    <t>戴尔R720:[{#DISK_NAME}]已更换(已收到新序列号)</t>
  </si>
  <si>
    <t>(3480/664)</t>
  </si>
  <si>
    <t>24115</t>
  </si>
  <si>
    <t>(3480/686)</t>
  </si>
  <si>
    <t>24151</t>
  </si>
  <si>
    <t>Dell R740: [{#DISK_NAME}] has been replaced (new serial number received)</t>
  </si>
  <si>
    <t>戴尔R740:[{#DISK_NAME}]已更换(已收到新序列号)</t>
  </si>
  <si>
    <t>(3480/712)</t>
  </si>
  <si>
    <t>24186</t>
  </si>
  <si>
    <t>(3480/734)</t>
  </si>
  <si>
    <t>DELL PowerEdge R750 by HTTP</t>
  </si>
  <si>
    <t>24222</t>
  </si>
  <si>
    <t>Dell R750: [{#DISK_NAME}] has been replaced (new serial number received)</t>
  </si>
  <si>
    <t>戴尔R750:[{#DISK_NAME}]已更换(已收到新序列号)</t>
  </si>
  <si>
    <t>(3480/760)</t>
  </si>
  <si>
    <t>DELL PowerEdge R750 by SNMP</t>
  </si>
  <si>
    <t>24257</t>
  </si>
  <si>
    <t>(3480/782)</t>
  </si>
  <si>
    <t>24293</t>
  </si>
  <si>
    <t>Dell R820: [{#DISK_NAME}] has been replaced (new serial number received)</t>
  </si>
  <si>
    <t>戴尔R820:[{#DISK_NAME}]已更换(已收到新序列号)</t>
  </si>
  <si>
    <t>(3480/808)</t>
  </si>
  <si>
    <t>24328</t>
  </si>
  <si>
    <t>(3480/830)</t>
  </si>
  <si>
    <t>24364</t>
  </si>
  <si>
    <t>Dell R840: [{#DISK_NAME}] has been replaced (new serial number received)</t>
  </si>
  <si>
    <t>戴尔R840:[{#DISK_NAME}]已更换(已收到新序列号)</t>
  </si>
  <si>
    <t>(3480/856)</t>
  </si>
  <si>
    <t>24399</t>
  </si>
  <si>
    <t>(3480/875)</t>
  </si>
  <si>
    <t>Dell Force S-Series: Interface {#IFNAME}({#IFALIAS}): High error rate (&gt;{$IF.ERRORS.WARN:"{#IFNAME}"} for 5m)</t>
  </si>
  <si>
    <t>Dell Force S-Series: 接口{#IFNAME}({#IFALIAS}): 错误率太高(&gt;{$IF.ERRORS.WARN: "{#IFNAME}"}达5分钟)</t>
  </si>
  <si>
    <t>(3480/876)</t>
  </si>
  <si>
    <t>Dell Force S-Series: Interface {#IFNAME}({#IFALIAS}): High bandwidth usage (&gt;{$IF.UTIL.MAX:"{#IFNAME}"}%)</t>
  </si>
  <si>
    <t>Dell Force S-Series: 接口{#IFNAME}({#IFALIAS}): 带宽使用率太高(&gt;{$IF.UTIL.MAX: "{#IFNAME}"}%)</t>
  </si>
  <si>
    <t>(3480/883)</t>
  </si>
  <si>
    <t>Dell Force S-Series: Device {#SNMPVALUE}: Temperature is above critical threshold: &gt;{$TEMP_CRIT:"{#SNMPVALUE}"}</t>
  </si>
  <si>
    <t>Dell Force S-Series: 设备{#SNMPVALUE}: 温度高于临界阈值: &gt;{$TEMP_CRIT: "{#SNMPVALUE}"}</t>
  </si>
  <si>
    <t>(3480/884)</t>
  </si>
  <si>
    <t>Dell Force S-Series: Device {#SNMPVALUE}: Temperature is above warning threshold: &gt;{$TEMP_WARN:"{#SNMPVALUE}"}</t>
  </si>
  <si>
    <t>Dell Force S-Series: 设备{#SNMPVALUE}: 温度高于告警阈值: &gt;{$TEMP_WARN: "{#SNMPVALUE}"}</t>
  </si>
  <si>
    <t>(3480/885)</t>
  </si>
  <si>
    <t>Dell Force S-Series: Device {#SNMPVALUE}: Temperature is too low: &lt;{$TEMP_CRIT_LOW:"{#SNMPVALUE}"}</t>
  </si>
  <si>
    <t>Dell Force S-Series: 设备{#SNMPVALUE}: 温度太低: &lt;{$TEMP_CRIT_LOW: "{#SNMPVALUE}"}</t>
  </si>
  <si>
    <t>(3480/886)</t>
  </si>
  <si>
    <t>Dell Force S-Series: #{#SNMPINDEX}: High CPU utilization (over {$CPU.UTIL.CRIT}% for 5m)</t>
  </si>
  <si>
    <t>Dell Force S-Series: #{#SNMPINDEX}: CPU使用率高了(超过{$CPU.UTIL.CRIT}%达5分钟)</t>
  </si>
  <si>
    <t>(3480/887)</t>
  </si>
  <si>
    <t>Dell Force S-Series: #{#SNMPVALUE}: Device has been replaced (new serial number received)</t>
  </si>
  <si>
    <t>Dell Force S-Series: #{#SNMPVALUE}: 设备已更换(收到新序列号)</t>
  </si>
  <si>
    <t>(3480/889)</t>
  </si>
  <si>
    <t>Dell Force S-Series: #{#SNMPINDEX}: High memory utilization (&gt;{$MEMORY.UTIL.MAX}% for 5m)</t>
  </si>
  <si>
    <t>Dell Force S-Series: #{#SNMPINDEX}: 内存利用率高了(&gt;{$MEMORY.UTIL.MAX}%达5分钟)</t>
  </si>
  <si>
    <t>(3480/898)</t>
  </si>
  <si>
    <t>24435</t>
  </si>
  <si>
    <t>Dell iDRAC: [{#DISK_NAME}] has been replaced (new serial number received)</t>
  </si>
  <si>
    <t>戴尔远程管理控制器(iDRAC):[{#DISK_NAME}]已更换(已收到新序列号)</t>
  </si>
  <si>
    <t>(3480/916)</t>
  </si>
  <si>
    <t>Docker: Container {#NAME}: Version has changed (new version: {ITEM.VALUE})</t>
  </si>
  <si>
    <t>Docker: 容器{#NAME}: 版本已变更(新版本: {ITEM.VALUE})</t>
  </si>
  <si>
    <t>(3480/919)</t>
  </si>
  <si>
    <t>Elasticsearch: ES {#ES.NODE}: Flush latency is too high (over {$ELASTICSEARCH.FLUSH_LATENCY.MAX.WARN}ms for 5m)</t>
  </si>
  <si>
    <t>Elasticsearch: ES{#ES.NODE}: 刷新延迟太高(超过{$ELASTICSEARCH.FLUSH_LATENCY.MAX.WARN}毫秒达5分钟)</t>
  </si>
  <si>
    <t>(3480/920)</t>
  </si>
  <si>
    <t>Elasticsearch: ES {#ES.NODE}: Indexing latency is too high (over {$ELASTICSEARCH.INDEXING_LATENCY.MAX.WARN}ms for 5m)</t>
  </si>
  <si>
    <t>Elasticsearch: ES{#ES.NODE}: 索引延迟太高(超过{$ELASTICSEARCH.INDEXING_LATENCY.MAX.WARN}毫秒达5分钟)</t>
  </si>
  <si>
    <t>(3480/921)</t>
  </si>
  <si>
    <t>Elasticsearch: ES {#ES.NODE}: Fetch latency is too high (over {$ELASTICSEARCH.FETCH_LATENCY.MAX.WARN}ms for 5m)</t>
  </si>
  <si>
    <t>Elasticsearch: ES{#ES.NODE}: 获取延迟太高(超过{$ELASTICSEARCH.FETCH_LATENCY.MAX.WARN}毫秒达5分钟)</t>
  </si>
  <si>
    <t>(3480/922)</t>
  </si>
  <si>
    <t>Elasticsearch: ES {#ES.NODE}: Query latency is too high (over {$ELASTICSEARCH.QUERY_LATENCY.MAX.WARN}ms for 5m)</t>
  </si>
  <si>
    <t>Elasticsearch: ES{#ES.NODE}: 查询延迟太高(超过{$ELASTICSEARCH.QUERY_LATENCY.MAX.WARN}毫秒达5分钟)</t>
  </si>
  <si>
    <t>(3480/923)</t>
  </si>
  <si>
    <t>Elasticsearch: ES {#ES.NODE}: Percent of JVM heap in use is high (over {$ELASTICSEARCH.HEAP_USED.MAX.WARN}% for 1h)</t>
  </si>
  <si>
    <t>Elasticsearch: ES{#ES.NODE}: 正在使用率的JVM堆百分比(超过{$ELASTICSEARCH.HEAP_USED.MAX.WARN}%已持续1小时)</t>
  </si>
  <si>
    <t>(3480/924)</t>
  </si>
  <si>
    <t>Elasticsearch: ES {#ES.NODE}: Percent of JVM heap in use is critical (over {$ELASTICSEARCH.HEAP_USED.MAX.CRIT}% for 1h)</t>
  </si>
  <si>
    <t>Elasticsearch: ES{#ES.NODE}: 正在使用率的JVM堆百分比(超过{$ELASTICSEARCH.HEAP_USED.MAX.CRIT}%已持续1小时)</t>
  </si>
  <si>
    <t>(3480/925)</t>
  </si>
  <si>
    <t>Elasticsearch: ES {#ES.NODE}: Node has been restarted (uptime &lt; 10m)</t>
  </si>
  <si>
    <t>Elasticsearch: ES {#ES.NODE}: 节点已重启（运行时间 &lt; 10分钟）</t>
  </si>
  <si>
    <t>(3480/926)</t>
  </si>
  <si>
    <t>Elasticsearch: ES {#ES.NODE}: Refresh thread pool executor has the rejected tasks (for 5m)</t>
  </si>
  <si>
    <t>Elasticsearch: ES{#ES.NODE}: 刷新线程池执行器有被拒绝的任务(达5分钟)</t>
  </si>
  <si>
    <t>(3480/927)</t>
  </si>
  <si>
    <t>Elasticsearch: ES {#ES.NODE}: Search thread pool executor has the rejected tasks (for 5m)</t>
  </si>
  <si>
    <t>Elasticsearch: ES{#ES.NODE}: 搜索线程池执行器有被拒绝的任务(达5分钟)</t>
  </si>
  <si>
    <t>(3480/928)</t>
  </si>
  <si>
    <t>Elasticsearch: ES {#ES.NODE}: Write thread pool executor has the rejected tasks (for 5m)</t>
  </si>
  <si>
    <t>Elasticsearch: ES{#ES.NODE}: 写线程池执行器有被拒绝的任务(达5分钟)</t>
  </si>
  <si>
    <t>(3480/930)</t>
  </si>
  <si>
    <t>(3480/932)</t>
  </si>
  <si>
    <t>Extreme EXOS: Interface {#IFNAME}({#IFALIAS}): High error rate (&gt;{$IF.ERRORS.WARN:"{#IFNAME}"} for 5m)</t>
  </si>
  <si>
    <t>Extreme EXOS: 接口{#IFNAME}({#IFALIAS}): 错误率太高(&gt;{$IF.ERRORS.WARN: "{#IFNAME}"}达5分钟)</t>
  </si>
  <si>
    <t>(3480/933)</t>
  </si>
  <si>
    <t>Extreme EXOS: Interface {#IFNAME}({#IFALIAS}): High bandwidth usage (&gt;{$IF.UTIL.MAX:"{#IFNAME}"}%)</t>
  </si>
  <si>
    <t>Extreme EXOS: 接口{#IFNAME}({#IFALIAS}): 带宽使用率太高(&gt;{$IF.UTIL.MAX: "{#IFNAME}"}%)</t>
  </si>
  <si>
    <t>(3480/938)</t>
  </si>
  <si>
    <t>Extreme EXOS: #{#SNMPVALUE}: High memory utilization (&gt;{$MEMORY.UTIL.MAX}% for 5m)</t>
  </si>
  <si>
    <t>Extreme EXOS: #{#SNMPVALUE}: 内存利用率高了(&gt;{$MEMORY.UTIL.MAX}%达5分钟)</t>
  </si>
  <si>
    <t>(3480/939)</t>
  </si>
  <si>
    <t>F5 Big-IP: Less than {$BIGIP.CERT.MIN} days left until the certificate expires ({#CERT.NAME})</t>
  </si>
  <si>
    <t>(3480/944)</t>
  </si>
  <si>
    <t>F5 Big-IP: Chassis temperature ({ITEM.LASTVALUE}) of sensor {#TEMP.INDEX} exceeds threshold of {$BIGIP.TEMP.HIGH} °C</t>
  </si>
  <si>
    <t>(3480/945)</t>
  </si>
  <si>
    <t>F5 Big-IP: Chassis temperature ({ITEM.LASTVALUE}) of sensor {#TEMP.INDEX} exceeds threshold of {$BIGIP.TEMP.WARN} °C</t>
  </si>
  <si>
    <t>(3480/946)</t>
  </si>
  <si>
    <t>F5 Big-IP: High CPU utilization (over {$BIGIP.CPU.UTIL.WARN.MAX}% for 5m)</t>
  </si>
  <si>
    <t>(3480/947)</t>
  </si>
  <si>
    <t>F5 Big-IP: Low free space in file system [{#PART.NAME}] (less than {$BIGIP.FS.FREE.WARN.MIN}% for 5m)</t>
  </si>
  <si>
    <t>(3480/948)</t>
  </si>
  <si>
    <t>F5 Big-IP: High swap utilization in host [{#HOST.ID}] (over {$BIGIP.SWAP.UTIL.WARN.MAX}%)</t>
  </si>
  <si>
    <t>(3480/949)</t>
  </si>
  <si>
    <t>F5 Big-IP: High memory utilization in host [{#HOST.ID}] (over {$BIGIP.MEMORY.UTIL.WARN.MAX}%)</t>
  </si>
  <si>
    <t>(3480/950)</t>
  </si>
  <si>
    <t>F5 Big-IP: There are errors on the network interface ({#IF.NAME})</t>
  </si>
  <si>
    <t>(3480/953)</t>
  </si>
  <si>
    <t>23451</t>
  </si>
  <si>
    <t>FortiGate: Interface [{#IFNAME}({#IFALIAS})]: High bandwidth usage (&gt;{$NET.IF.UTIL.MAX:"{#IFNAME}"}%)</t>
  </si>
  <si>
    <t>FortiGate: 接口 [{#IFNAME}({#IFALIAS})]: 带宽使用量过高(大于 {$NET.IF.UTIL.MAX: "{#IFNAME}"}%)</t>
  </si>
  <si>
    <t>(3480/954)</t>
  </si>
  <si>
    <t>23452</t>
  </si>
  <si>
    <t>FortiGate: Interface [{#IFNAME}({#IFALIAS})]: High error rate (&gt;{$NET.IF.ERRORS.WARN:"{#IFKEY}"} for 5m)</t>
  </si>
  <si>
    <t>FortiGate: 接口 [{#IFNAME}({#IFALIAS})]: 错误率高(过去 5 分钟大于 {$NET.IF.ERRORS.WARN: "{#IFKEY}"})</t>
  </si>
  <si>
    <t>(3480/961)</t>
  </si>
  <si>
    <t>23458</t>
  </si>
  <si>
    <t>FortiGate: Service [{#NAME}]: License expires soon (less than {$SERVICE.EXPIRY.WARN:"{#KEY}"} days)</t>
  </si>
  <si>
    <t>FortiGate: 服务 [{#NAME}]: 许可证即将过期(少于 {$SERVICE.EXPIRY.WARN: "{#KEY}"} 天)</t>
  </si>
  <si>
    <t>(3480/962)</t>
  </si>
  <si>
    <t>23459</t>
  </si>
  <si>
    <t>FortiGate: Service [{#NAME}]: License status is {ITEM.LASTVALUE1}</t>
  </si>
  <si>
    <t>FortiGate: 服务[{#NAME}]: 许可证状态为{ITEM.LASTVALUE1}</t>
  </si>
  <si>
    <t>(3480/963)</t>
  </si>
  <si>
    <t>FortiGate: Interface {#IFNAME}({#IFALIAS}): High error rate (&gt;{$IF.ERRORS.WARN:"{#IFNAME}"} for 5m)</t>
  </si>
  <si>
    <t>FortiGate: 接口{#IFNAME}({#IFALIAS}): 错误率太高(&gt;{$IF.ERRORS.WARN: "{#IFNAME}"}达5分钟)</t>
  </si>
  <si>
    <t>(3480/964)</t>
  </si>
  <si>
    <t>FortiGate: Interface {#IFNAME}({#IFALIAS}): High bandwidth usage (&gt;{$IF.UTIL.MAX:"{#IFNAME}"}%)</t>
  </si>
  <si>
    <t>FortiGate: 接口{#IFNAME}({#IFALIAS}): 带宽使用率太高(&gt;{$IF.UTIL.MAX: "{#IFNAME}"}%)</t>
  </si>
  <si>
    <t>(3480/973)</t>
  </si>
  <si>
    <t>23671</t>
  </si>
  <si>
    <t>FortiGate: WTP {#WC.NAME}: High CPU utilization (over {$WC.CPU.UTIL.CRIT:"{#WC.NAME}"}% for 5m)</t>
  </si>
  <si>
    <t>FortiGate: WTP {#WC.NAME}: CPU利用率高了(超过{$WC.CPU.UTIL.CRIT: "{#WC.NAME}"}%达5分钟)</t>
  </si>
  <si>
    <t>(3480/974)</t>
  </si>
  <si>
    <t>23672</t>
  </si>
  <si>
    <t>FortiGate: WTP {#WC.NAME}: High memory utilization (&gt;{$WC.MEMORY.UTIL.MAX:"{#WC.NAME}"}% for 5m)</t>
  </si>
  <si>
    <t>FortiGate: WTP {#WC.NAME}: 内存利用率高了(超过{$WC.MEMORY.UTIL.MAX: "{#WC.NAME}"}%达5分钟)</t>
  </si>
  <si>
    <t>(3480/975)</t>
  </si>
  <si>
    <t>23673</t>
  </si>
  <si>
    <t>FortiGate: WTP {#WC.NAME}: Session has been restarted (uptime &lt; 10m)</t>
  </si>
  <si>
    <t>FortiGate: WTP {#WC.NAME}: 会话已重新启动(运行时间少于10分钟)</t>
  </si>
  <si>
    <t>(3480/976)</t>
  </si>
  <si>
    <t>FreeBSD by Zabbix agent</t>
  </si>
  <si>
    <t>17121</t>
  </si>
  <si>
    <t>FreeBSD: FS [{#FSNAME}]: Running out of free inodes (free &lt; {$VFS.FS.INODE.PFREE.MIN.WARN:"{#FSNAME}"}%)</t>
  </si>
  <si>
    <t>FreeBSD: FS [{#FSNAME}]: 索引节点不足(空闲 &lt; {$VFS.FS.INODE.PFREE.MIN.WARN: "{#FSNAME}"}%)</t>
  </si>
  <si>
    <t>(3480/977)</t>
  </si>
  <si>
    <t>23684</t>
  </si>
  <si>
    <t>FreeBSD: {#FSNAME}: Running out of free inodes (free &lt; {$VFS.FS.INODE.PFREE.MIN.CRIT:"{#FSNAME}"}%)</t>
  </si>
  <si>
    <t>FreeBSD: {#FSNAME}: 可用inode耗尽(可用&lt;{$VFS.FS.INODE.PFREE.MIN.CRIT: "{#FSNAME}"}%)</t>
  </si>
  <si>
    <t>(3480/978)</t>
  </si>
  <si>
    <t>17120</t>
  </si>
  <si>
    <t>FreeBSD: FS [{#FSNAME}]: Space is low (used &gt; {$VFS.FS.PUSED.MAX.WARN:"{#FSNAME}"}%, total {{?last(//vfs.fs.dependent.size[{#FSNAME},total])/1024/1024/1024}.fmtnum(1)}GB)</t>
  </si>
  <si>
    <t>FreeBSD: FS [{#FSNAME}]: 空间不足(已用 &gt; {$VFS.FS.PUSED.MAX.WARN: "{#FSNAME}"}%,总计 {{?last(//vfs.fs.dependent.size[{#FSNAME},total])/1024/1024/1024}.fmtnum(1)}GB)</t>
  </si>
  <si>
    <t>(3480/979)</t>
  </si>
  <si>
    <t>23685</t>
  </si>
  <si>
    <t>FreeBSD: FS [{#FSNAME}]: Space is critically low (used &gt; {$VFS.FS.PUSED.MAX.CRIT:"{#FSNAME}"}%, total {{?last(//vfs.fs.dependent.size[{#FSNAME},total])/1024/1024/1024}.fmtnum(1)}GB)</t>
  </si>
  <si>
    <t>FreeBSD: FS [{#FSNAME}]: 空间严重不足(已用 &gt; {$VFS.FS.PUSED.MAX.CRIT: "{#FSNAME}"}%,总计 {{?last(//vfs.fs.dependent.size[{#FSNAME},total])/1024/1024/1024}.fmtnum(1)}GB)</t>
  </si>
  <si>
    <t>(3480/984)</t>
  </si>
  <si>
    <t>22563</t>
  </si>
  <si>
    <t>Generic Java JMX: Memory pool: {#JMXNAME} memory usage more than {$JMX.MP.USAGE.MAX:"{#JMXNAME}"}% for {$JMX.MP.USAGE.TIME:"{#JMXNAME}"}</t>
  </si>
  <si>
    <t>Generic Java JMX: Memory pool: {#JMXNAME}内存使用率量超过{$JMX.MP.USAGE.MAX: "{#JMXNAME}"}%达{$JMX.MP.USAGE.TIME: "{#JMXNAME}"}</t>
  </si>
  <si>
    <t>(3480/987)</t>
  </si>
  <si>
    <t>23759</t>
  </si>
  <si>
    <t>(3480/988)</t>
  </si>
  <si>
    <t>23760</t>
  </si>
  <si>
    <t>(3480/989)</t>
  </si>
  <si>
    <t>(3480/990)</t>
  </si>
  <si>
    <t>(3480/991)</t>
  </si>
  <si>
    <t>(3480/992)</t>
  </si>
  <si>
    <t>(3480/997)</t>
  </si>
  <si>
    <t>GridGain: Cache group [{#JMXNAME}]: Version has changed (new version: {ITEM.VALUE})</t>
  </si>
  <si>
    <t>GridGain: 缓存组[{#JMXNAME}]: 版本已变更(新版本: {ITEM.VALUE})</t>
  </si>
  <si>
    <t>(3480/998)</t>
  </si>
  <si>
    <t>GridGain: Data region {#JMXNAME}: Checkpoint buffer utilization is too high (over {$GRIDGAIN.CHECKPOINT.PUSED.MAX.HIGH} in 5m)</t>
  </si>
  <si>
    <t>GridGain: 数据区域{#JMXNAME}: 检查点缓冲区利用率太高(5分钟内超过{$GRIDGAIN.CHECKPOINT.PUSED.MAX.HIGH})</t>
  </si>
  <si>
    <t>(3480/999)</t>
  </si>
  <si>
    <t>GridGain: Data region {#JMXNAME}: Checkpoint buffer utilization is too high (over {$GRIDGAIN.CHECKPOINT.PUSED.MAX.WARN} in 5m)</t>
  </si>
  <si>
    <t>GridGain: 数据区域{#JMXNAME}: 检查点缓冲区利用率太高(5分钟内超过{$GRIDGAIN.CHECKPOINT.PUSED.MAX.WARN})</t>
  </si>
  <si>
    <t>(3480/1000)</t>
  </si>
  <si>
    <t>GridGain: GridGain [{#JMXIGNITEINSTANCENAME}]: Version has changed (new version: {ITEM.VALUE})</t>
  </si>
  <si>
    <t>GridGain: GridGain[{#JMXIGNITEINSTANCENAME}]: 版本已变更(新版本: {ITEM.VALUE})</t>
  </si>
  <si>
    <t>(3480/1001)</t>
  </si>
  <si>
    <t>GridGain: GridGain [{#JMXIGNITEINSTANCENAME}]: PME duration is too long (over {$GRIDGAIN.PME.DURATION.MAX.HIGH} for 5 min)</t>
  </si>
  <si>
    <t>GridGain: GridGain[{#JMXIGNITEINSTANCENAME}]: PME持续时间太长(超过{$GRIDGAIN.PME.DURATION.MAX.HIGH}5分钟)</t>
  </si>
  <si>
    <t>(3480/1002)</t>
  </si>
  <si>
    <t>GridGain: GridGain [{#JMXIGNITEINSTANCENAME}]: PME duration is too long (over {$GRIDGAIN.PME.DURATION.MAX.WARN} for 5 min)</t>
  </si>
  <si>
    <t>GridGain: GridGain[{#JMXIGNITEINSTANCENAME}]: PME持续时间太长(超过{$GRIDGAIN.PME.DURATION.MAX.WARN}5分钟)</t>
  </si>
  <si>
    <t>(3480/1003)</t>
  </si>
  <si>
    <t>GridGain: GridGain [{#JMXIGNITEINSTANCENAME}]: Number of running threads is too high (over {$GRIDGAIN.THREADS.COUNT.MAX.WARN} for 15 min)</t>
  </si>
  <si>
    <t>GridGain: GridGain[{#JMXIGNITEINSTANCENAME}]: 正在运行的线程数太高(超过{$GRIDGAIN.THREADS.COUNT.MAX.WARN}15分钟)</t>
  </si>
  <si>
    <t>(3480/1004)</t>
  </si>
  <si>
    <t>GridGain: GridGain [{#JMXIGNITEINSTANCENAME}]: Number of queued jobs is too high (over {$GRIDGAIN.JOBS.QUEUE.MAX.WARN} for 15 min)</t>
  </si>
  <si>
    <t>GridGain: GridGain[{#JMXIGNITEINSTANCENAME}]: 排队任务的数量太高(超过{$GRIDGAIN.JOBS.QUEUE.MAX.WARN}15分钟)</t>
  </si>
  <si>
    <t>(3480/1006)</t>
  </si>
  <si>
    <t>(3480/1009)</t>
  </si>
  <si>
    <t>GridGain: Data region {#JMXNAME}: Data region utilization is too high (over {$GRIDGAIN.DATA.REGION.PUSED.MAX.HIGH} in 5m)</t>
  </si>
  <si>
    <t>GridGain: 数据区域{#JMXNAME}: 数据区域利用率太高(5分钟内超过{$GRIDGAIN.DATA.REGION.PUSED.MAX.HIGH})</t>
  </si>
  <si>
    <t>(3480/1010)</t>
  </si>
  <si>
    <t>GridGain: Data region {#JMXNAME}: Data region utilization is too high (over {$GRIDGAIN.DATA.REGION.PUSED.MAX.WARN} in 5m)</t>
  </si>
  <si>
    <t>GridGain: 数据区域{#JMXNAME}: 数据区域利用率太高(5分钟内超过{$GRIDGAIN.DATA.REGION.PUSED.MAX.WARN})</t>
  </si>
  <si>
    <t>(3480/1012)</t>
  </si>
  <si>
    <t>GridGain: Thread pool [{#JMXNAME}]: Too many messages in queue (over {$GRIDGAIN.THREAD.QUEUE.MAX.WARN:"{#JMXNAME}"} for 5 min)</t>
  </si>
  <si>
    <t>GridGain: 线程池[{#JMXNAME}]: 队列中的消息过多(超过{$GRIDGAIN.THREAD.QUEUE.MAX.WARN: "{#JMXNAME}"}5分钟)</t>
  </si>
  <si>
    <t>(3480/1016)</t>
  </si>
  <si>
    <t>GridGain: GridGain [{#JMXIGNITEINSTANCENAME}]: Instance has been restarted (uptime &lt; 10m)</t>
  </si>
  <si>
    <t>GridGain: GridGain [{#JMXIGNITEINSTANCENAME}]：实例已重启（运行时间 &lt; 10分钟）</t>
  </si>
  <si>
    <t>(3480/1017)</t>
  </si>
  <si>
    <t>GridGain: GridGain [{#JMXIGNITEINSTANCENAME}]: Failed to fetch info data (or no data for 10m)</t>
  </si>
  <si>
    <t>GridGain: GridGain[{#JMXIGNITEINSTANCENAME}]: 获取信息数据失败(或10分钟无数据)</t>
  </si>
  <si>
    <t>(3480/1018)</t>
  </si>
  <si>
    <t>HAProxy: backend {#PXNAME}: Number of responses with error is more than {$HAPROXY.BACK_ERESP.MAX.WARN} for 5m</t>
  </si>
  <si>
    <t>HAProxy: 后端{#PXNAME}: 错误响应数超过{$.BACK_ERESP.MAX.WARN}达5分钟</t>
  </si>
  <si>
    <t>(3480/1019)</t>
  </si>
  <si>
    <t>HAProxy: backend {#PXNAME}: Current number of requests unassigned in queue is more than {$HAPROXY.BACK_QCUR.MAX.WARN} for 5m</t>
  </si>
  <si>
    <t>HAProxy: 后端{#PXNAME}: 队列中当前未分配的请求数超过{$.BACK_QCUR.MAX.WARN}达5分钟</t>
  </si>
  <si>
    <t>(3480/1020)</t>
  </si>
  <si>
    <t>HAProxy: backend {#PXNAME}: Average time spent in queue is more than {$HAPROXY.BACK_QTIME.MAX.WARN} for 5m</t>
  </si>
  <si>
    <t>HAProxy: 后端{#PXNAME}: 队列中花费的平均时间超过{$.BACK_QTIME.MAX.WARN}达5分钟</t>
  </si>
  <si>
    <t>(3480/1021)</t>
  </si>
  <si>
    <t>HAProxy: backend {#PXNAME}: Average response time is more than {$HAPROXY.BACK_RTIME.MAX.WARN} for 5m</t>
  </si>
  <si>
    <t>HAProxy: 后端{#PXNAME}: 平均响应时间超过{$.BACK_RTIME.MAX.WARN}达5分钟</t>
  </si>
  <si>
    <t>(3480/1023)</t>
  </si>
  <si>
    <t>HAProxy: frontend {#PXNAME}: Number of requests denied is more than {$HAPROXY.FRONT_DREQ.MAX.WARN} for 5m</t>
  </si>
  <si>
    <t>HAProxy: 前端{#PXNAME}: 被拒绝的请求数超过{$.FRONT_DREQ.MAX.WARN}达5分钟</t>
  </si>
  <si>
    <t>(3480/1024)</t>
  </si>
  <si>
    <t>HAProxy: frontend {#PXNAME}: Number of request errors is more than {$HAPROXY.FRONT_EREQ.MAX.WARN} for 5m</t>
  </si>
  <si>
    <t>HAProxy: 前端{#PXNAME}: 请求错误数超过{$.FRONT_EREQ.MAX.WARN}达5分钟</t>
  </si>
  <si>
    <t>(3480/1025)</t>
  </si>
  <si>
    <t>HAProxy: frontend {#PXNAME}: Session utilization is more than {$HAPROXY.FRONT_SUTIL.MAX.WARN}% for 5m</t>
  </si>
  <si>
    <t>HAProxy: 前端{#PXNAME}: 会话利用率超过{$.FRONT_SUTIL.MAX.WARN}%达5分钟</t>
  </si>
  <si>
    <t>(3480/1027)</t>
  </si>
  <si>
    <t>HAProxy: {#PXNAME} {#SVNAME}: Number of responses with error is more than {$HAPROXY.SERVER_ERESP.MAX.WARN} for 5m</t>
  </si>
  <si>
    <t>HAProxy: {#PXNAME} {#SVNAME}: 错误响应数超过{$.SERVER_ERESP.MAX.WARN}达5分钟</t>
  </si>
  <si>
    <t>(3480/1028)</t>
  </si>
  <si>
    <t>HAProxy: {#PXNAME} {#SVNAME}: Current number of requests unassigned in queue is more than {$HAPROXY.SERVER_QCUR.MAX.WARN} for 5m</t>
  </si>
  <si>
    <t>HAProxy: {#PXNAME} {#SVNAME}: 队列中未分配的当前请求数超过{$.SERVER_QCUR.MAX.WARN}达5分钟</t>
  </si>
  <si>
    <t>(3480/1029)</t>
  </si>
  <si>
    <t>HAProxy: {#PXNAME} {#SVNAME}: Average time spent in queue is more than {$HAPROXY.SERVER_QTIME.MAX.WARN} for 5m</t>
  </si>
  <si>
    <t>HAProxy: {#PXNAME} {#SVNAME}: 队列中花费的平均时间超过{$.SERVER_QTIME.MAX.WARN}达5分钟</t>
  </si>
  <si>
    <t>(3480/1030)</t>
  </si>
  <si>
    <t>HAProxy: {#PXNAME} {#SVNAME}: Average response time is more than {$HAPROXY.SERVER_RTIME.MAX.WARN} for 5m</t>
  </si>
  <si>
    <t>HAProxy: {#PXNAME} {#SVNAME}: 平均响应时间超过{$.SERVER_RTIME.MAX.WARN}达5分钟</t>
  </si>
  <si>
    <t>(3480/1032)</t>
  </si>
  <si>
    <t>(3480/1033)</t>
  </si>
  <si>
    <t>(3480/1034)</t>
  </si>
  <si>
    <t>(3480/1035)</t>
  </si>
  <si>
    <t>(3480/1037)</t>
  </si>
  <si>
    <t>(3480/1038)</t>
  </si>
  <si>
    <t>(3480/1039)</t>
  </si>
  <si>
    <t>(3480/1041)</t>
  </si>
  <si>
    <t>(3480/1042)</t>
  </si>
  <si>
    <t>(3480/1043)</t>
  </si>
  <si>
    <t>(3480/1044)</t>
  </si>
  <si>
    <t>(3480/1047)</t>
  </si>
  <si>
    <t>HP Comware HH3C: Interface {#IFNAME}({#IFALIAS}): High error rate (&gt;{$IF.ERRORS.WARN:"{#IFNAME}"} for 5m)</t>
  </si>
  <si>
    <t>HP Comware HH3C: 接口{#IFNAME}({#IFALIAS}): 错误率太高(&gt;{$IF.ERRORS.WARN: "{#IFNAME}"}达5分钟)</t>
  </si>
  <si>
    <t>(3480/1048)</t>
  </si>
  <si>
    <t>HP Comware HH3C: Interface {#IFNAME}({#IFALIAS}): High bandwidth usage (&gt;{$IF.UTIL.MAX:"{#IFNAME}"}%)</t>
  </si>
  <si>
    <t>HP Comware HH3C: 接口{#IFNAME}({#IFALIAS}): 带宽使用率太高(&gt;{$IF.UTIL.MAX: "{#IFNAME}"}%)</t>
  </si>
  <si>
    <t>(3480/1053)</t>
  </si>
  <si>
    <t>HP Comware HH3C: {#SNMPVALUE}: Temperature is above critical threshold: &gt;{$TEMP_CRIT:"{#SNMPVALUE}"}</t>
  </si>
  <si>
    <t>HP Comware HH3C: {#SNMPVALUE}: 温度高于临界阈值: &gt;{$TEMP_CRIT: "{#SNMPVALUE}"}</t>
  </si>
  <si>
    <t>(3480/1054)</t>
  </si>
  <si>
    <t>HP Comware HH3C: {#SNMPVALUE}: Temperature is above warning threshold: &gt;{$TEMP_WARN:"{#SNMPVALUE}"}</t>
  </si>
  <si>
    <t>HP Comware HH3C: {#SNMPVALUE}: 温度高于告警阈值: &gt;{$TEMP_WARN: "{#SNMPVALUE}"}</t>
  </si>
  <si>
    <t>(3480/1055)</t>
  </si>
  <si>
    <t>HP Comware HH3C: {#SNMPVALUE}: Temperature is too low: &lt;{$TEMP_CRIT_LOW:"{#SNMPVALUE}"}</t>
  </si>
  <si>
    <t>HP Comware HH3C: {#SNMPVALUE}: 温度太低: &lt;{$TEMP_CRIT_LOW: "{#SNMPVALUE}"}</t>
  </si>
  <si>
    <t>(3480/1056)</t>
  </si>
  <si>
    <t>HP Comware HH3C: {#MODULE_NAME}: High CPU utilization (over {$CPU.UTIL.CRIT}% for 5m)</t>
  </si>
  <si>
    <t>HP Comware HH3C: {#MODULE_NAME}: CPU使用率高了(超过{$CPU.UTIL.CRIT}%达5分钟)</t>
  </si>
  <si>
    <t>(3480/1058)</t>
  </si>
  <si>
    <t>HP Comware HH3C: {#ENT_NAME}: Device has been replaced (new serial number received)</t>
  </si>
  <si>
    <t>HP Comware HH3C: {#ENT_NAME}: 设备已更换(收到新序列号)</t>
  </si>
  <si>
    <t>(3480/1060)</t>
  </si>
  <si>
    <t>HP Comware HH3C: {#MODULE_NAME}: High memory utilization (&gt;{$MEMORY.UTIL.MAX}% for 5m)</t>
  </si>
  <si>
    <t>HP Comware HH3C: {#MODULE_NAME}: 内存利用率高了(&gt;{$MEMORY.UTIL.MAX}%达5分钟)</t>
  </si>
  <si>
    <t>(3480/1062)</t>
  </si>
  <si>
    <t>HP Enterprise Switch: Interface {#IFNAME}({#IFALIAS}): High error rate (&gt;{$IF.ERRORS.WARN:"{#IFNAME}"} for 5m)</t>
  </si>
  <si>
    <t>HP Enterprise Switch: 接口{#IFNAME}({#IFALIAS}): 错误率太高(&gt;{$IF.ERRORS.WARN: "{#IFNAME}"}达5分钟)</t>
  </si>
  <si>
    <t>(3480/1063)</t>
  </si>
  <si>
    <t>HP Enterprise Switch: Interface {#IFNAME}({#IFALIAS}): High bandwidth usage (&gt;{$IF.UTIL.MAX:"{#IFNAME}"}%)</t>
  </si>
  <si>
    <t>HP Enterprise Switch: 接口{#IFNAME}({#IFALIAS}): 带宽使用率太高(&gt;{$IF.UTIL.MAX: "{#IFNAME}"}%)</t>
  </si>
  <si>
    <t>(3480/1070)</t>
  </si>
  <si>
    <t>HP Enterprise Switch: {#SENSOR_INFO}: Temperature is above critical threshold: &gt;{$TEMP_CRIT:"{#SENSOR_INFO}"}</t>
  </si>
  <si>
    <t>HP Enterprise Switch: {#SENSOR_INFO}: 温度高于临界阈值: &gt;{$TEMP_CRIT: "{#SENSOR_INFO}"}</t>
  </si>
  <si>
    <t>(3480/1071)</t>
  </si>
  <si>
    <t>HP Enterprise Switch: {#SENSOR_INFO}: Temperature is above warning threshold: &gt;{$TEMP_WARN:"{#SENSOR_INFO}"}</t>
  </si>
  <si>
    <t>HP Enterprise Switch: {#SENSOR_INFO}: 温度高于告警阈值: &gt;{$TEMP_WARN: "{#SENSOR_INFO}"}</t>
  </si>
  <si>
    <t>(3480/1072)</t>
  </si>
  <si>
    <t>HP Enterprise Switch: {#SENSOR_INFO}: Temperature is too low: &lt;{$TEMP_CRIT_LOW:"{#SENSOR_INFO}"}</t>
  </si>
  <si>
    <t>HP Enterprise Switch: {#SENSOR_INFO}: 温度太低: &lt;{$TEMP_CRIT_LOW: "{#SENSOR_INFO}"}</t>
  </si>
  <si>
    <t>(3480/1073)</t>
  </si>
  <si>
    <t>HP Enterprise Switch: #{#SNMPVALUE}: High memory utilization (&gt;{$MEMORY.UTIL.MAX}% for 5m)</t>
  </si>
  <si>
    <t>HP Enterprise Switch: #{#SNMPVALUE}: 内存利用率高了(&gt;{$MEMORY.UTIL.MAX}%达5分钟)</t>
  </si>
  <si>
    <t>(3480/1106)</t>
  </si>
  <si>
    <t>HP iLO: {#DISK_LOCATION}: Disk has been replaced (new serial number received)</t>
  </si>
  <si>
    <t>HP iLO: {#DISK_LOCATION}: 磁盘已更换(收到新序列号)</t>
  </si>
  <si>
    <t>(3480/1112)</t>
  </si>
  <si>
    <t>HP-UX by Zabbix agent</t>
  </si>
  <si>
    <t>17124</t>
  </si>
  <si>
    <t>HP-UX: FS [{#FSNAME}]: Running out of free inodes (free &lt; {$VFS.FS.INODE.PFREE.MIN.WARN:"{#FSNAME}"}%)</t>
  </si>
  <si>
    <t>HP-UX: FS [{#FSNAME}]: 索引节点不足(空闲 &lt; {$VFS.FS.INODE.PFREE.MIN.WARN: "{#FSNAME}"}%)</t>
  </si>
  <si>
    <t>(3480/1113)</t>
  </si>
  <si>
    <t>23686</t>
  </si>
  <si>
    <t>HP-UX: {#FSNAME}: Running out of free inodes (free &lt; {$VFS.FS.INODE.PFREE.MIN.CRIT:"{#FSNAME}"}%)</t>
  </si>
  <si>
    <t>HP-UX: {#FSNAME}: 可用inode耗尽(可用&lt;{$VFS.FS.INODE.PFREE.MIN.CRIT: "{#FSNAME}"}%)</t>
  </si>
  <si>
    <t>(3480/1114)</t>
  </si>
  <si>
    <t>17123</t>
  </si>
  <si>
    <t>HP-UX: FS [{#FSNAME}]: Space is low (used &gt; {$VFS.FS.PUSED.MAX.WARN:"{#FSNAME}"}%, total {{?last(//vfs.fs.dependent.size[{#FSNAME},total])/1024/1024/1024}.fmtnum(1)}GB)</t>
  </si>
  <si>
    <t>HP-UX: FS [{#FSNAME}]: 空间不足(已用 &gt; {$VFS.FS.PUSED.MAX.WARN: "{#FSNAME}"}%,总计 {{?last(//vfs.fs.dependent.size[{#FSNAME},total])/1024/1024/1024}.fmtnum(1)}GB)</t>
  </si>
  <si>
    <t>(3480/1115)</t>
  </si>
  <si>
    <t>23687</t>
  </si>
  <si>
    <t>HP-UX: FS [{#FSNAME}]: Space is critically low (used &gt; {$VFS.FS.PUSED.MAX.CRIT:"{#FSNAME}"}%, total {{?last(//vfs.fs.dependent.size[{#FSNAME},total])/1024/1024/1024}.fmtnum(1)}GB)</t>
  </si>
  <si>
    <t>HP-UX: FS [{#FSNAME}]: 空间严重不足(已用 &gt; {$VFS.FS.PUSED.MAX.CRIT: "{#FSNAME}"}%,总计 {{?last(//vfs.fs.dependent.size[{#FSNAME},total])/1024/1024/1024}.fmtnum(1)}GB)</t>
  </si>
  <si>
    <t>(3480/1117)</t>
  </si>
  <si>
    <t>22682</t>
  </si>
  <si>
    <t>HPE MSA 2040 Storage: Controller [{#CONTROLLER.ID}]: High CPU utilization (over {$HPE.MSA.CONTROLLER.CPU.UTIL.CRIT}% for 5m)</t>
  </si>
  <si>
    <t>HPE MSA 2040 Storage: 控制器[{#CONTROLLER.ID}]: CPU使用率高了(超过{$HPE.MSA.CONTROLLER.CPU.UTIL.CRIT}%达5分钟)</t>
  </si>
  <si>
    <t>(3480/1122)</t>
  </si>
  <si>
    <t>22687</t>
  </si>
  <si>
    <t>HPE MSA 2040 Storage: Controller [{#CONTROLLER.ID}]: Controller has been restarted (uptime &lt; 10m)</t>
  </si>
  <si>
    <t>HPE MSA 2040 Storage: 控制器[{#CONTROLLER.ID}]: 控制器已重启(正常运行时间&lt;10分钟)</t>
  </si>
  <si>
    <t>(3480/1123)</t>
  </si>
  <si>
    <t>22694</t>
  </si>
  <si>
    <t>HPE MSA 2040 Storage: Disk group [{#NAME}]: Disk group space is critically low (used &gt; {$HPE.MSA.DISKS.GROUP.PUSED.MAX.CRIT:"{#NAME}"}%)</t>
  </si>
  <si>
    <t>HPE MSA 2040 Storage: 磁盘组[{#NAME}]: 磁盘组空间严重不足(已使用率&gt;{$HPE.MSA.DISKS.GROUP.PUSED.MAX.CRIT: "{#NAME}"}%)</t>
  </si>
  <si>
    <t>(3480/1124)</t>
  </si>
  <si>
    <t>HPE MSA 2040 Storage: Disk group [{#NAME}]: Disk group space is low (used &gt; {$HPE.MSA.DISKS.GROUP.PUSED.MAX.WARN:"{#NAME}"}%)</t>
  </si>
  <si>
    <t>HPE MSA 2040 Storage: 磁盘组[{#NAME}]: 磁盘组空间不足(已使用率&gt;{$HPE.MSA.DISKS.GROUP.PUSED.MAX.WARN: "{#NAME}"}%)</t>
  </si>
  <si>
    <t>(3480/1160)</t>
  </si>
  <si>
    <t>22725</t>
  </si>
  <si>
    <t>HPE MSA 2040 Storage: Pool [{#NAME}]: Pool space is critically low (used &gt; {$HPE.MSA.POOL.PUSED.MAX.CRIT:"{#NAME}"}%)</t>
  </si>
  <si>
    <t>HPE MSA 2040 Storage: 池[{#NAME}]: 池空间严重不足(已使用率&gt;{$HPE.MSA.POOL.PUSED.MAX.CRIT: "{#NAME}"}%)</t>
  </si>
  <si>
    <t>(3480/1161)</t>
  </si>
  <si>
    <t>22726</t>
  </si>
  <si>
    <t>HPE MSA 2040 Storage: Pool [{#NAME}]: Pool space is low (used &gt; {$HPE.MSA.POOL.PUSED.MAX.WARN:"{#NAME}"}%)</t>
  </si>
  <si>
    <t>HPE MSA 2040 Storage: 池[{#NAME}]: 池空间不足(已使用率&gt;{$HPE.MSA.POOL.PUSED.MAX.WARN: "{#NAME}"}%)</t>
  </si>
  <si>
    <t>(3480/1180)</t>
  </si>
  <si>
    <t>22747</t>
  </si>
  <si>
    <t>HPE MSA 2060 Storage: Controller [{#CONTROLLER.ID}]: High CPU utilization (over {$HPE.MSA.CONTROLLER.CPU.UTIL.CRIT}% for 5m)</t>
  </si>
  <si>
    <t>HPE MSA 2060 Storage: 控制器[{#CONTROLLER.ID}]: CPU使用率高了(超过{$HPE.MSA.CONTROLLER.CPU.UTIL.CRIT}%达5分钟)</t>
  </si>
  <si>
    <t>(3480/1185)</t>
  </si>
  <si>
    <t>22752</t>
  </si>
  <si>
    <t>HPE MSA 2060 Storage: Controller [{#CONTROLLER.ID}]: Controller has been restarted (uptime &lt; 10m)</t>
  </si>
  <si>
    <t>HPE MSA 2060 Storage: 控制器[{#CONTROLLER.ID}]: 控制器已重启(正常运行时间&lt;10分钟)</t>
  </si>
  <si>
    <t>(3480/1186)</t>
  </si>
  <si>
    <t>22759</t>
  </si>
  <si>
    <t>HPE MSA 2060 Storage: Disk group [{#NAME}]: Disk group space is critically low (used &gt; {$HPE.MSA.DISKS.GROUP.PUSED.MAX.CRIT:"{#NAME}"}%)</t>
  </si>
  <si>
    <t>HPE MSA 2060 Storage: 磁盘组[{#NAME}]: 磁盘组空间严重不足(已使用率&gt;{$HPE.MSA.DISKS.GROUP.PUSED.MAX.CRIT: "{#NAME}"}%)</t>
  </si>
  <si>
    <t>(3480/1187)</t>
  </si>
  <si>
    <t>HPE MSA 2060 Storage: Disk group [{#NAME}]: Disk group space is low (used &gt; {$HPE.MSA.DISKS.GROUP.PUSED.MAX.WARN:"{#NAME}"}%)</t>
  </si>
  <si>
    <t>HPE MSA 2060 Storage: 磁盘组[{#NAME}]: 磁盘组空间不足(已使用率&gt;{$HPE.MSA.DISKS.GROUP.PUSED.MAX.WARN: "{#NAME}"}%)</t>
  </si>
  <si>
    <t>(3480/1223)</t>
  </si>
  <si>
    <t>22790</t>
  </si>
  <si>
    <t>HPE MSA 2060 Storage: Pool [{#NAME}]: Pool space is critically low (used &gt; {$HPE.MSA.POOL.PUSED.MAX.CRIT:"{#NAME}"}%)</t>
  </si>
  <si>
    <t>HPE MSA 2060 Storage: 池[{#NAME}]: 池空间严重不足(已使用率&gt;{$HPE.MSA.POOL.PUSED.MAX.CRIT: "{#NAME}"}%)</t>
  </si>
  <si>
    <t>(3480/1224)</t>
  </si>
  <si>
    <t>22791</t>
  </si>
  <si>
    <t>HPE MSA 2060 Storage: Pool [{#NAME}]: Pool space is low (used &gt; {$HPE.MSA.POOL.PUSED.MAX.WARN:"{#NAME}"}%)</t>
  </si>
  <si>
    <t>HPE MSA 2060 Storage: 池[{#NAME}]: 池空间不足(已使用率&gt;{$HPE.MSA.POOL.PUSED.MAX.WARN: "{#NAME}"}%)</t>
  </si>
  <si>
    <t>(3480/1266)</t>
  </si>
  <si>
    <t>HPE ProLiant BL460: {#DISK_LOCATION}: Disk has been replaced (new serial number received)</t>
  </si>
  <si>
    <t>HPE ProLiant BL460: {#DISK_LOCATION}: 磁盘已更换(收到新序列号)</t>
  </si>
  <si>
    <t>(3480/1306)</t>
  </si>
  <si>
    <t>HPE ProLiant BL920: {#DISK_LOCATION}: Disk has been replaced (new serial number received)</t>
  </si>
  <si>
    <t>HPE ProLiant BL920: {#DISK_LOCATION}: 磁盘已更换(收到新序列号)</t>
  </si>
  <si>
    <t>(3480/1346)</t>
  </si>
  <si>
    <t>HPE ProLiant DL360: {#DISK_LOCATION}: Disk has been replaced (new serial number received)</t>
  </si>
  <si>
    <t>HPE ProLiant DL360: {#DISK_LOCATION}: 磁盘已更换(收到新序列号)</t>
  </si>
  <si>
    <t>(3480/1386)</t>
  </si>
  <si>
    <t>HPE ProLiant DL380: {#DISK_LOCATION}: Disk has been replaced (new serial number received)</t>
  </si>
  <si>
    <t>HPE ProLiant DL380: {#DISK_LOCATION}: 磁盘已更换(收到新序列号)</t>
  </si>
  <si>
    <t>(3480/1526)</t>
  </si>
  <si>
    <t>23483</t>
  </si>
  <si>
    <t>(3480/1538)</t>
  </si>
  <si>
    <t>23495</t>
  </si>
  <si>
    <t>(3480/1551)</t>
  </si>
  <si>
    <t>Hadoop: {#HOSTNAME}: Service has been restarted (uptime &lt; 10m)</t>
  </si>
  <si>
    <t>Hadoop: {#HOSTNAME}: 服务已重启(正常运行时间&lt;10分钟)</t>
  </si>
  <si>
    <t>(3480/1552)</t>
  </si>
  <si>
    <t>Hadoop: {#HOSTNAME}: Failed to fetch DataNode API page (or no data for 30m)</t>
  </si>
  <si>
    <t>Hadoop: {#HOSTNAME}: 无法获取数据节点API页面(或30分钟内无数据)</t>
  </si>
  <si>
    <t>(3480/1554)</t>
  </si>
  <si>
    <t>(3480/1555)</t>
  </si>
  <si>
    <t>Hadoop: {#HOSTNAME}: Failed to fetch NodeManager API page (or no data for 30m)</t>
  </si>
  <si>
    <t>Hadoop: {#HOSTNAME}: 无法获取NodeManagerAPI页面(或30分钟内无数据)</t>
  </si>
  <si>
    <t>(3480/1556)</t>
  </si>
  <si>
    <t>22674</t>
  </si>
  <si>
    <t>HashiCorp Consul Cluster: Service ["{#SERVICE_NAME}"]: Too many nodes with service status 'critical' (over {$CONSUL.SERVICE_NODES.CRITICAL.MAX.AVG:"{#SERVICE_NAME}"})</t>
  </si>
  <si>
    <t>HashiCorp Consul集群：服务["{#SERVICE_NAME}"]：处于'critical'状态节点过多（超过{$CONSUL.SERVICE_NODES.CRITICAL.MAX.AVG:"{#SERVICE_NAME}"}）</t>
  </si>
  <si>
    <t>(3480/1557)</t>
  </si>
  <si>
    <t>HashiCorp Consul Node: Node's health score is over {$CONSUL.NODE.HEALTH_SCORE.MAX.HIGH}</t>
  </si>
  <si>
    <t>HashiCorp Consul Node: 节点的健康分数超过{$CONSUL.NODE.HEALTH_SCORE.MAX.HIGH}</t>
  </si>
  <si>
    <t>(3480/1559)</t>
  </si>
  <si>
    <t>23387</t>
  </si>
  <si>
    <t>HashiCorp Nomad Client: Running out of free inodes on [{#DEV.NAME}]  (free &lt; {$NOMAD.INODES.FREE.MIN.CRIT:"{#DEV.NAME}"}%)</t>
  </si>
  <si>
    <t>HashiCorp Nomad Client: Running out of free inodes on [{#DEV.NAME}]  (free &lt; {$NOMAD.INODES.FREE.MIN.CRIT: {#DEV.NAME}"}%)</t>
  </si>
  <si>
    <t>(3480/1560)</t>
  </si>
  <si>
    <t>23388</t>
  </si>
  <si>
    <t>HashiCorp Nomad Client: Running out of free inodes on [{#DEV.NAME}]  (free &lt; {$NOMAD.INODES.FREE.MIN.WARN:"{#DEV.NAME}"}%)</t>
  </si>
  <si>
    <t>HashiCorp Nomad Client: Running out of free inodes on [{#DEV.NAME}]  (free &lt; {$NOMAD.INODES.FREE.MIN.WARN: {#DEV.NAME}"}%)</t>
  </si>
  <si>
    <t>(3480/1561)</t>
  </si>
  <si>
    <t>23389</t>
  </si>
  <si>
    <t>HashiCorp Nomad Client: Disk [{#DEV.NAME}] space low (utilization: &gt;= {$NOMAD.DISK.UTIL.MIN.CRIT:"{#DEV.NAME}"}%)</t>
  </si>
  <si>
    <t>HashiCorp Nomad Client: Disk [{#DEV.NAME}] space low (utilization: &gt;= {$NOMAD.DISK.UTIL.MIN.CRIT: "{#DEV.NAME}"}%)</t>
  </si>
  <si>
    <t>(3480/1562)</t>
  </si>
  <si>
    <t>23390</t>
  </si>
  <si>
    <t>HashiCorp Nomad Client: Disk [{#DEV.NAME}] space low (utilization: &gt;= {$NOMAD.DISK.UTIL.MIN.WARN:"{#DEV.NAME}"}%)</t>
  </si>
  <si>
    <t>HashiCorp Nomad Client: Disk [{#DEV.NAME}] space low (utilization: &gt;= {$NOMAD.DISK.UTIL.MIN.WARN: "{#DEV.NAME}"}%)</t>
  </si>
  <si>
    <t>(3480/1566)</t>
  </si>
  <si>
    <t>HashiCorp Vault: Token [{#TOKEN_NAME}] will expire soon (less than {$VAULT.TOKEN.TTL.MIN.CRIT})</t>
  </si>
  <si>
    <t>HashiCorp Vault: Token[{#TOKEN_NAME}]即将过期(小于{$VAULT.TOKEN.TTL.MIN.CRIT})</t>
  </si>
  <si>
    <t>(3480/1567)</t>
  </si>
  <si>
    <t>HashiCorp Vault: Token [{#TOKEN_NAME}] will expire soon (less than {$VAULT.TOKEN.TTL.MIN.WARN})</t>
  </si>
  <si>
    <t>HashiCorp Vault: Token[{#TOKEN_NAME}]即将过期(小于{$VAULT.TOKEN.TTL.MIN.WARN})</t>
  </si>
  <si>
    <t>(3480/1575)</t>
  </si>
  <si>
    <t>Huawei OceanStor 5300 V5: Controller {#ID}: High CPU utilization (over {$CPU.UTIL.CRIT}% for 5m)</t>
  </si>
  <si>
    <t>Huawei OceanStor 5300 V5: 控制器{#ID}: CPU使用率高了(超过{$CPU.UTIL.CRIT}%达5分钟)</t>
  </si>
  <si>
    <t>(3480/1577)</t>
  </si>
  <si>
    <t>Huawei OceanStor 5300 V5: Controller {#ID}: Memory usage is too high (over {$HUAWEI.5300.MEM.MAX.WARN} for {$HUAWEI.5300.MEM.MAX.TIME})</t>
  </si>
  <si>
    <t>Huawei OceanStor 5300 V5: 控制器{#ID}: 内存使用率太高了(超过{$HUAWEI.5300.MEM.MAX.WARN}达{$HUAWEI.5300.MEM.MAX.TIME})</t>
  </si>
  <si>
    <t>(3480/1582)</t>
  </si>
  <si>
    <t>Huawei OceanStor 5300 V5: Disk {#MODEL} on {#LOCATION}: Temperature is too high (over {$HUAWEI.5300.DISK.TEMP.MAX.WARN:"{#MODEL}"} for {$HUAWEI.5300.DISK.TEMP.MAX.TIME})</t>
  </si>
  <si>
    <t>Huawei OceanStor 5300 V5: {#LOCATION}上的磁盘{#MODEL}: 温度太高(超过{$HUAWEI.5300.DISK.TEMP.MAX.WARN: "{#MODEL}"}达{$HUAWEI.5300.DISK.TEMP.MAX.TIME})</t>
  </si>
  <si>
    <t>(3480/1585)</t>
  </si>
  <si>
    <t>Huawei OceanStor 5300 V5: Enclosure {#NAME}: Temperature is too high (over {$HUAWEI.5300.TEMP.MAX.WARN} for {$HUAWEI.5300.TEMP.MAX.TIME})</t>
  </si>
  <si>
    <t>Huawei OceanStor 5300 V5: 机柜{#NAME}: 温度太高(超过{$HUAWEI.5300.TEMP.MAX.WARN}达{$HUAWEI.5300.TEMP.MAX.TIME})</t>
  </si>
  <si>
    <t>(3480/1588)</t>
  </si>
  <si>
    <t>Huawei OceanStor 5300 V5: Pool {#NAME}: Used capacity is too high (over {#THRESHOLD}%)</t>
  </si>
  <si>
    <t>Huawei OceanStor 5300 V5: 池{#NAME}: 已用容量太高(超过{#THRESHOLD}%)</t>
  </si>
  <si>
    <t>(3480/1591)</t>
  </si>
  <si>
    <t>Huawei OceanStor 5300 V5: LUN {#NAME}: Average I/O response time is too high (over {$HUAWEI.5300.LUN.IO.TIME.MAX.WARN}ms for {$HUAWEI.5300.LUN.IO.TIME.MAX.TIME})</t>
  </si>
  <si>
    <t>Huawei OceanStor 5300 V5: LUN{#NAME}: 平均I/O响应时间太长(超过{$HUAWEI.5300.LUN.IO.TIME.MAX.WARN}毫秒{$HUAWEI.5300.LUN.IO.TIME.MAX.TIME})</t>
  </si>
  <si>
    <t>(3480/1592)</t>
  </si>
  <si>
    <t>Huawei OceanStor 5300 V5: Node {#NODE}: High CPU utilization (over {$CPU.UTIL.CRIT}% for 5m)</t>
  </si>
  <si>
    <t>Huawei OceanStor 5300 V5: 节点{#NODE}: CPU使用率高了(超过{$CPU.UTIL.CRIT}%达5分钟)</t>
  </si>
  <si>
    <t>(3480/1593)</t>
  </si>
  <si>
    <t>Huawei OceanStor 5300 V5: Node {#NODE}: Average I/O latency is too high (over {$HUAWEI.5300.NODE.IO.DELAY.MAX.WARN}ms for {$HUAWEI.5300.NODE.IO.DELAY.MAX.TIME})</t>
  </si>
  <si>
    <t>Huawei OceanStor 5300 V5: 节点{#NODE}: 平均I/O延迟太高(超过{$HUAWEI.5300.NODE.IO.DELAY.MAX.WARN}毫秒,持续{$HUAWEI.5300.NODE.IO.DELAY.MAX.TIME})</t>
  </si>
  <si>
    <t>(3480/1597)</t>
  </si>
  <si>
    <t>23801</t>
  </si>
  <si>
    <t>(3480/1599)</t>
  </si>
  <si>
    <t>23803</t>
  </si>
  <si>
    <t>(3480/1604)</t>
  </si>
  <si>
    <t>23808</t>
  </si>
  <si>
    <t>(3480/1607)</t>
  </si>
  <si>
    <t>23811</t>
  </si>
  <si>
    <t>(3480/1610)</t>
  </si>
  <si>
    <t>23814</t>
  </si>
  <si>
    <t>(3480/1612)</t>
  </si>
  <si>
    <t>23816</t>
  </si>
  <si>
    <t>(3480/1616)</t>
  </si>
  <si>
    <t>Huawei VRP: Interface {#IFNAME}({#IFALIAS}): High error rate (&gt;{$IF.ERRORS.WARN:"{#IFNAME}"} for 5m)</t>
  </si>
  <si>
    <t>Huawei VRP: 接口{#IFNAME}({#IFALIAS}): 错误率太高(&gt;{$IF.ERRORS.WARN: "{#IFNAME}"}达5分钟)</t>
  </si>
  <si>
    <t>(3480/1617)</t>
  </si>
  <si>
    <t>Huawei VRP: Interface {#IFNAME}({#IFALIAS}): High bandwidth usage (&gt;{$IF.UTIL.MAX:"{#IFNAME}"}%)</t>
  </si>
  <si>
    <t>Huawei VRP: 接口{#IFNAME}({#IFALIAS}): 带宽使用率太高(&gt;{$IF.UTIL.MAX: "{#IFNAME}"}%)</t>
  </si>
  <si>
    <t>(3480/1621)</t>
  </si>
  <si>
    <t>Huawei VRP: {#ENT_NAME}: Temperature is above critical threshold: &gt;{$TEMP_CRIT:"{#ENT_NAME}"}</t>
  </si>
  <si>
    <t>Huawei VRP: {#ENT_NAME}: 温度高于临界阈值: &gt;{$TEMP_CRIT: "{#ENT_NAME}"}</t>
  </si>
  <si>
    <t>(3480/1622)</t>
  </si>
  <si>
    <t>Huawei VRP: {#ENT_NAME}: Temperature is above warning threshold: &gt;{$TEMP_WARN:"{#ENT_NAME}"}</t>
  </si>
  <si>
    <t>Huawei VRP: {#ENT_NAME}: 温度高于告警阈值: &gt;{$TEMP_WARN: "{#ENT_NAME}"}</t>
  </si>
  <si>
    <t>(3480/1623)</t>
  </si>
  <si>
    <t>Huawei VRP: {#ENT_NAME}: Temperature is too low: &lt;{$TEMP_CRIT_LOW:"{#ENT_NAME}"}</t>
  </si>
  <si>
    <t>Huawei VRP: {#ENT_NAME}: 温度太低: &lt;{$TEMP_CRIT_LOW: "{#ENT_NAME}"}</t>
  </si>
  <si>
    <t>(3480/1624)</t>
  </si>
  <si>
    <t>Huawei VRP: {#ENT_NAME}: High CPU utilization (over {$CPU.UTIL.CRIT}% for 5m)</t>
  </si>
  <si>
    <t>Huawei VRP: {#ENT_NAME}: CPU使用率高了(超过{$CPU.UTIL.CRIT}%达5分钟)</t>
  </si>
  <si>
    <t>(3480/1625)</t>
  </si>
  <si>
    <t>Huawei VRP: {#ENT_NAME}: Device has been replaced (new serial number received)</t>
  </si>
  <si>
    <t>Huawei VRP: {#ENT_NAME}: 设备已更换(收到新序列号)</t>
  </si>
  <si>
    <t>(3480/1627)</t>
  </si>
  <si>
    <t>Huawei VRP: {#ENT_NAME}: High memory utilization (&gt;{$MEMORY.UTIL.MAX}% for 5m)</t>
  </si>
  <si>
    <t>Huawei VRP: {#ENT_NAME}: 内存利用率高了(&gt;{$MEMORY.UTIL.MAX}%达5分钟)</t>
  </si>
  <si>
    <t>(3480/1630)</t>
  </si>
  <si>
    <t>IBM IMM: Ambient: Temperature is above warning threshold: &gt;{$TEMP_WARN:"Ambient"}</t>
  </si>
  <si>
    <t>IBM IMM: Ambient: 温度高于告警阈值: &gt;{$TEMP_WARN: "Ambient"}</t>
  </si>
  <si>
    <t>(3480/1631)</t>
  </si>
  <si>
    <t>IBM IMM: Ambient: Temperature is above critical threshold: &gt;{$TEMP_CRIT:"Ambient"}</t>
  </si>
  <si>
    <t>IBM IMM: Ambient: 温度高于临界阈值: &gt;{$TEMP_CRIT: "Ambient"}</t>
  </si>
  <si>
    <t>(3480/1632)</t>
  </si>
  <si>
    <t>IBM IMM: Ambient: Temperature is too low: &lt;{$TEMP_CRIT_LOW:"Ambient"}</t>
  </si>
  <si>
    <t>IBM IMM: Ambient: 温度太低: &lt;{$TEMP_CRIT_LOW: "Ambient"}</t>
  </si>
  <si>
    <t>(3480/1633)</t>
  </si>
  <si>
    <t>IBM IMM: CPU: Temperature is above warning threshold: &gt;{$TEMP_WARN:"CPU"}</t>
  </si>
  <si>
    <t>IBM IMM: CPU: 温度高于告警阈值: &gt;{$TEMP_WARN: "CPU"}</t>
  </si>
  <si>
    <t>(3480/1634)</t>
  </si>
  <si>
    <t>IBM IMM: CPU: Temperature is above critical threshold: &gt;{$TEMP_CRIT:"CPU"}</t>
  </si>
  <si>
    <t>IBM IMM: CPU: 温度高于临界阈值: &gt;{$TEMP_CRIT: "CPU"}</t>
  </si>
  <si>
    <t>(3480/1635)</t>
  </si>
  <si>
    <t>IBM IMM: CPU: Temperature is too low: &lt;{$TEMP_CRIT_LOW:"CPU"}</t>
  </si>
  <si>
    <t>IBM IMM: CPU: 温度太低: &lt;{$TEMP_CRIT_LOW: "CPU"}</t>
  </si>
  <si>
    <t>(3480/1636)</t>
  </si>
  <si>
    <t>IBM IMM: {#SNMPVALUE}: Temperature is above critical threshold: &gt;{$TEMP_CRIT:"{#SNMPVALUE}"}</t>
  </si>
  <si>
    <t>IBM IMM: {#SNMPVALUE}: 温度高于临界阈值: &gt;{$TEMP_CRIT: "{#SNMPVALUE}"}</t>
  </si>
  <si>
    <t>(3480/1637)</t>
  </si>
  <si>
    <t>IBM IMM: {#SNMPVALUE}: Temperature is above warning threshold: &gt;{$TEMP_WARN:"{#SNMPVALUE}"}</t>
  </si>
  <si>
    <t>IBM IMM: {#SNMPVALUE}: 温度高于告警阈值: &gt;{$TEMP_WARN: "{#SNMPVALUE}"}</t>
  </si>
  <si>
    <t>(3480/1638)</t>
  </si>
  <si>
    <t>IBM IMM: {#SNMPVALUE}: Temperature is too low: &lt;{$TEMP_CRIT_LOW:"{#SNMPVALUE}"}</t>
  </si>
  <si>
    <t>IBM IMM: {#SNMPVALUE}: 温度太低: &lt;{$TEMP_CRIT_LOW: "{#SNMPVALUE}"}</t>
  </si>
  <si>
    <t>(3480/1641)</t>
  </si>
  <si>
    <t>(3480/1643)</t>
  </si>
  <si>
    <t>(3480/1645)</t>
  </si>
  <si>
    <t>(3480/1647)</t>
  </si>
  <si>
    <t>(3480/1652)</t>
  </si>
  <si>
    <t>Ignite: Cache group [{#JMXNAME}]: Version has changed (new version: {ITEM.VALUE})</t>
  </si>
  <si>
    <t>Ignite: 缓存组[{#JMXNAME}]: 版本已变更(新版本: {ITEM.VALUE})</t>
  </si>
  <si>
    <t>(3480/1653)</t>
  </si>
  <si>
    <t>Ignite: Data region {#JMXNAME}: Checkpoint buffer utilization is too high (over {$IGNITE.CHECKPOINT.PUSED.MAX.HIGH} in 5m)</t>
  </si>
  <si>
    <t>Ignite: 数据区域{#JMXNAME}: 检查点缓冲区利用率太高(5分钟内超过{$IGNITE.CHECKPOINT.PUSED.MAX.HIGH})</t>
  </si>
  <si>
    <t>(3480/1654)</t>
  </si>
  <si>
    <t>Ignite: Data region {#JMXNAME}: Checkpoint buffer utilization is too high (over {$IGNITE.CHECKPOINT.PUSED.MAX.WARN} in 5m)</t>
  </si>
  <si>
    <t>Ignite: 数据区域{#JMXNAME}: 检查点缓冲区利用率太高(5分钟内超过{$IGNITE.CHECKPOINT.PUSED.MAX.WARN})</t>
  </si>
  <si>
    <t>(3480/1655)</t>
  </si>
  <si>
    <t>Ignite: [{#JMXIGNITEINSTANCENAME}]: Version has changed (new version: {ITEM.VALUE})</t>
  </si>
  <si>
    <t>Ignite: Ignite[{#JMXIGNITEINSTANCENAME}]: 版本已变更(新版本: {ITEM.VALUE})</t>
  </si>
  <si>
    <t>(3480/1656)</t>
  </si>
  <si>
    <t>Ignite: [{#JMXIGNITEINSTANCENAME}]: PME duration is too long (over {$IGNITE.PME.DURATION.MAX.HIGH} for 5 min)</t>
  </si>
  <si>
    <t>Ignite: Ignite[{#JMXIGNITEINSTANCENAME}]: PME持续时间太长(超过{$IGNITE.PME.DURATION.MAX.HIGH}5分钟)</t>
  </si>
  <si>
    <t>(3480/1657)</t>
  </si>
  <si>
    <t>Ignite: [{#JMXIGNITEINSTANCENAME}]: PME duration is too long (over {$IGNITE.PME.DURATION.MAX.WARN} for 5 min)</t>
  </si>
  <si>
    <t>Ignite: Ignite[{#JMXIGNITEINSTANCENAME}]: PME持续时间太长(超过{$IGNITE.PME.DURATION.MAX.WARN}5分钟)</t>
  </si>
  <si>
    <t>(3480/1658)</t>
  </si>
  <si>
    <t>Ignite: [{#JMXIGNITEINSTANCENAME}]: Number of running threads is too high (over {$IGNITE.THREADS.COUNT.MAX.WARN} for 15 min)</t>
  </si>
  <si>
    <t>Ignite: Ignite[{#JMXIGNITEINSTANCENAME}]: 正在运行的线程数太高(超过{$IGNITE.THREADS.COUNT.MAX.WARN}15分钟)</t>
  </si>
  <si>
    <t>(3480/1659)</t>
  </si>
  <si>
    <t>Ignite: [{#JMXIGNITEINSTANCENAME}]: Number of queued jobs is too high (over {$IGNITE.JOBS.QUEUE.MAX.WARN} for 15 min)</t>
  </si>
  <si>
    <t>Ignite: Ignite[{#JMXIGNITEINSTANCENAME}]: 排队任务的数量太高(超过{$IGNITE.JOBS.QUEUE.MAX.WARN}15分钟)</t>
  </si>
  <si>
    <t>(3480/1661)</t>
  </si>
  <si>
    <t>(3480/1664)</t>
  </si>
  <si>
    <t>Ignite: Data region {#JMXNAME}: Data region utilization is too high (over {$IGNITE.DATA.REGION.PUSED.MAX.HIGH} in 5m)</t>
  </si>
  <si>
    <t>Ignite: 数据区域{#JMXNAME}: 数据区域利用率太高(5分钟内超过{$IGNITE.DATA.REGION.PUSED.MAX.HIGH})</t>
  </si>
  <si>
    <t>(3480/1665)</t>
  </si>
  <si>
    <t>Ignite: Data region {#JMXNAME}: Data region utilization is too high (over {$IGNITE.DATA.REGION.PUSED.MAX.WARN} in 5m)</t>
  </si>
  <si>
    <t>Ignite: 数据区域{#JMXNAME}: 数据区域利用率太高(5分钟内超过{$IGNITE.DATA.REGION.PUSED.MAX.WARN})</t>
  </si>
  <si>
    <t>(3480/1667)</t>
  </si>
  <si>
    <t>Ignite: Thread pool [{#JMXNAME}]: Too many messages in queue (over {$IGNITE.THREAD.QUEUE.MAX.WARN:"{#JMXNAME}"} for 5 min)</t>
  </si>
  <si>
    <t>Ignite: 线程池[{#JMXNAME}]: 队列中消息过多(超过{$IGNITE.THREAD.QUEUE.MAX.WARN: "{#JMXNAME}"}达5分钟)</t>
  </si>
  <si>
    <t>(3480/1671)</t>
  </si>
  <si>
    <t>Ignite: [{#JMXIGNITEINSTANCENAME}]: Instance has been restarted (uptime &lt; 10m)</t>
  </si>
  <si>
    <t>Ignite: [{#JMXIGNITEINSTANCENAME}]: 实例已重启（运行时间 &lt; 10分钟）</t>
  </si>
  <si>
    <t>(3480/1672)</t>
  </si>
  <si>
    <t>Ignite: [{#JMXIGNITEINSTANCENAME}]: Failed to fetch info data (or no data for 10m)</t>
  </si>
  <si>
    <t>Ignite: Ignite[{#JMXIGNITEINSTANCENAME}]: 无法获取信息数据(或10分钟无数据)</t>
  </si>
  <si>
    <t>(3480/1673)</t>
  </si>
  <si>
    <t>(3480/1674)</t>
  </si>
  <si>
    <t>Intel Qlogic: Interface {#IFNAME}({#IFALIAS}): High error rate (&gt;{$IF.ERRORS.WARN:"{#IFNAME}"} for 5m)</t>
  </si>
  <si>
    <t>Intel Qlogic: 接口{#IFNAME}({#IFALIAS}): 错误率太高(&gt;{$IF.ERRORS.WARN: "{#IFNAME}"}达5分钟)</t>
  </si>
  <si>
    <t>(3480/1675)</t>
  </si>
  <si>
    <t>Intel Qlogic: Interface {#IFNAME}({#IFALIAS}): High bandwidth usage (&gt;{$IF.UTIL.MAX:"{#IFNAME}"}%)</t>
  </si>
  <si>
    <t>Intel Qlogic: 接口{#IFNAME}({#IFALIAS}): 带宽使用率太高(&gt;{$IF.UTIL.MAX: "{#IFNAME}"}%)</t>
  </si>
  <si>
    <t>(3480/1681)</t>
  </si>
  <si>
    <t>Intel Qlogic: {#SENSOR_INFO}: Temperature is above critical threshold: &gt;{$TEMP_CRIT:"{#SENSOR_INFO}"}</t>
  </si>
  <si>
    <t>Intel Qlogic: {#SENSOR_INFO}: 温度高于临界阈值: &gt;{$TEMP_CRIT: "{#SENSOR_INFO}"}</t>
  </si>
  <si>
    <t>(3480/1682)</t>
  </si>
  <si>
    <t>Intel Qlogic: {#SENSOR_INFO}: Temperature is above warning threshold: &gt;{$TEMP_WARN:"{#SENSOR_INFO}"}</t>
  </si>
  <si>
    <t>Intel Qlogic: {#SENSOR_INFO}: 温度高于告警阈值: &gt;{$TEMP_WARN: "{#SENSOR_INFO}"}</t>
  </si>
  <si>
    <t>(3480/1683)</t>
  </si>
  <si>
    <t>Intel Qlogic: {#SENSOR_INFO}: Temperature is too low: &lt;{$TEMP_CRIT_LOW:"{#SENSOR_INFO}"}</t>
  </si>
  <si>
    <t>Intel Qlogic: {#SENSOR_INFO}: 温度太低: &lt;{$TEMP_CRIT_LOW: "{#SENSOR_INFO}"}</t>
  </si>
  <si>
    <t>(3480/1684)</t>
  </si>
  <si>
    <t>Intel Qlogic: {#ENT_NAME}: Device has been replaced (new serial number received)</t>
  </si>
  <si>
    <t>Intel Qlogic: {#ENT_NAME}: 设备已更换(收到新序列号)</t>
  </si>
  <si>
    <t>(3480/1688)</t>
  </si>
  <si>
    <t>23716</t>
  </si>
  <si>
    <t>Jira Data Center: License [{#LICENSE.TYPE}]: Low user capacity (created &gt; {$JIRA_DC.LICENSE.USER.CAPACITY.WARN:"{#LICENSE.TYPE}"}%)</t>
  </si>
  <si>
    <t>Jira Data Center: License [{#LICENSE.TYPE}]: 用户容量不足(已创建 &gt; {$JIRA_DC.LICENSE.USER.CAPACITY.WARN: "{#LICENSE.TYPE}"}%)</t>
  </si>
  <si>
    <t>(3480/1690)</t>
  </si>
  <si>
    <t>23713</t>
  </si>
  <si>
    <t>Jira Data Center: Indexing [{#JMXNAME}]: Slow performance (latency &gt; {$JIRA_DC.INDEXING.LATENCY.WARN:"{#JMXNAME}"}s)</t>
  </si>
  <si>
    <t>Jira Data Center: Indexing [{#JMXNAME}]: 性能缓慢(延迟 &gt; {$JIRA_DC.INDEXING.LATENCY.WARN: "{#JMXNAME}"}秒)</t>
  </si>
  <si>
    <t>(3480/1692)</t>
  </si>
  <si>
    <t>23714</t>
  </si>
  <si>
    <t>Jira Data Center: Issue [{#JMXNAME}]: Slow operations (longer then {$JIRA_DC.ISSUE.LATENCY.WARN:"{#JMXNAME}"}s)</t>
  </si>
  <si>
    <t>Jira Data Center: Issue [{#JMXNAME}]: 操作缓慢(时间超过 {$JIRA_DC.ISSUE.LATENCY.WARN: "{#JMXNAME}"}秒)</t>
  </si>
  <si>
    <t>(3480/1693)</t>
  </si>
  <si>
    <t>23712</t>
  </si>
  <si>
    <t>Jira Data Center: Storage [{#JMXCATEGORY01}]: Slow performance (latency &gt; {$JIRA_DC.STORAGE.LATENCY.WARN:"{#JMXCATEGORY01}"}s)</t>
  </si>
  <si>
    <t>Jira Data Center: Storage [{#JMXCATEGORY01}]: 性能缓慢(延迟 &gt; {$JIRA_DC.STORAGE.LATENCY.WARN: "{#JMXCATEGORY01}"}秒)</t>
  </si>
  <si>
    <t>(3480/1695)</t>
  </si>
  <si>
    <t>Juniper MX by SNMP</t>
  </si>
  <si>
    <t>23918</t>
  </si>
  <si>
    <t>Juniper MX: System [{#SNMPVALUE}]: High CPU utilization (over {$JUNIPER.MX.CPU.UTIL.CRIT}% for 5m)</t>
  </si>
  <si>
    <t>Juniper MX:  系统[{#SNMPVALUE}]: CPU利用率过高(5分钟内超过{$JUNIPER.MX.CPU.UTIL.CRIT}%)</t>
  </si>
  <si>
    <t>(3480/1696)</t>
  </si>
  <si>
    <t>23920</t>
  </si>
  <si>
    <t>Juniper MX: SFP [{#IFNAME}][{#IFALIAS}]: Rx laser power high on [{#LANEINDEX}] lane</t>
  </si>
  <si>
    <t>Juniper MX:  小型可插拔光模块(SFP)[{#IFNAME}][{#IFALIAS}]: [{#LANEINDEX}]通道上的接收激光功率过高</t>
  </si>
  <si>
    <t>(3480/1697)</t>
  </si>
  <si>
    <t>23921</t>
  </si>
  <si>
    <t>Juniper MX: SFP [{#IFNAME}][{#IFALIAS}]: Rx laser power low on [{#LANEINDEX}] lane</t>
  </si>
  <si>
    <t>Juniper MX:  小型可插拔光模块(SFP)[{#IFNAME}][{#IFALIAS}]: [{#LANEINDEX}]通道上的接收激光功率过低</t>
  </si>
  <si>
    <t>(3480/1698)</t>
  </si>
  <si>
    <t>23922</t>
  </si>
  <si>
    <t>Juniper MX: SFP [{#IFNAME}][{#IFALIAS}]: Laser temperature high on [{#LANEINDEX}] lane</t>
  </si>
  <si>
    <t>Juniper MX:  小型可插拔光模块(SFP)[{#IFNAME}][{#IFALIAS}]: [{#LANEINDEX}]通道上的激光器温度过高</t>
  </si>
  <si>
    <t>(3480/1699)</t>
  </si>
  <si>
    <t>23923</t>
  </si>
  <si>
    <t>Juniper MX: SFP [{#IFNAME}][{#IFALIAS}]: Laser temperature low on [{#LANEINDEX}] lane</t>
  </si>
  <si>
    <t>Juniper MX:  小型可插拔光模块(SFP)[{#IFNAME}][{#IFALIAS}]: [{#LANEINDEX}]通道上的激光器温度过低</t>
  </si>
  <si>
    <t>(3480/1700)</t>
  </si>
  <si>
    <t>23924</t>
  </si>
  <si>
    <t>Juniper MX: SFP [{#IFNAME}][{#IFALIAS}]: Tx laser bias current high on [{#LANEINDEX}] lane</t>
  </si>
  <si>
    <t>Juniper MX:  小型可插拔光模块(SFP)[{#IFNAME}][{#IFALIAS}]: [{#LANEINDEX}]通道上的发送激光偏置电流过高</t>
  </si>
  <si>
    <t>(3480/1701)</t>
  </si>
  <si>
    <t>23925</t>
  </si>
  <si>
    <t>Juniper MX: SFP [{#IFNAME}][{#IFALIAS}]: Tx laser bias current low on [{#LANEINDEX}] lane</t>
  </si>
  <si>
    <t>Juniper MX:  小型可插拔光模块(SFP)[{#IFNAME}][{#IFALIAS}]: [{#LANEINDEX}]通道上的发送激光偏置电流过低</t>
  </si>
  <si>
    <t>(3480/1702)</t>
  </si>
  <si>
    <t>23926</t>
  </si>
  <si>
    <t>Juniper MX: SFP [{#IFNAME}][{#IFALIAS}]: Tx laser power high on [{#LANEINDEX}] lane</t>
  </si>
  <si>
    <t>Juniper MX:  小型可插拔光模块(SFP)[{#IFNAME}][{#IFALIAS}]: [{#LANEINDEX}]通道上的发送激光功率过高</t>
  </si>
  <si>
    <t>(3480/1703)</t>
  </si>
  <si>
    <t>23927</t>
  </si>
  <si>
    <t>Juniper MX: SFP [{#IFNAME}][{#IFALIAS}]: Tx laser power low on [{#LANEINDEX}] lane</t>
  </si>
  <si>
    <t>Juniper MX:  小型可插拔光模块(SFP)[{#IFNAME}][{#IFALIAS}]: [{#LANEINDEX}]通道上的发送激光功率过低</t>
  </si>
  <si>
    <t>(3480/1704)</t>
  </si>
  <si>
    <t>23919</t>
  </si>
  <si>
    <t>Juniper MX: System [{#SNMPVALUE}]: High memory utilization (&gt;{$JUNIPER.MX.MEMORY.UTIL.MAX}% for 5m)</t>
  </si>
  <si>
    <t>Juniper MX:  系统[{#SNMPVALUE}]: 内存利用率过高(5分钟内大于{$JUNIPER.MX.MEMORY.UTIL.MAX}%)</t>
  </si>
  <si>
    <t>(3480/1706)</t>
  </si>
  <si>
    <t>23931</t>
  </si>
  <si>
    <t>Juniper MX: Interface [{#IFNAME}][{#IFALIAS}]: High error rate (&gt;{$JUNIPER.MX.IF.ERRORS.WARN:"{#IFNAME}"} for 5m)</t>
  </si>
  <si>
    <t>Juniper MX: 接口[{#IFNAME}][{#IFALIAS}]: 错误率过高(5分钟内大于{$JUNIPER.MX.IF.ERRORS.WARN: {#IFNAME}})</t>
  </si>
  <si>
    <t>(3480/1707)</t>
  </si>
  <si>
    <t>23930</t>
  </si>
  <si>
    <t>Juniper MX: Interface [{#IFNAME}][{#IFALIAS}]: High bandwidth usage (&gt;{$JUNIPER.MX.IF.UTIL.MAX:"{#IFNAME}"}%)</t>
  </si>
  <si>
    <t>Juniper MX: 接口[{#IFNAME}][{#IFALIAS}]: 带宽使用率过高(大于{$JUNIPER.MX.IF.UTIL.MAX: {#IFNAME}}%)</t>
  </si>
  <si>
    <t>(3480/1718)</t>
  </si>
  <si>
    <t>23941</t>
  </si>
  <si>
    <t>Juniper MX: Sensor [{#SENSOR_INFO}]: Temperature is above critical threshold: &gt;{$JUNIPER.MX.TEMP_CRIT:"Juniper MX: Sensor [{#SENSOR_INFO}]"}</t>
  </si>
  <si>
    <t>Juniper MX: 传感器[{#SENSOR_INFO}]: 温度高于临界阈值: 大于{$JUNIPER.MX.TEMP_CRIT: 瞻博网络(Juniper)MX: 传感器 ["{#SENSOR_INFO}"]}</t>
  </si>
  <si>
    <t>(3480/1719)</t>
  </si>
  <si>
    <t>23942</t>
  </si>
  <si>
    <t>Juniper MX: Sensor [{#SENSOR_INFO}]: Temperature is above warning threshold: &gt;{$JUNIPER.MX.TEMP_WARN:"Juniper MX: Sensor [{#SENSOR_INFO}]"}</t>
  </si>
  <si>
    <t>Juniper MX: 传感器[{#SENSOR_INFO}]: 温度高于警告阈值: 大于{$JUNIPER.MX.TEMP_WARN: 瞻博网络(Juniper)MX: 传感器 ["{#SENSOR_INFO}"]}</t>
  </si>
  <si>
    <t>(3480/1720)</t>
  </si>
  <si>
    <t>23943</t>
  </si>
  <si>
    <t>Juniper MX: Sensor [{#SENSOR_INFO}]: Temperature is too low: &lt;{$JUNIPER.MX.TEMP_CRIT_LOW:"Juniper MX: Sensor [{#SENSOR_INFO}]"}</t>
  </si>
  <si>
    <t>Juniper MX: 传感器[{#SENSOR_INFO}]: 温度过低: 小于{$JUNIPER.MX.TEMP_CRIT_LOW: 瞻博网络(Juniper)MX: 传感器 ["{#SENSOR_INFO}"]}</t>
  </si>
  <si>
    <t>(3480/1722)</t>
  </si>
  <si>
    <t>Juniper: Interface {#IFNAME}({#IFALIAS}): High error rate (&gt;{$IF.ERRORS.WARN:"{#IFNAME}"} for 5m)</t>
  </si>
  <si>
    <t>Juniper: 接口{#IFNAME}({#IFALIAS}): 错误率太高(&gt;{$IF.ERRORS.WARN: "{#IFNAME}"}达5分钟)</t>
  </si>
  <si>
    <t>(3480/1723)</t>
  </si>
  <si>
    <t>Juniper: Interface {#IFNAME}({#IFALIAS}): High bandwidth usage (&gt;{$IF.UTIL.MAX:"{#IFNAME}"}%)</t>
  </si>
  <si>
    <t>Juniper: 接口{#IFNAME}({#IFALIAS}): 带宽使用率太高(&gt;{$IF.UTIL.MAX: "{#IFNAME}"}%)</t>
  </si>
  <si>
    <t>(3480/1728)</t>
  </si>
  <si>
    <t>Juniper: {#SENSOR_INFO}: Temperature is above critical threshold: &gt;{$TEMP_CRIT:"{#SENSOR_INFO}"}</t>
  </si>
  <si>
    <t>Juniper: {#SENSOR_INFO}: 温度高于临界阈值: &gt;{$TEMP_CRIT: "{#SENSOR_INFO}"}</t>
  </si>
  <si>
    <t>(3480/1729)</t>
  </si>
  <si>
    <t>Juniper: {#SENSOR_INFO}: Temperature is above warning threshold: &gt;{$TEMP_WARN:"{#SENSOR_INFO}"}</t>
  </si>
  <si>
    <t>Juniper: {#SENSOR_INFO}: 温度高于告警阈值: &gt;{$TEMP_WARN: "{#SENSOR_INFO}"}</t>
  </si>
  <si>
    <t>(3480/1730)</t>
  </si>
  <si>
    <t>Juniper: {#SENSOR_INFO}: Temperature is too low: &lt;{$TEMP_CRIT_LOW:"{#SENSOR_INFO}"}</t>
  </si>
  <si>
    <t>Juniper: {#SENSOR_INFO}: 温度太低: &lt;{$TEMP_CRIT_LOW: "{#SENSOR_INFO}"}</t>
  </si>
  <si>
    <t>(3480/1731)</t>
  </si>
  <si>
    <t>Juniper: {#SNMPVALUE}: High CPU utilization (over {$CPU.UTIL.CRIT}% for 5m)</t>
  </si>
  <si>
    <t>Juniper: {#SNMPVALUE}: CPU使用率高了(超过{$CPU.UTIL.CRIT}%达5分钟)</t>
  </si>
  <si>
    <t>(3480/1732)</t>
  </si>
  <si>
    <t>Juniper: {#SNMPVALUE}: High memory utilization (&gt;{$MEMORY.UTIL.MAX}% for 5m)</t>
  </si>
  <si>
    <t>Juniper: {#SNMPVALUE}: 内存利用率高了(&gt;{$MEMORY.UTIL.MAX}%达5分钟)</t>
  </si>
  <si>
    <t>(3480/1746)</t>
  </si>
  <si>
    <t>23206</t>
  </si>
  <si>
    <t>Kubernetes nodes: Node [{#NAME}] Limits: Total CPU limits are too high (more than 90% of allocatable)</t>
  </si>
  <si>
    <t>Kubernetes nodes: Node [{#NAME}] Limits: 总CPU限制太高(超过可分配的90%)</t>
  </si>
  <si>
    <t>(3480/1747)</t>
  </si>
  <si>
    <t>23207</t>
  </si>
  <si>
    <t>Kubernetes nodes: Node [{#NAME}] Limits: Total CPU limits are too high (more than 100% of allocatable)</t>
  </si>
  <si>
    <t>Kubernetes nodes: Node [{#NAME}] Limits: 总CPU限制太高(超过可分配的100%)</t>
  </si>
  <si>
    <t>(3480/1748)</t>
  </si>
  <si>
    <t>Kubernetes nodes: Node [{#NAME}] Requests: Total CPU requests are too high (more than 50% of allocatable)</t>
  </si>
  <si>
    <t>Kubernetes nodes: Node [{#NAME}] Requests: 总CPU请求太高(超过可分配的50%)</t>
  </si>
  <si>
    <t>(3480/1749)</t>
  </si>
  <si>
    <t>23211</t>
  </si>
  <si>
    <t>Kubernetes nodes: Node [{#NAME}] Requests: Total CPU requests are too high (more than 80% of allocatable)</t>
  </si>
  <si>
    <t>Kubernetes nodes: Node [{#NAME}] Requests: 总CPU请求太高(超过可分配的80%)</t>
  </si>
  <si>
    <t>(3480/1750)</t>
  </si>
  <si>
    <t>23208</t>
  </si>
  <si>
    <t>Kubernetes nodes: Node [{#NAME}] Limits: Total memory limits are too high (more than 90% of allocatable)</t>
  </si>
  <si>
    <t>Kubernetes nodes: Node [{#NAME}] Limits: 总内存限制太高(超过90%的可分配内存)</t>
  </si>
  <si>
    <t>(3480/1751)</t>
  </si>
  <si>
    <t>Kubernetes nodes: Node [{#NAME}] Limits: Total memory limits are too high (more than 100% of allocatable)</t>
  </si>
  <si>
    <t>Kubernetes nodes: Node [{#NAME}] Limits: 总内存限制太高(超过可分配的100%)</t>
  </si>
  <si>
    <t>(3480/1752)</t>
  </si>
  <si>
    <t>23212</t>
  </si>
  <si>
    <t>Kubernetes nodes: Node [{#NAME}] Requests: Total memory requests are too high (more than 50% of allocatable)</t>
  </si>
  <si>
    <t>Kubernetes nodes: Node [{#NAME}] Requests: 总内存请求太高(超过可分配的50%)</t>
  </si>
  <si>
    <t>(3480/1753)</t>
  </si>
  <si>
    <t>23213</t>
  </si>
  <si>
    <t>Kubernetes nodes: Node [{#NAME}] Requests: Total memory requests are too high (more than 80% of allocatable)</t>
  </si>
  <si>
    <t>Kubernetes nodes: Node [{#NAME}] Requests: 总内存请求太高(超过80%的可分配内存)</t>
  </si>
  <si>
    <t>(3480/1754)</t>
  </si>
  <si>
    <t>23214</t>
  </si>
  <si>
    <t>Kubernetes nodes: Node [{#NAME}] Used: Kubelet too many pods (more than 95% of capacity)</t>
  </si>
  <si>
    <t>Kubernetes nodes: Node [{#NAME}] Used: Kubelet太多pod(超过95%的容量)</t>
  </si>
  <si>
    <t>(3480/1755)</t>
  </si>
  <si>
    <t>23215</t>
  </si>
  <si>
    <t>Kubernetes nodes: Node [{#NAME}] Conditions: Pressure exists on the disk size (state: {ITEM.VALUE})</t>
  </si>
  <si>
    <t>Kubernetes nodes: Node [{#NAME}] Conditions: 磁盘大小存在压力(状态: {ITEM.VALUE})</t>
  </si>
  <si>
    <t>(3480/1756)</t>
  </si>
  <si>
    <t>23216</t>
  </si>
  <si>
    <t>Kubernetes nodes: Node [{#NAME}] Conditions: Pressure exists on the node memory (state: {ITEM.VALUE})</t>
  </si>
  <si>
    <t>Kubernetes nodes: Node [{#NAME}] Conditions: 节点内存存在压力(状态: {ITEM.VALUE})</t>
  </si>
  <si>
    <t>(3480/1757)</t>
  </si>
  <si>
    <t>Kubernetes nodes: Node [{#NAME}] Conditions: Network is not correctly configured (state: {ITEM.VALUE})</t>
  </si>
  <si>
    <t>Kubernetes nodes: Node [{#NAME}] Conditions: 网络配置不正确(状态: {ITEM.VALUE})</t>
  </si>
  <si>
    <t>(3480/1758)</t>
  </si>
  <si>
    <t>Kubernetes nodes: Node [{#NAME}] Conditions: Pressure exists on the processes (state: {ITEM.VALUE})</t>
  </si>
  <si>
    <t>Kubernetes nodes: Node [{#NAME}] Conditions: 进程存在压力(状态: {ITEM.VALUE})</t>
  </si>
  <si>
    <t>(3480/1759)</t>
  </si>
  <si>
    <t>23219</t>
  </si>
  <si>
    <t>Kubernetes nodes: Node [{#NAME}] Conditions: Is not in Ready state (state: {ITEM.VALUE})</t>
  </si>
  <si>
    <t>Kubernetes nodes: Node [{#NAME}] Conditions: 未处于就绪状态(状态: {ITEM.VALUE})</t>
  </si>
  <si>
    <t>(3480/1760)</t>
  </si>
  <si>
    <t>23220</t>
  </si>
  <si>
    <t>Kubernetes nodes: Node [{#NAME}] has been restarted (uptime &lt; 10m)</t>
  </si>
  <si>
    <t>Kubernetes节点：节点[{#NAME}]已重新启动（运行时间&lt;10分钟）</t>
  </si>
  <si>
    <t>(3480/1763)</t>
  </si>
  <si>
    <t>Linux: Interface {#IFNAME}({#IFALIAS}): High error rate (&gt;{$IF.ERRORS.WARN:"{#IFNAME}"} for 5m)</t>
  </si>
  <si>
    <t>Linux: 接口{#IFNAME}({#IFALIAS}): 错误率太高(&gt;{$IF.ERRORS.WARN: "{#IFNAME}"}达5分钟)</t>
  </si>
  <si>
    <t>(3480/1764)</t>
  </si>
  <si>
    <t>Linux: Interface {#IFNAME}({#IFALIAS}): High bandwidth usage (&gt;{$IF.UTIL.MAX:"{#IFNAME}"}%)</t>
  </si>
  <si>
    <t>Linux: 接口{#IFNAME}({#IFALIAS}): 带宽使用率太高(&gt;{$IF.UTIL.MAX: "{#IFNAME}"}%)</t>
  </si>
  <si>
    <t>(3480/1768)</t>
  </si>
  <si>
    <t>Linux: {#DEVNAME}: Disk read/write request responses are too high (read &gt; {$VFS.DEV.READ.AWAIT.WARN:"{#DEVNAME}"} ms for 15m or write &gt; {$VFS.DEV.WRITE.AWAIT.WARN:"{#DEVNAME}"} ms for 15m)</t>
  </si>
  <si>
    <t>Linux: {#DEVNAME}: 磁盘读/写请求响应太高(读取&gt;{$VFS.DEV.READ.AWAIT.WARN: "{#DEVNAME}"}毫秒15分钟或写入&gt;{$VFS.DEV.WRITE.AWAIT.WARN: "{#DEVNAME}"}毫秒达15分钟)</t>
  </si>
  <si>
    <t>(3480/1770)</t>
  </si>
  <si>
    <t>Linux: FS [{#FSNAME}]: Running out of free inodes (free &lt; {$VFS.FS.INODE.PFREE.MIN.CRIT:"{#FSNAME}"}%)</t>
  </si>
  <si>
    <t>Linux: FS [{#FSNAME}]: 可用inode耗尽(可用&lt;{$VFS.FS.INODE.PFREE.MIN.CRIT: "{#FSNAME}"}%)</t>
  </si>
  <si>
    <t>(3480/1771)</t>
  </si>
  <si>
    <t>Linux: FS [{#FSNAME}]: Running out of free inodes (free &lt; {$VFS.FS.INODE.PFREE.MIN.WARN:"{#FSNAME}"}%)</t>
  </si>
  <si>
    <t>Linux: FS [{#FSNAME}]: 索引节点不足(空闲 &lt; {$VFS.FS.INODE.PFREE.MIN.WARN: "{#FSNAME}"}%)</t>
  </si>
  <si>
    <t>(3480/1772)</t>
  </si>
  <si>
    <t>Linux: FS [{#FSNAME}]: Space is critically low (used &gt; {$VFS.FS.PUSED.MAX.CRIT:"{#FSNAME}"}%, total {{?last(//vfs.fs.total[node_exporter,"{#FSNAME}"])/1024/1024/1024}.fmtnum(1)}GB)</t>
  </si>
  <si>
    <t>Linux: FS [{#FSNAME}]: 空间严重不足 (已用 &gt; {$VFS.FS.PUSED.MAX.CRIT:"{#FSNAME}"}%, 总计 {{?last(//vfs.fs.total[node_exporter,"{#FSNAME}"])/1024/1024/1024}.fmtnum(1)}GB)</t>
  </si>
  <si>
    <t>(3480/1773)</t>
  </si>
  <si>
    <t>Linux: FS [{#FSNAME}]: Space is low (used &gt; {$VFS.FS.PUSED.MAX.WARN:"{#FSNAME}"}%, total {{?last(//vfs.fs.total[node_exporter,"{#FSNAME}"])/1024/1024/1024}.fmtnum(1)}GB)</t>
  </si>
  <si>
    <t>Linux: FS [{#FSNAME}]: 空间不足 (已用 &gt; {$VFS.FS.PUSED.MAX.WARN:"{#FSNAME}"}%, 总计 {{?last(//vfs.fs.total[node_exporter,"{#FSNAME}"])/1024/1024/1024}.fmtnum(1)}GB)</t>
  </si>
  <si>
    <t>(3480/1775)</t>
  </si>
  <si>
    <t>(3480/1776)</t>
  </si>
  <si>
    <t>(3480/1779)</t>
  </si>
  <si>
    <t>(3480/1780)</t>
  </si>
  <si>
    <t>(3480/1781)</t>
  </si>
  <si>
    <t>(3480/1782)</t>
  </si>
  <si>
    <t>Linux: FS [{#FSNAME}]: Space is critically low (used &gt; {$VFS.FS.PUSED.MAX.CRIT:"{#FSNAME}"}%, total {{?last(//vfs.fs.total[dskTotal.{#SNMPINDEX}])/1024/1024/1024}.fmtnum(1)}GB)</t>
  </si>
  <si>
    <t>Linux: FS [{#FSNAME}]: 空间严重不足 (已用 &gt; {$VFS.FS.PUSED.MAX.CRIT:"{#FSNAME}"}%, 总计 {{?last(//vfs.fs.total[dskTotal.{#SNMPINDEX}])/1024/1024/1024}.fmtnum(1)}GB)</t>
  </si>
  <si>
    <t>(3480/1783)</t>
  </si>
  <si>
    <t>Linux: FS [{#FSNAME}]: Space is low (used &gt; {$VFS.FS.PUSED.MAX.WARN:"{#FSNAME}"}%, total {{?last(//vfs.fs.total[dskTotal.{#SNMPINDEX}])/1024/1024/1024}.fmtnum(1)}GB)</t>
  </si>
  <si>
    <t>Linux: FS [{#FSNAME}]: 空间不足 (已用 &gt; {$VFS.FS.PUSED.MAX.WARN:"{#FSNAME}"}%, 总计 {{?last(//vfs.fs.total[dskTotal.{#SNMPINDEX}])/1024/1024/1024}.fmtnum(1)}GB)</t>
  </si>
  <si>
    <t>(3480/1784)</t>
  </si>
  <si>
    <t>Linux: Interface {#IFNAME}: High error rate (&gt;{$IF.ERRORS.WARN:"{#IFNAME}"} for 5m)</t>
  </si>
  <si>
    <t>Linux: 接口{#IFNAME}: 错误率高了(&gt;{$IF.ERRORS.WARN: "{#IFNAME}"}达5分钟)</t>
  </si>
  <si>
    <t>(3480/1785)</t>
  </si>
  <si>
    <t>Linux: Interface {#IFNAME}: High bandwidth usage (&gt;{$IF.UTIL.MAX:"{#IFNAME}"}%)</t>
  </si>
  <si>
    <t>Linux: 接口{#IFNAME}: 带宽使用率高了(&gt;{$IF.UTIL.MAX: "{#IFNAME}"}%)</t>
  </si>
  <si>
    <t>(3480/1786)</t>
  </si>
  <si>
    <t>(3480/1789)</t>
  </si>
  <si>
    <t>Linux: {#FSNAME}: Running out of free inodes (free &lt; {$VFS.FS.INODE.PFREE.MIN.CRIT:"{#FSNAME}"}%)</t>
  </si>
  <si>
    <t>Linux: {#FSNAME}: 可用inode耗尽(可用&lt;{$VFS.FS.INODE.PFREE.MIN.CRIT: "{#FSNAME}"}%)</t>
  </si>
  <si>
    <t>(3480/1790)</t>
  </si>
  <si>
    <t>(3480/1791)</t>
  </si>
  <si>
    <t>Linux: FS [{#FSNAME}]: Space is critically low (used &gt; {$VFS.FS.PUSED.MAX.CRIT:"{#FSNAME}"}%, total {{?last(//vfs.fs.dependent.size[{#FSNAME},total])/1024/1024/1024}.fmtnum(1)}GB)</t>
  </si>
  <si>
    <t>Linux: FS [{#FSNAME}]: 空间严重不足(已用 &gt; {$VFS.FS.PUSED.MAX.CRIT: "{#FSNAME}"}%,总计 {{?last(//vfs.fs.dependent.size[{#FSNAME},total])/1024/1024/1024}.fmtnum(1)}GB)</t>
  </si>
  <si>
    <t>(3480/1792)</t>
  </si>
  <si>
    <t>Linux: FS [{#FSNAME}]: Space is low (used &gt; {$VFS.FS.PUSED.MAX.WARN:"{#FSNAME}"}%, total {{?last(//vfs.fs.dependent.size[{#FSNAME},total])/1024/1024/1024}.fmtnum(1)}GB)</t>
  </si>
  <si>
    <t>Linux: FS [{#FSNAME}]: 空间不足(已用 &gt; {$VFS.FS.PUSED.MAX.WARN: "{#FSNAME}"}%,总计 {{?last(//vfs.fs.dependent.size[{#FSNAME},total])/1024/1024/1024}.fmtnum(1)}GB)</t>
  </si>
  <si>
    <t>(3480/1794)</t>
  </si>
  <si>
    <t>(3480/1795)</t>
  </si>
  <si>
    <t>(3480/1796)</t>
  </si>
  <si>
    <t>(3480/1799)</t>
  </si>
  <si>
    <t>(3480/1800)</t>
  </si>
  <si>
    <t>(3480/1801)</t>
  </si>
  <si>
    <t>(3480/1802)</t>
  </si>
  <si>
    <t>(3480/1804)</t>
  </si>
  <si>
    <t>MSSQL: DB '{#DBNAME}': Diff backup older than {$MSSQL.BACKUP_DIFF.CRIT:"{#DBNAME}"}</t>
  </si>
  <si>
    <t>MSSQL: MSSQL DB '{#DBNAME}': 差异备份早于{$MSSQL.BACKUP_DIFF.CRIT: "{#DBNAME}"}</t>
  </si>
  <si>
    <t>(3480/1805)</t>
  </si>
  <si>
    <t>MSSQL: DB '{#DBNAME}': Diff backup older than {$MSSQL.BACKUP_DIFF.WARN:"{#DBNAME}"}</t>
  </si>
  <si>
    <t>MSSQL: MSSQL DB '{#DBNAME}': 差异备份早于{$MSSQL.BACKUP_DIFF.WARN: "{#DBNAME}"}</t>
  </si>
  <si>
    <t>(3480/1806)</t>
  </si>
  <si>
    <t>MSSQL: DB '{#DBNAME}': Full backup older than {$MSSQL.BACKUP_FULL.CRIT:"{#DBNAME}"}</t>
  </si>
  <si>
    <t>MSSQL: MSSQL DB '{#DBNAME}': 完整备份早于{$MSSQL.BACKUP_FULL.CRIT: "{#DBNAME}"}</t>
  </si>
  <si>
    <t>(3480/1807)</t>
  </si>
  <si>
    <t>MSSQL: DB '{#DBNAME}': Full backup older than {$MSSQL.BACKUP_FULL.WARN:"{#DBNAME}"}</t>
  </si>
  <si>
    <t>MSSQL: MSSQL DB '{#DBNAME}': 完整备份早于{$MSSQL.BACKUP_FULL.WARN: "{#DBNAME}"}</t>
  </si>
  <si>
    <t>(3480/1808)</t>
  </si>
  <si>
    <t>MSSQL: DB '{#DBNAME}': Log backup older than {$MSSQL.BACKUP_LOG.CRIT:"{#DBNAME}"}</t>
  </si>
  <si>
    <t>MSSQL: MSSQL DB '{#DBNAME}': 日志备份早于{$MSSQL.BACKUP_LOG.CRIT: "{#DBNAME}"}</t>
  </si>
  <si>
    <t>(3480/1809)</t>
  </si>
  <si>
    <t>MSSQL: DB '{#DBNAME}': Log backup older than {$MSSQL.BACKUP_LOG.WARN:"{#DBNAME}"}</t>
  </si>
  <si>
    <t>MSSQL: MSSQL DB '{#DBNAME}': 日志备份早于{$MSSQL.BACKUP_LOG.WARN: "{#DBNAME}"}</t>
  </si>
  <si>
    <t>(3480/1810)</t>
  </si>
  <si>
    <t>MSSQL: DB '{#DBNAME}': Total wait time to flush the log is high (over {$MSSQL.LOG_FLUSH_WAIT_TIME.MAX:"{#DBNAME}"}ms for 5m)</t>
  </si>
  <si>
    <t>MSSQL: MSSQL DB '{#DBNAME}': 刷新日志的总等待时间很长(超过{$MSSQL.LOG_FLUSH_WAIT_TIME.MAX: "{#DBNAME}"}毫秒达5分钟)</t>
  </si>
  <si>
    <t>(3480/1811)</t>
  </si>
  <si>
    <t>MSSQL: DB '{#DBNAME}': Number of commits waiting for the log flush is high (over {$MSSQL.LOG_FLUSH_WAITS.MAX:"{#DBNAME}"}/sec for 5m)</t>
  </si>
  <si>
    <t>MSSQL: MSSQL DB '{#DBNAME}': 等待日志刷新的提交数很高(超过{$MSSQL.LOG_FLUSH_WAITS.MAX: "{#DBNAME}"}/秒达5分钟)</t>
  </si>
  <si>
    <t>(3480/1812)</t>
  </si>
  <si>
    <t>MSSQL: DB '{#DBNAME}': Percent of log usage is high (over {$MSSQL.PERCENT_LOG_USED.MAX:"{#DBNAME}"}% for 5m)</t>
  </si>
  <si>
    <t>MSSQL: MSSQL DB '{#DBNAME}': 日志使用率过高(超过 {$MSSQL.PERCENT_LOG_USED.MAX: "{#DBNAME}"}%,达5分钟)</t>
  </si>
  <si>
    <t>(3480/1814)</t>
  </si>
  <si>
    <t>MSSQL: Job '{#JOBNAME}': Job duration is greater than {$MSSQL.BACKUP_DURATION.WARN:"{#JOBNAME}"}</t>
  </si>
  <si>
    <t>MSSQL: MSSQL任务"{#JOBNAME}": 任务持续时间大于{$MSSQL.BACKUP_DURATION.WARN: "{#JOBNAME}"}</t>
  </si>
  <si>
    <t>(3480/1836)</t>
  </si>
  <si>
    <t>(3480/1837)</t>
  </si>
  <si>
    <t>(3480/1838)</t>
  </si>
  <si>
    <t>23565</t>
  </si>
  <si>
    <t>(3480/1839)</t>
  </si>
  <si>
    <t>23566</t>
  </si>
  <si>
    <t>(3480/1840)</t>
  </si>
  <si>
    <t>23561</t>
  </si>
  <si>
    <t>(3480/1841)</t>
  </si>
  <si>
    <t>(3480/1842)</t>
  </si>
  <si>
    <t>23568</t>
  </si>
  <si>
    <t>(3480/1843)</t>
  </si>
  <si>
    <t>23567</t>
  </si>
  <si>
    <t>(3480/1844)</t>
  </si>
  <si>
    <t>(3480/1846)</t>
  </si>
  <si>
    <t>(3480/1868)</t>
  </si>
  <si>
    <t>Mellanox: Interface {#IFNAME}({#IFALIAS}): High error rate (&gt;{$IF.ERRORS.WARN:"{#IFNAME}"} for 5m)</t>
  </si>
  <si>
    <t>Mellanox: 接口{#IFNAME}({#IFALIAS}): 错误率太高(&gt;{$IF.ERRORS.WARN: "{#IFNAME}"}达5分钟)</t>
  </si>
  <si>
    <t>(3480/1869)</t>
  </si>
  <si>
    <t>Mellanox: Interface {#IFNAME}({#IFALIAS}): High bandwidth usage (&gt;{$IF.UTIL.MAX:"{#IFNAME}"}%)</t>
  </si>
  <si>
    <t>Mellanox: 接口{#IFNAME}({#IFALIAS}): 带宽使用率太高(&gt;{$IF.UTIL.MAX: "{#IFNAME}"}%)</t>
  </si>
  <si>
    <t>(3480/1874)</t>
  </si>
  <si>
    <t>Mellanox: {#SENSOR_INFO}: Temperature is above warning threshold: &gt;{$TEMP.MAX.WARN:"{#SENSOR_INFO}"}</t>
  </si>
  <si>
    <t>Mellanox: {#SENSOR_INFO}: 温度高于告警阈值: &gt;{$TEMP.MAX.WARN: "{#SENSOR_INFO}"}</t>
  </si>
  <si>
    <t>(3480/1875)</t>
  </si>
  <si>
    <t>Mellanox: {#SENSOR_INFO}: Temperature is above critical threshold: &gt;{$TEMP.MAX.CRIT:"{#SENSOR_INFO}"}</t>
  </si>
  <si>
    <t>Mellanox: {#SENSOR_INFO}: 温度高于临界阈值: &gt;{$TEMP.MAX.CRIT: "{#SENSOR_INFO}"}</t>
  </si>
  <si>
    <t>(3480/1876)</t>
  </si>
  <si>
    <t>Mellanox: {#SENSOR_INFO}: Temperature is too low: &lt;{$TEMP.MIN.CRIT:"{#SENSOR_INFO}"}</t>
  </si>
  <si>
    <t>Mellanox: {#SENSOR_INFO}: 温度太低: &lt;{$TEMP.MIN.CRIT: "{#SENSOR_INFO}"}</t>
  </si>
  <si>
    <t>(3480/1877)</t>
  </si>
  <si>
    <t>Mellanox: {#ENT_NAME}: Device has been replaced (new serial number received)</t>
  </si>
  <si>
    <t>Mellanox: {#ENT_NAME}: 设备已更换(收到新序列号)</t>
  </si>
  <si>
    <t>(3480/1878)</t>
  </si>
  <si>
    <t>Mellanox: {#FSNAME}: Disk space is critically low (used &gt; {$VFS.FS.PUSED.MAX.CRIT:"{#FSNAME}"}%)</t>
  </si>
  <si>
    <t>Mellanox: {#FSNAME}: 磁盘空间严重不足(已使用率&gt;{$VFS.FS.PUSED.MAX.CRIT: "{#FSNAME}"}%)</t>
  </si>
  <si>
    <t>(3480/1879)</t>
  </si>
  <si>
    <t>Mellanox: {#FSNAME}: Disk space is low (used &gt; {$VFS.FS.PUSED.MAX.WARN:"{#FSNAME}"}%)</t>
  </si>
  <si>
    <t>Mellanox: {#FSNAME}: 磁盘空间不足(已使用率&gt;{$VFS.FS.PUSED.MAX.WARN: "{#FSNAME}"}%)</t>
  </si>
  <si>
    <t>(3480/1880)</t>
  </si>
  <si>
    <t>Mellanox: {#MEMNAME}: High memory utilization (&gt;{$MEMORY.UTIL.MAX}% for 5m)</t>
  </si>
  <si>
    <t>Mellanox: {#MEMNAME}: 内存利用率高了(&gt;{$MEMORY.UTIL.MAX}%达5分钟)</t>
  </si>
  <si>
    <t>(3480/1883)</t>
  </si>
  <si>
    <t>MS Exchange 2016: Domain Controller [{#INSTANCE}]: LDAP read time is too high (&gt;{$MS.EXCHANGE.LDAP.WARN}s for {$MS.EXCHANGE.LDAP.TIME})</t>
  </si>
  <si>
    <t>MS Exchange 2016: 域控制器[{#INSTANCE}]: LDAP读取时间太长(&gt;{$MS.EXCHANGE.LDAP.WARN}秒达{$MS.EXCHANGE.LDAP.TIME})</t>
  </si>
  <si>
    <t>(3480/1884)</t>
  </si>
  <si>
    <t>MS Exchange 2016: Domain Controller [{#INSTANCE}]: LDAP search time is too high (&gt;{$MS.EXCHANGE.LDAP.WARN}s for {$MS.EXCHANGE.LDAP.TIME})</t>
  </si>
  <si>
    <t>MS Exchange 2016: 域控制器[{#INSTANCE}]: LDAP搜索时间太长(&gt;{$MS.EXCHANGE.LDAP.WARN}秒达{$MS.EXCHANGE.LDAP.TIME})</t>
  </si>
  <si>
    <t>(3480/1885)</t>
  </si>
  <si>
    <t>MS Exchange 2016: Database Counters [{#INSTANCE}]: Average read time latency is too high (&gt;{$MS.EXCHANGE.DB.ACTIVE.READ.WARN}s for {$MS.EXCHANGE.DB.ACTIVE.READ.TIME})</t>
  </si>
  <si>
    <t>MS Exchange 2016: 数据库计数器[{#INSTANCE}]: 平均读取时间延迟太高(&gt;{$MS.EXCHANGE.DB.ACTIVE.READ.TIME}达{$MS.EXCHANGE.DB.ACTIVE.READ.WARN}秒)</t>
  </si>
  <si>
    <t>(3480/1887)</t>
  </si>
  <si>
    <t>MS Exchange 2016: Database Counters [{#INSTANCE}]: Average read time latency is too high (&gt;{$MS.EXCHANGE.DB.PASSIVE.READ.WARN}s for {$MS.EXCHANGE.DB.PASSIVE.READ.TIME})</t>
  </si>
  <si>
    <t>MS Exchange 2016: 数据库计数器[{#INSTANCE}]: 平均读取时间延迟太高(&gt;{$MS.EXCHANGE.DB.PASSIVE.READ.TIME}达{$MS.EXCHANGE.DB.PASSIVE.READ.WARN}秒)</t>
  </si>
  <si>
    <t>(3480/1889)</t>
  </si>
  <si>
    <t>MS Exchange 2016: Information Store [{#INSTANCE}]: Page faults is too high (&gt;{$MS.EXCHANGE.DB.FAULTS.WARN} for {$MS.EXCHANGE.DB.FAULTS.TIME})</t>
  </si>
  <si>
    <t>MS Exchange 2016: 信息存储[{#INSTANCE}]: 页面错误太高(&gt;{$MS.EXCHANGE.DB.FAULTS.WARN}达{$MS.EXCHANGE.DB.FAULTS.TIME})</t>
  </si>
  <si>
    <t>(3480/1890)</t>
  </si>
  <si>
    <t>MS Exchange 2016: Information Store [{#INSTANCE}]: Log records stalls is too high (&gt;{$MS.EXCHANGE.LOG.STALLS.WARN} for {$MS.EXCHANGE.LOG.STALLS.TIME})</t>
  </si>
  <si>
    <t>MS Exchange 2016: 信息存储[{#INSTANCE}]: 日志记录停顿太高(&gt;{$MS.EXCHANGE.LOG.STALLS.WARN}达{$MS.EXCHANGE.LOG.STALLS.TIME})</t>
  </si>
  <si>
    <t>(3480/1891)</t>
  </si>
  <si>
    <t>MS Exchange 2016: Information Store [{#INSTANCE}]: RPC Requests latency is too high (&gt;{$MS.EXCHANGE.RPC.WARN}s for {$MS.EXCHANGE.RPC.TIME})</t>
  </si>
  <si>
    <t>MS Exchange 2016: 信息存储[{#INSTANCE}]: RPC请求延迟太高(&gt;{$MS.EXCHANGE.RPC.WARN}秒达{$MS.EXCHANGE.RPC.TIME})</t>
  </si>
  <si>
    <t>(3480/1892)</t>
  </si>
  <si>
    <t>MS Exchange 2016: Information Store [{#INSTANCE}]: RPC Requests total count is too high (&gt;{$MS.EXCHANGE.RPC.COUNT.WARN} for {$MS.EXCHANGE.RPC.COUNT.TIME})</t>
  </si>
  <si>
    <t>MS Exchange 2016: 信息存储[{#INSTANCE}]: RPC请求总数太高(&gt;{$MS.EXCHANGE.RPC.COUNT.TIME}达{$MS.EXCHANGE.RPC.COUNT.WARN})</t>
  </si>
  <si>
    <t>(3480/1893)</t>
  </si>
  <si>
    <t>(3480/1894)</t>
  </si>
  <si>
    <t>(3480/1895)</t>
  </si>
  <si>
    <t>(3480/1897)</t>
  </si>
  <si>
    <t>(3480/1899)</t>
  </si>
  <si>
    <t>(3480/1900)</t>
  </si>
  <si>
    <t>(3480/1901)</t>
  </si>
  <si>
    <t>(3480/1902)</t>
  </si>
  <si>
    <t>(3480/1904)</t>
  </si>
  <si>
    <t>MikroTik: Interface {#IFNAME}({#IFALIAS}): LTE modem RSRP is low (below {$LTEMODEM.RSRP.MIN.WARN}dbm for 5m)</t>
  </si>
  <si>
    <t>MikroTik: 接口{#IFNAME}({#IFALIAS}): LTE调制解调器RSRP低(低于{$LTEMODEM.RSRP.MIN.WARN}dbm5分钟)</t>
  </si>
  <si>
    <t>(3480/1905)</t>
  </si>
  <si>
    <t>MikroTik: Interface {#IFNAME}({#IFALIAS}): LTE modem RSRQ is low (below {$LTEMODEM.RSRQ.MIN.WARN}db for 5m)</t>
  </si>
  <si>
    <t>MikroTik: 接口{#IFNAME}({#IFALIAS}): LTE调制解调器RSRQ低(低于{$LTEMODEM.RSRQ.MIN.WARN}db5分钟)</t>
  </si>
  <si>
    <t>(3480/1906)</t>
  </si>
  <si>
    <t>MikroTik: Interface {#IFNAME}({#IFALIAS}): LTE modem RSSI is low (below {$LTEMODEM.RSSI.MIN.WARN}dbm for 5m)</t>
  </si>
  <si>
    <t>(3480/1907)</t>
  </si>
  <si>
    <t>MikroTik: Interface {#IFNAME}({#IFALIAS}): LTE modem SINR is low (below {$LTEMODEM.SINR.MIN.WARN}db for 5m)</t>
  </si>
  <si>
    <t>(3480/1908)</t>
  </si>
  <si>
    <t>MikroTik: Interface {#IFNAME}({#IFALIAS}): High error rate (&gt;{$IF.ERRORS.WARN:"{#IFNAME}"} for 5m)</t>
  </si>
  <si>
    <t>MikroTik: 接口{#IFNAME}({#IFALIAS}): 错误率太高(&gt;{$IF.ERRORS.WARN: "{#IFNAME}"}达5分钟)</t>
  </si>
  <si>
    <t>(3480/1909)</t>
  </si>
  <si>
    <t>MikroTik: Interface {#IFNAME}({#IFALIAS}): High bandwidth usage (&gt;{$IF.UTIL.MAX:"{#IFNAME}"}%)</t>
  </si>
  <si>
    <t>MikroTik: 接口{#IFNAME}({#IFALIAS}): 带宽使用率太高(&gt;{$IF.UTIL.MAX: "{#IFNAME}"}%)</t>
  </si>
  <si>
    <t>(3480/1912)</t>
  </si>
  <si>
    <t>24661</t>
  </si>
  <si>
    <t>MikroTik: CPU: Temperature is above critical threshold: &gt;{$TEMP_CRIT:"CPU"}</t>
  </si>
  <si>
    <t>MikroTik: CPU: 温度高于临界阈值: &gt;{$TEMP_CRIT: "CPU"}</t>
  </si>
  <si>
    <t>(3480/1913)</t>
  </si>
  <si>
    <t>24662</t>
  </si>
  <si>
    <t>MikroTik: CPU: Temperature is above warning threshold: &gt;{$TEMP_WARN:"CPU"}</t>
  </si>
  <si>
    <t>MikroTik: CPU: 温度高于告警阈值: &gt;{$TEMP_WARN: "CPU"}</t>
  </si>
  <si>
    <t>(3480/1914)</t>
  </si>
  <si>
    <t>24663</t>
  </si>
  <si>
    <t>MikroTik: CPU: Temperature is too low: &lt;{$TEMP_CRIT_LOW:"CPU"}</t>
  </si>
  <si>
    <t>MikroTik: CPU: 温度太低: &lt;{$TEMP_CRIT_LOW: "CPU"}</t>
  </si>
  <si>
    <t>(3480/1915)</t>
  </si>
  <si>
    <t>24664</t>
  </si>
  <si>
    <t>MikroTik: Device: Temperature is above critical threshold: &gt;{$TEMP_CRIT:"Device"}</t>
  </si>
  <si>
    <t>MikroTik: 设备: 温度高于临界阈值: 大于{$TEMP_CRIT: 设备}</t>
  </si>
  <si>
    <t>(3480/1916)</t>
  </si>
  <si>
    <t>24665</t>
  </si>
  <si>
    <t>MikroTik: Device: Temperature is above warning threshold: &gt;{$TEMP_WARN:"Device"}</t>
  </si>
  <si>
    <t>MikroTik: 设备: 温度高于警告阈值: 大于{$TEMP_WARN: 设备}</t>
  </si>
  <si>
    <t>(3480/1917)</t>
  </si>
  <si>
    <t>24666</t>
  </si>
  <si>
    <t>MikroTik: Device: Temperature is too low: &lt;{$TEMP_CRIT_LOW:"Device"}</t>
  </si>
  <si>
    <t>MikroTik: 设备: 温度过低: 小于{$TEMP_CRIT_LOW: 设备}</t>
  </si>
  <si>
    <t>(3480/1919)</t>
  </si>
  <si>
    <t>MikroTik: #{#SNMPINDEX}: High CPU utilization (over {$CPU.UTIL.CRIT}% for 5m)</t>
  </si>
  <si>
    <t>MikroTik: #{#SNMPINDEX}: CPU使用率高了(超过{$CPU.UTIL.CRIT}%达5分钟)</t>
  </si>
  <si>
    <t>(3480/1920)</t>
  </si>
  <si>
    <t>MikroTik: Disk-{#SNMPINDEX}: Disk space is critically low (used &gt; {$VFS.FS.PUSED.MAX.CRIT:"Disk-{#SNMPINDEX}"}%)</t>
  </si>
  <si>
    <t>MikroTik: 磁盘-{#SNMPINDEX}: 磁盘空间严重不足(已使用空间大于{$VFS.FS.PUSED.MAX.CRIT: 磁盘-"{#SNMPINDEX}"}%)</t>
  </si>
  <si>
    <t>(3480/1921)</t>
  </si>
  <si>
    <t>MikroTik: Disk-{#SNMPINDEX}: Disk space is low (used &gt; {$VFS.FS.PUSED.MAX.WARN:"Disk-{#SNMPINDEX}"}%)</t>
  </si>
  <si>
    <t>MikroTik: 磁盘-{#SNMPINDEX}: 磁盘空间不足(已使用空间大于{$VFS.FS.PUSED.MAX.WARN: 磁盘-"{#SNMPINDEX}"}%)</t>
  </si>
  <si>
    <t>(3480/1922)</t>
  </si>
  <si>
    <t>(3480/1923)</t>
  </si>
  <si>
    <t>(3480/1924)</t>
  </si>
  <si>
    <t>(3480/1925)</t>
  </si>
  <si>
    <t>(3480/1926)</t>
  </si>
  <si>
    <t>(3480/1927)</t>
  </si>
  <si>
    <t>(3480/1930)</t>
  </si>
  <si>
    <t>24655</t>
  </si>
  <si>
    <t>(3480/1931)</t>
  </si>
  <si>
    <t>24656</t>
  </si>
  <si>
    <t>(3480/1932)</t>
  </si>
  <si>
    <t>24657</t>
  </si>
  <si>
    <t>(3480/1933)</t>
  </si>
  <si>
    <t>24658</t>
  </si>
  <si>
    <t>(3480/1934)</t>
  </si>
  <si>
    <t>24659</t>
  </si>
  <si>
    <t>(3480/1935)</t>
  </si>
  <si>
    <t>24660</t>
  </si>
  <si>
    <t>(3480/1937)</t>
  </si>
  <si>
    <t>(3480/1938)</t>
  </si>
  <si>
    <t>(3480/1939)</t>
  </si>
  <si>
    <t>(3480/1940)</t>
  </si>
  <si>
    <t>(3480/1941)</t>
  </si>
  <si>
    <t>(3480/1942)</t>
  </si>
  <si>
    <t>(3480/1943)</t>
  </si>
  <si>
    <t>(3480/1944)</t>
  </si>
  <si>
    <t>(3480/1945)</t>
  </si>
  <si>
    <t>(3480/1948)</t>
  </si>
  <si>
    <t>24667</t>
  </si>
  <si>
    <t>(3480/1949)</t>
  </si>
  <si>
    <t>24668</t>
  </si>
  <si>
    <t>(3480/1950)</t>
  </si>
  <si>
    <t>24669</t>
  </si>
  <si>
    <t>(3480/1951)</t>
  </si>
  <si>
    <t>24670</t>
  </si>
  <si>
    <t>(3480/1952)</t>
  </si>
  <si>
    <t>24671</t>
  </si>
  <si>
    <t>(3480/1953)</t>
  </si>
  <si>
    <t>24672</t>
  </si>
  <si>
    <t>(3480/1955)</t>
  </si>
  <si>
    <t>(3480/1956)</t>
  </si>
  <si>
    <t>(3480/1957)</t>
  </si>
  <si>
    <t>(3480/1958)</t>
  </si>
  <si>
    <t>(3480/1959)</t>
  </si>
  <si>
    <t>(3480/1960)</t>
  </si>
  <si>
    <t>(3480/1961)</t>
  </si>
  <si>
    <t>(3480/1962)</t>
  </si>
  <si>
    <t>(3480/1963)</t>
  </si>
  <si>
    <t>(3480/1966)</t>
  </si>
  <si>
    <t>24673</t>
  </si>
  <si>
    <t>(3480/1967)</t>
  </si>
  <si>
    <t>24674</t>
  </si>
  <si>
    <t>(3480/1968)</t>
  </si>
  <si>
    <t>24675</t>
  </si>
  <si>
    <t>(3480/1969)</t>
  </si>
  <si>
    <t>24676</t>
  </si>
  <si>
    <t>(3480/1970)</t>
  </si>
  <si>
    <t>24677</t>
  </si>
  <si>
    <t>(3480/1971)</t>
  </si>
  <si>
    <t>24678</t>
  </si>
  <si>
    <t>(3480/1973)</t>
  </si>
  <si>
    <t>(3480/1974)</t>
  </si>
  <si>
    <t>(3480/1975)</t>
  </si>
  <si>
    <t>(3480/1976)</t>
  </si>
  <si>
    <t>(3480/1977)</t>
  </si>
  <si>
    <t>(3480/1978)</t>
  </si>
  <si>
    <t>(3480/1979)</t>
  </si>
  <si>
    <t>(3480/1980)</t>
  </si>
  <si>
    <t>(3480/1981)</t>
  </si>
  <si>
    <t>(3480/1984)</t>
  </si>
  <si>
    <t>24679</t>
  </si>
  <si>
    <t>(3480/1985)</t>
  </si>
  <si>
    <t>24680</t>
  </si>
  <si>
    <t>(3480/1986)</t>
  </si>
  <si>
    <t>24681</t>
  </si>
  <si>
    <t>(3480/1987)</t>
  </si>
  <si>
    <t>24682</t>
  </si>
  <si>
    <t>(3480/1988)</t>
  </si>
  <si>
    <t>24683</t>
  </si>
  <si>
    <t>(3480/1989)</t>
  </si>
  <si>
    <t>24684</t>
  </si>
  <si>
    <t>(3480/1991)</t>
  </si>
  <si>
    <t>(3480/1992)</t>
  </si>
  <si>
    <t>(3480/1993)</t>
  </si>
  <si>
    <t>(3480/1994)</t>
  </si>
  <si>
    <t>(3480/1995)</t>
  </si>
  <si>
    <t>(3480/1996)</t>
  </si>
  <si>
    <t>(3480/1997)</t>
  </si>
  <si>
    <t>(3480/1998)</t>
  </si>
  <si>
    <t>(3480/1999)</t>
  </si>
  <si>
    <t>(3480/2002)</t>
  </si>
  <si>
    <t>24691</t>
  </si>
  <si>
    <t>(3480/2003)</t>
  </si>
  <si>
    <t>24692</t>
  </si>
  <si>
    <t>(3480/2004)</t>
  </si>
  <si>
    <t>24693</t>
  </si>
  <si>
    <t>(3480/2005)</t>
  </si>
  <si>
    <t>24694</t>
  </si>
  <si>
    <t>(3480/2006)</t>
  </si>
  <si>
    <t>24695</t>
  </si>
  <si>
    <t>(3480/2007)</t>
  </si>
  <si>
    <t>24696</t>
  </si>
  <si>
    <t>(3480/2009)</t>
  </si>
  <si>
    <t>(3480/2010)</t>
  </si>
  <si>
    <t>(3480/2011)</t>
  </si>
  <si>
    <t>(3480/2012)</t>
  </si>
  <si>
    <t>(3480/2013)</t>
  </si>
  <si>
    <t>(3480/2014)</t>
  </si>
  <si>
    <t>(3480/2015)</t>
  </si>
  <si>
    <t>(3480/2016)</t>
  </si>
  <si>
    <t>(3480/2017)</t>
  </si>
  <si>
    <t>(3480/2020)</t>
  </si>
  <si>
    <t>24685</t>
  </si>
  <si>
    <t>(3480/2021)</t>
  </si>
  <si>
    <t>24686</t>
  </si>
  <si>
    <t>(3480/2022)</t>
  </si>
  <si>
    <t>24687</t>
  </si>
  <si>
    <t>(3480/2023)</t>
  </si>
  <si>
    <t>24688</t>
  </si>
  <si>
    <t>(3480/2024)</t>
  </si>
  <si>
    <t>24689</t>
  </si>
  <si>
    <t>(3480/2025)</t>
  </si>
  <si>
    <t>24690</t>
  </si>
  <si>
    <t>(3480/2027)</t>
  </si>
  <si>
    <t>(3480/2028)</t>
  </si>
  <si>
    <t>(3480/2029)</t>
  </si>
  <si>
    <t>(3480/2030)</t>
  </si>
  <si>
    <t>(3480/2031)</t>
  </si>
  <si>
    <t>(3480/2032)</t>
  </si>
  <si>
    <t>(3480/2033)</t>
  </si>
  <si>
    <t>(3480/2034)</t>
  </si>
  <si>
    <t>(3480/2035)</t>
  </si>
  <si>
    <t>(3480/2038)</t>
  </si>
  <si>
    <t>24703</t>
  </si>
  <si>
    <t>(3480/2039)</t>
  </si>
  <si>
    <t>24704</t>
  </si>
  <si>
    <t>(3480/2040)</t>
  </si>
  <si>
    <t>24705</t>
  </si>
  <si>
    <t>(3480/2041)</t>
  </si>
  <si>
    <t>24706</t>
  </si>
  <si>
    <t>(3480/2042)</t>
  </si>
  <si>
    <t>24707</t>
  </si>
  <si>
    <t>(3480/2043)</t>
  </si>
  <si>
    <t>24708</t>
  </si>
  <si>
    <t>(3480/2045)</t>
  </si>
  <si>
    <t>(3480/2046)</t>
  </si>
  <si>
    <t>(3480/2047)</t>
  </si>
  <si>
    <t>(3480/2048)</t>
  </si>
  <si>
    <t>(3480/2049)</t>
  </si>
  <si>
    <t>(3480/2050)</t>
  </si>
  <si>
    <t>(3480/2051)</t>
  </si>
  <si>
    <t>(3480/2052)</t>
  </si>
  <si>
    <t>(3480/2053)</t>
  </si>
  <si>
    <t>(3480/2056)</t>
  </si>
  <si>
    <t>24697</t>
  </si>
  <si>
    <t>(3480/2057)</t>
  </si>
  <si>
    <t>24698</t>
  </si>
  <si>
    <t>(3480/2058)</t>
  </si>
  <si>
    <t>24699</t>
  </si>
  <si>
    <t>(3480/2059)</t>
  </si>
  <si>
    <t>24700</t>
  </si>
  <si>
    <t>(3480/2060)</t>
  </si>
  <si>
    <t>24701</t>
  </si>
  <si>
    <t>(3480/2061)</t>
  </si>
  <si>
    <t>24702</t>
  </si>
  <si>
    <t>(3480/2063)</t>
  </si>
  <si>
    <t>(3480/2064)</t>
  </si>
  <si>
    <t>(3480/2065)</t>
  </si>
  <si>
    <t>(3480/2066)</t>
  </si>
  <si>
    <t>(3480/2067)</t>
  </si>
  <si>
    <t>(3480/2068)</t>
  </si>
  <si>
    <t>(3480/2069)</t>
  </si>
  <si>
    <t>(3480/2070)</t>
  </si>
  <si>
    <t>(3480/2071)</t>
  </si>
  <si>
    <t>(3480/2074)</t>
  </si>
  <si>
    <t>24709</t>
  </si>
  <si>
    <t>(3480/2075)</t>
  </si>
  <si>
    <t>24710</t>
  </si>
  <si>
    <t>(3480/2076)</t>
  </si>
  <si>
    <t>24711</t>
  </si>
  <si>
    <t>(3480/2077)</t>
  </si>
  <si>
    <t>24712</t>
  </si>
  <si>
    <t>(3480/2078)</t>
  </si>
  <si>
    <t>24713</t>
  </si>
  <si>
    <t>(3480/2079)</t>
  </si>
  <si>
    <t>24714</t>
  </si>
  <si>
    <t>(3480/2081)</t>
  </si>
  <si>
    <t>(3480/2082)</t>
  </si>
  <si>
    <t>(3480/2083)</t>
  </si>
  <si>
    <t>(3480/2084)</t>
  </si>
  <si>
    <t>(3480/2085)</t>
  </si>
  <si>
    <t>(3480/2086)</t>
  </si>
  <si>
    <t>(3480/2087)</t>
  </si>
  <si>
    <t>(3480/2088)</t>
  </si>
  <si>
    <t>(3480/2089)</t>
  </si>
  <si>
    <t>(3480/2092)</t>
  </si>
  <si>
    <t>24715</t>
  </si>
  <si>
    <t>(3480/2093)</t>
  </si>
  <si>
    <t>24716</t>
  </si>
  <si>
    <t>(3480/2094)</t>
  </si>
  <si>
    <t>24717</t>
  </si>
  <si>
    <t>(3480/2095)</t>
  </si>
  <si>
    <t>24718</t>
  </si>
  <si>
    <t>(3480/2096)</t>
  </si>
  <si>
    <t>24719</t>
  </si>
  <si>
    <t>(3480/2097)</t>
  </si>
  <si>
    <t>24720</t>
  </si>
  <si>
    <t>(3480/2099)</t>
  </si>
  <si>
    <t>(3480/2100)</t>
  </si>
  <si>
    <t>(3480/2101)</t>
  </si>
  <si>
    <t>(3480/2102)</t>
  </si>
  <si>
    <t>(3480/2103)</t>
  </si>
  <si>
    <t>(3480/2104)</t>
  </si>
  <si>
    <t>(3480/2105)</t>
  </si>
  <si>
    <t>(3480/2106)</t>
  </si>
  <si>
    <t>(3480/2107)</t>
  </si>
  <si>
    <t>(3480/2110)</t>
  </si>
  <si>
    <t>24721</t>
  </si>
  <si>
    <t>(3480/2111)</t>
  </si>
  <si>
    <t>24722</t>
  </si>
  <si>
    <t>(3480/2112)</t>
  </si>
  <si>
    <t>24723</t>
  </si>
  <si>
    <t>(3480/2113)</t>
  </si>
  <si>
    <t>24724</t>
  </si>
  <si>
    <t>(3480/2114)</t>
  </si>
  <si>
    <t>24725</t>
  </si>
  <si>
    <t>(3480/2115)</t>
  </si>
  <si>
    <t>24726</t>
  </si>
  <si>
    <t>(3480/2117)</t>
  </si>
  <si>
    <t>(3480/2118)</t>
  </si>
  <si>
    <t>(3480/2119)</t>
  </si>
  <si>
    <t>(3480/2120)</t>
  </si>
  <si>
    <t>(3480/2121)</t>
  </si>
  <si>
    <t>(3480/2122)</t>
  </si>
  <si>
    <t>(3480/2123)</t>
  </si>
  <si>
    <t>(3480/2124)</t>
  </si>
  <si>
    <t>(3480/2125)</t>
  </si>
  <si>
    <t>(3480/2128)</t>
  </si>
  <si>
    <t>24727</t>
  </si>
  <si>
    <t>(3480/2129)</t>
  </si>
  <si>
    <t>24728</t>
  </si>
  <si>
    <t>(3480/2130)</t>
  </si>
  <si>
    <t>24729</t>
  </si>
  <si>
    <t>(3480/2131)</t>
  </si>
  <si>
    <t>24730</t>
  </si>
  <si>
    <t>(3480/2132)</t>
  </si>
  <si>
    <t>24731</t>
  </si>
  <si>
    <t>(3480/2133)</t>
  </si>
  <si>
    <t>24732</t>
  </si>
  <si>
    <t>(3480/2135)</t>
  </si>
  <si>
    <t>(3480/2136)</t>
  </si>
  <si>
    <t>(3480/2137)</t>
  </si>
  <si>
    <t>(3480/2138)</t>
  </si>
  <si>
    <t>(3480/2139)</t>
  </si>
  <si>
    <t>(3480/2140)</t>
  </si>
  <si>
    <t>(3480/2141)</t>
  </si>
  <si>
    <t>(3480/2142)</t>
  </si>
  <si>
    <t>(3480/2143)</t>
  </si>
  <si>
    <t>(3480/2146)</t>
  </si>
  <si>
    <t>24733</t>
  </si>
  <si>
    <t>(3480/2147)</t>
  </si>
  <si>
    <t>24734</t>
  </si>
  <si>
    <t>(3480/2148)</t>
  </si>
  <si>
    <t>24735</t>
  </si>
  <si>
    <t>(3480/2149)</t>
  </si>
  <si>
    <t>24736</t>
  </si>
  <si>
    <t>(3480/2150)</t>
  </si>
  <si>
    <t>24737</t>
  </si>
  <si>
    <t>(3480/2151)</t>
  </si>
  <si>
    <t>24738</t>
  </si>
  <si>
    <t>(3480/2153)</t>
  </si>
  <si>
    <t>(3480/2154)</t>
  </si>
  <si>
    <t>(3480/2155)</t>
  </si>
  <si>
    <t>(3480/2156)</t>
  </si>
  <si>
    <t>(3480/2157)</t>
  </si>
  <si>
    <t>(3480/2158)</t>
  </si>
  <si>
    <t>(3480/2159)</t>
  </si>
  <si>
    <t>(3480/2160)</t>
  </si>
  <si>
    <t>(3480/2161)</t>
  </si>
  <si>
    <t>(3480/2164)</t>
  </si>
  <si>
    <t>24739</t>
  </si>
  <si>
    <t>(3480/2165)</t>
  </si>
  <si>
    <t>24740</t>
  </si>
  <si>
    <t>(3480/2166)</t>
  </si>
  <si>
    <t>24741</t>
  </si>
  <si>
    <t>(3480/2167)</t>
  </si>
  <si>
    <t>24742</t>
  </si>
  <si>
    <t>(3480/2168)</t>
  </si>
  <si>
    <t>24743</t>
  </si>
  <si>
    <t>(3480/2169)</t>
  </si>
  <si>
    <t>24744</t>
  </si>
  <si>
    <t>(3480/2171)</t>
  </si>
  <si>
    <t>(3480/2172)</t>
  </si>
  <si>
    <t>(3480/2173)</t>
  </si>
  <si>
    <t>(3480/2174)</t>
  </si>
  <si>
    <t>(3480/2175)</t>
  </si>
  <si>
    <t>(3480/2176)</t>
  </si>
  <si>
    <t>(3480/2177)</t>
  </si>
  <si>
    <t>(3480/2178)</t>
  </si>
  <si>
    <t>(3480/2179)</t>
  </si>
  <si>
    <t>(3480/2182)</t>
  </si>
  <si>
    <t>24745</t>
  </si>
  <si>
    <t>(3480/2183)</t>
  </si>
  <si>
    <t>24746</t>
  </si>
  <si>
    <t>(3480/2184)</t>
  </si>
  <si>
    <t>24747</t>
  </si>
  <si>
    <t>(3480/2185)</t>
  </si>
  <si>
    <t>24748</t>
  </si>
  <si>
    <t>(3480/2186)</t>
  </si>
  <si>
    <t>24749</t>
  </si>
  <si>
    <t>(3480/2187)</t>
  </si>
  <si>
    <t>24750</t>
  </si>
  <si>
    <t>(3480/2189)</t>
  </si>
  <si>
    <t>(3480/2190)</t>
  </si>
  <si>
    <t>(3480/2191)</t>
  </si>
  <si>
    <t>(3480/2192)</t>
  </si>
  <si>
    <t>(3480/2193)</t>
  </si>
  <si>
    <t>(3480/2194)</t>
  </si>
  <si>
    <t>(3480/2195)</t>
  </si>
  <si>
    <t>(3480/2196)</t>
  </si>
  <si>
    <t>(3480/2197)</t>
  </si>
  <si>
    <t>(3480/2200)</t>
  </si>
  <si>
    <t>24751</t>
  </si>
  <si>
    <t>(3480/2201)</t>
  </si>
  <si>
    <t>24752</t>
  </si>
  <si>
    <t>(3480/2202)</t>
  </si>
  <si>
    <t>24753</t>
  </si>
  <si>
    <t>(3480/2203)</t>
  </si>
  <si>
    <t>24754</t>
  </si>
  <si>
    <t>(3480/2204)</t>
  </si>
  <si>
    <t>24755</t>
  </si>
  <si>
    <t>(3480/2205)</t>
  </si>
  <si>
    <t>24756</t>
  </si>
  <si>
    <t>(3480/2207)</t>
  </si>
  <si>
    <t>(3480/2208)</t>
  </si>
  <si>
    <t>(3480/2209)</t>
  </si>
  <si>
    <t>(3480/2210)</t>
  </si>
  <si>
    <t>(3480/2211)</t>
  </si>
  <si>
    <t>(3480/2212)</t>
  </si>
  <si>
    <t>(3480/2213)</t>
  </si>
  <si>
    <t>(3480/2214)</t>
  </si>
  <si>
    <t>(3480/2215)</t>
  </si>
  <si>
    <t>(3480/2218)</t>
  </si>
  <si>
    <t>24757</t>
  </si>
  <si>
    <t>(3480/2219)</t>
  </si>
  <si>
    <t>24758</t>
  </si>
  <si>
    <t>(3480/2220)</t>
  </si>
  <si>
    <t>24759</t>
  </si>
  <si>
    <t>(3480/2221)</t>
  </si>
  <si>
    <t>24760</t>
  </si>
  <si>
    <t>(3480/2222)</t>
  </si>
  <si>
    <t>24761</t>
  </si>
  <si>
    <t>(3480/2223)</t>
  </si>
  <si>
    <t>24762</t>
  </si>
  <si>
    <t>(3480/2225)</t>
  </si>
  <si>
    <t>(3480/2226)</t>
  </si>
  <si>
    <t>(3480/2227)</t>
  </si>
  <si>
    <t>(3480/2228)</t>
  </si>
  <si>
    <t>(3480/2229)</t>
  </si>
  <si>
    <t>(3480/2230)</t>
  </si>
  <si>
    <t>(3480/2231)</t>
  </si>
  <si>
    <t>(3480/2232)</t>
  </si>
  <si>
    <t>(3480/2233)</t>
  </si>
  <si>
    <t>(3480/2236)</t>
  </si>
  <si>
    <t>24763</t>
  </si>
  <si>
    <t>(3480/2237)</t>
  </si>
  <si>
    <t>24764</t>
  </si>
  <si>
    <t>(3480/2238)</t>
  </si>
  <si>
    <t>24765</t>
  </si>
  <si>
    <t>(3480/2239)</t>
  </si>
  <si>
    <t>24766</t>
  </si>
  <si>
    <t>(3480/2240)</t>
  </si>
  <si>
    <t>24767</t>
  </si>
  <si>
    <t>(3480/2241)</t>
  </si>
  <si>
    <t>24768</t>
  </si>
  <si>
    <t>(3480/2243)</t>
  </si>
  <si>
    <t>(3480/2244)</t>
  </si>
  <si>
    <t>(3480/2245)</t>
  </si>
  <si>
    <t>(3480/2246)</t>
  </si>
  <si>
    <t>(3480/2247)</t>
  </si>
  <si>
    <t>(3480/2248)</t>
  </si>
  <si>
    <t>(3480/2249)</t>
  </si>
  <si>
    <t>(3480/2250)</t>
  </si>
  <si>
    <t>(3480/2251)</t>
  </si>
  <si>
    <t>(3480/2254)</t>
  </si>
  <si>
    <t>24769</t>
  </si>
  <si>
    <t>(3480/2255)</t>
  </si>
  <si>
    <t>24770</t>
  </si>
  <si>
    <t>(3480/2256)</t>
  </si>
  <si>
    <t>24771</t>
  </si>
  <si>
    <t>(3480/2257)</t>
  </si>
  <si>
    <t>24772</t>
  </si>
  <si>
    <t>(3480/2258)</t>
  </si>
  <si>
    <t>24773</t>
  </si>
  <si>
    <t>(3480/2259)</t>
  </si>
  <si>
    <t>24774</t>
  </si>
  <si>
    <t>(3480/2261)</t>
  </si>
  <si>
    <t>(3480/2262)</t>
  </si>
  <si>
    <t>(3480/2263)</t>
  </si>
  <si>
    <t>(3480/2264)</t>
  </si>
  <si>
    <t>(3480/2265)</t>
  </si>
  <si>
    <t>(3480/2266)</t>
  </si>
  <si>
    <t>(3480/2267)</t>
  </si>
  <si>
    <t>(3480/2268)</t>
  </si>
  <si>
    <t>(3480/2269)</t>
  </si>
  <si>
    <t>(3480/2272)</t>
  </si>
  <si>
    <t>24775</t>
  </si>
  <si>
    <t>(3480/2273)</t>
  </si>
  <si>
    <t>24776</t>
  </si>
  <si>
    <t>(3480/2274)</t>
  </si>
  <si>
    <t>24777</t>
  </si>
  <si>
    <t>(3480/2275)</t>
  </si>
  <si>
    <t>24778</t>
  </si>
  <si>
    <t>(3480/2276)</t>
  </si>
  <si>
    <t>24779</t>
  </si>
  <si>
    <t>(3480/2277)</t>
  </si>
  <si>
    <t>24780</t>
  </si>
  <si>
    <t>(3480/2279)</t>
  </si>
  <si>
    <t>(3480/2280)</t>
  </si>
  <si>
    <t>(3480/2281)</t>
  </si>
  <si>
    <t>(3480/2282)</t>
  </si>
  <si>
    <t>(3480/2283)</t>
  </si>
  <si>
    <t>(3480/2284)</t>
  </si>
  <si>
    <t>(3480/2285)</t>
  </si>
  <si>
    <t>(3480/2286)</t>
  </si>
  <si>
    <t>(3480/2287)</t>
  </si>
  <si>
    <t>(3480/2290)</t>
  </si>
  <si>
    <t>24781</t>
  </si>
  <si>
    <t>(3480/2291)</t>
  </si>
  <si>
    <t>24782</t>
  </si>
  <si>
    <t>(3480/2292)</t>
  </si>
  <si>
    <t>24783</t>
  </si>
  <si>
    <t>(3480/2293)</t>
  </si>
  <si>
    <t>24784</t>
  </si>
  <si>
    <t>(3480/2294)</t>
  </si>
  <si>
    <t>24785</t>
  </si>
  <si>
    <t>(3480/2295)</t>
  </si>
  <si>
    <t>24786</t>
  </si>
  <si>
    <t>(3480/2297)</t>
  </si>
  <si>
    <t>(3480/2298)</t>
  </si>
  <si>
    <t>(3480/2299)</t>
  </si>
  <si>
    <t>(3480/2300)</t>
  </si>
  <si>
    <t>(3480/2301)</t>
  </si>
  <si>
    <t>(3480/2302)</t>
  </si>
  <si>
    <t>(3480/2303)</t>
  </si>
  <si>
    <t>(3480/2304)</t>
  </si>
  <si>
    <t>(3480/2305)</t>
  </si>
  <si>
    <t>(3480/2308)</t>
  </si>
  <si>
    <t>24787</t>
  </si>
  <si>
    <t>(3480/2309)</t>
  </si>
  <si>
    <t>24788</t>
  </si>
  <si>
    <t>(3480/2310)</t>
  </si>
  <si>
    <t>24789</t>
  </si>
  <si>
    <t>(3480/2311)</t>
  </si>
  <si>
    <t>24790</t>
  </si>
  <si>
    <t>(3480/2312)</t>
  </si>
  <si>
    <t>24791</t>
  </si>
  <si>
    <t>(3480/2313)</t>
  </si>
  <si>
    <t>24792</t>
  </si>
  <si>
    <t>(3480/2315)</t>
  </si>
  <si>
    <t>(3480/2316)</t>
  </si>
  <si>
    <t>(3480/2317)</t>
  </si>
  <si>
    <t>(3480/2318)</t>
  </si>
  <si>
    <t>(3480/2319)</t>
  </si>
  <si>
    <t>(3480/2320)</t>
  </si>
  <si>
    <t>(3480/2321)</t>
  </si>
  <si>
    <t>(3480/2322)</t>
  </si>
  <si>
    <t>(3480/2323)</t>
  </si>
  <si>
    <t>(3480/2326)</t>
  </si>
  <si>
    <t>24793</t>
  </si>
  <si>
    <t>(3480/2327)</t>
  </si>
  <si>
    <t>24794</t>
  </si>
  <si>
    <t>(3480/2328)</t>
  </si>
  <si>
    <t>24795</t>
  </si>
  <si>
    <t>(3480/2329)</t>
  </si>
  <si>
    <t>24796</t>
  </si>
  <si>
    <t>(3480/2330)</t>
  </si>
  <si>
    <t>24797</t>
  </si>
  <si>
    <t>(3480/2331)</t>
  </si>
  <si>
    <t>24798</t>
  </si>
  <si>
    <t>(3480/2333)</t>
  </si>
  <si>
    <t>(3480/2334)</t>
  </si>
  <si>
    <t>(3480/2335)</t>
  </si>
  <si>
    <t>(3480/2336)</t>
  </si>
  <si>
    <t>(3480/2337)</t>
  </si>
  <si>
    <t>(3480/2338)</t>
  </si>
  <si>
    <t>(3480/2339)</t>
  </si>
  <si>
    <t>(3480/2340)</t>
  </si>
  <si>
    <t>(3480/2341)</t>
  </si>
  <si>
    <t>(3480/2344)</t>
  </si>
  <si>
    <t>24799</t>
  </si>
  <si>
    <t>(3480/2345)</t>
  </si>
  <si>
    <t>24800</t>
  </si>
  <si>
    <t>(3480/2346)</t>
  </si>
  <si>
    <t>24801</t>
  </si>
  <si>
    <t>(3480/2347)</t>
  </si>
  <si>
    <t>24802</t>
  </si>
  <si>
    <t>(3480/2348)</t>
  </si>
  <si>
    <t>24803</t>
  </si>
  <si>
    <t>(3480/2349)</t>
  </si>
  <si>
    <t>24804</t>
  </si>
  <si>
    <t>(3480/2351)</t>
  </si>
  <si>
    <t>(3480/2352)</t>
  </si>
  <si>
    <t>(3480/2353)</t>
  </si>
  <si>
    <t>(3480/2354)</t>
  </si>
  <si>
    <t>(3480/2355)</t>
  </si>
  <si>
    <t>(3480/2356)</t>
  </si>
  <si>
    <t>(3480/2357)</t>
  </si>
  <si>
    <t>(3480/2358)</t>
  </si>
  <si>
    <t>(3480/2359)</t>
  </si>
  <si>
    <t>(3480/2362)</t>
  </si>
  <si>
    <t>24805</t>
  </si>
  <si>
    <t>(3480/2363)</t>
  </si>
  <si>
    <t>24806</t>
  </si>
  <si>
    <t>(3480/2364)</t>
  </si>
  <si>
    <t>24807</t>
  </si>
  <si>
    <t>(3480/2365)</t>
  </si>
  <si>
    <t>24808</t>
  </si>
  <si>
    <t>(3480/2366)</t>
  </si>
  <si>
    <t>24809</t>
  </si>
  <si>
    <t>(3480/2367)</t>
  </si>
  <si>
    <t>24810</t>
  </si>
  <si>
    <t>(3480/2369)</t>
  </si>
  <si>
    <t>(3480/2370)</t>
  </si>
  <si>
    <t>(3480/2371)</t>
  </si>
  <si>
    <t>(3480/2372)</t>
  </si>
  <si>
    <t>(3480/2373)</t>
  </si>
  <si>
    <t>(3480/2374)</t>
  </si>
  <si>
    <t>(3480/2375)</t>
  </si>
  <si>
    <t>(3480/2376)</t>
  </si>
  <si>
    <t>(3480/2377)</t>
  </si>
  <si>
    <t>(3480/2380)</t>
  </si>
  <si>
    <t>24811</t>
  </si>
  <si>
    <t>(3480/2381)</t>
  </si>
  <si>
    <t>24812</t>
  </si>
  <si>
    <t>(3480/2382)</t>
  </si>
  <si>
    <t>24813</t>
  </si>
  <si>
    <t>(3480/2383)</t>
  </si>
  <si>
    <t>24814</t>
  </si>
  <si>
    <t>(3480/2384)</t>
  </si>
  <si>
    <t>24815</t>
  </si>
  <si>
    <t>(3480/2385)</t>
  </si>
  <si>
    <t>24816</t>
  </si>
  <si>
    <t>(3480/2387)</t>
  </si>
  <si>
    <t>(3480/2388)</t>
  </si>
  <si>
    <t>(3480/2389)</t>
  </si>
  <si>
    <t>(3480/2390)</t>
  </si>
  <si>
    <t>(3480/2391)</t>
  </si>
  <si>
    <t>(3480/2392)</t>
  </si>
  <si>
    <t>(3480/2393)</t>
  </si>
  <si>
    <t>(3480/2394)</t>
  </si>
  <si>
    <t>(3480/2395)</t>
  </si>
  <si>
    <t>(3480/2398)</t>
  </si>
  <si>
    <t>24817</t>
  </si>
  <si>
    <t>(3480/2399)</t>
  </si>
  <si>
    <t>24818</t>
  </si>
  <si>
    <t>(3480/2400)</t>
  </si>
  <si>
    <t>24819</t>
  </si>
  <si>
    <t>(3480/2401)</t>
  </si>
  <si>
    <t>24820</t>
  </si>
  <si>
    <t>(3480/2402)</t>
  </si>
  <si>
    <t>24821</t>
  </si>
  <si>
    <t>(3480/2403)</t>
  </si>
  <si>
    <t>24822</t>
  </si>
  <si>
    <t>(3480/2405)</t>
  </si>
  <si>
    <t>(3480/2406)</t>
  </si>
  <si>
    <t>(3480/2407)</t>
  </si>
  <si>
    <t>(3480/2408)</t>
  </si>
  <si>
    <t>(3480/2409)</t>
  </si>
  <si>
    <t>(3480/2410)</t>
  </si>
  <si>
    <t>(3480/2411)</t>
  </si>
  <si>
    <t>(3480/2412)</t>
  </si>
  <si>
    <t>(3480/2413)</t>
  </si>
  <si>
    <t>(3480/2416)</t>
  </si>
  <si>
    <t>24823</t>
  </si>
  <si>
    <t>(3480/2417)</t>
  </si>
  <si>
    <t>24824</t>
  </si>
  <si>
    <t>(3480/2418)</t>
  </si>
  <si>
    <t>24825</t>
  </si>
  <si>
    <t>(3480/2419)</t>
  </si>
  <si>
    <t>24826</t>
  </si>
  <si>
    <t>(3480/2420)</t>
  </si>
  <si>
    <t>24827</t>
  </si>
  <si>
    <t>(3480/2421)</t>
  </si>
  <si>
    <t>24828</t>
  </si>
  <si>
    <t>(3480/2423)</t>
  </si>
  <si>
    <t>(3480/2424)</t>
  </si>
  <si>
    <t>(3480/2425)</t>
  </si>
  <si>
    <t>(3480/2426)</t>
  </si>
  <si>
    <t>(3480/2427)</t>
  </si>
  <si>
    <t>(3480/2428)</t>
  </si>
  <si>
    <t>(3480/2429)</t>
  </si>
  <si>
    <t>(3480/2430)</t>
  </si>
  <si>
    <t>(3480/2431)</t>
  </si>
  <si>
    <t>(3480/2434)</t>
  </si>
  <si>
    <t>24829</t>
  </si>
  <si>
    <t>(3480/2435)</t>
  </si>
  <si>
    <t>24830</t>
  </si>
  <si>
    <t>(3480/2436)</t>
  </si>
  <si>
    <t>24831</t>
  </si>
  <si>
    <t>(3480/2437)</t>
  </si>
  <si>
    <t>24832</t>
  </si>
  <si>
    <t>(3480/2438)</t>
  </si>
  <si>
    <t>24833</t>
  </si>
  <si>
    <t>(3480/2439)</t>
  </si>
  <si>
    <t>24834</t>
  </si>
  <si>
    <t>(3480/2441)</t>
  </si>
  <si>
    <t>(3480/2442)</t>
  </si>
  <si>
    <t>(3480/2443)</t>
  </si>
  <si>
    <t>(3480/2444)</t>
  </si>
  <si>
    <t>(3480/2445)</t>
  </si>
  <si>
    <t>(3480/2446)</t>
  </si>
  <si>
    <t>(3480/2447)</t>
  </si>
  <si>
    <t>(3480/2448)</t>
  </si>
  <si>
    <t>(3480/2449)</t>
  </si>
  <si>
    <t>(3480/2452)</t>
  </si>
  <si>
    <t>24835</t>
  </si>
  <si>
    <t>(3480/2453)</t>
  </si>
  <si>
    <t>24836</t>
  </si>
  <si>
    <t>(3480/2454)</t>
  </si>
  <si>
    <t>24837</t>
  </si>
  <si>
    <t>(3480/2455)</t>
  </si>
  <si>
    <t>24838</t>
  </si>
  <si>
    <t>(3480/2456)</t>
  </si>
  <si>
    <t>24839</t>
  </si>
  <si>
    <t>(3480/2457)</t>
  </si>
  <si>
    <t>24840</t>
  </si>
  <si>
    <t>(3480/2459)</t>
  </si>
  <si>
    <t>(3480/2460)</t>
  </si>
  <si>
    <t>(3480/2461)</t>
  </si>
  <si>
    <t>(3480/2462)</t>
  </si>
  <si>
    <t>(3480/2463)</t>
  </si>
  <si>
    <t>(3480/2464)</t>
  </si>
  <si>
    <t>(3480/2465)</t>
  </si>
  <si>
    <t>(3480/2466)</t>
  </si>
  <si>
    <t>(3480/2467)</t>
  </si>
  <si>
    <t>(3480/2470)</t>
  </si>
  <si>
    <t>24841</t>
  </si>
  <si>
    <t>(3480/2471)</t>
  </si>
  <si>
    <t>24842</t>
  </si>
  <si>
    <t>(3480/2472)</t>
  </si>
  <si>
    <t>24843</t>
  </si>
  <si>
    <t>(3480/2473)</t>
  </si>
  <si>
    <t>24844</t>
  </si>
  <si>
    <t>(3480/2474)</t>
  </si>
  <si>
    <t>24845</t>
  </si>
  <si>
    <t>(3480/2475)</t>
  </si>
  <si>
    <t>24846</t>
  </si>
  <si>
    <t>(3480/2477)</t>
  </si>
  <si>
    <t>(3480/2478)</t>
  </si>
  <si>
    <t>(3480/2479)</t>
  </si>
  <si>
    <t>(3480/2480)</t>
  </si>
  <si>
    <t>(3480/2481)</t>
  </si>
  <si>
    <t>(3480/2482)</t>
  </si>
  <si>
    <t>(3480/2483)</t>
  </si>
  <si>
    <t>(3480/2484)</t>
  </si>
  <si>
    <t>(3480/2485)</t>
  </si>
  <si>
    <t>(3480/2488)</t>
  </si>
  <si>
    <t>24847</t>
  </si>
  <si>
    <t>(3480/2489)</t>
  </si>
  <si>
    <t>24848</t>
  </si>
  <si>
    <t>(3480/2490)</t>
  </si>
  <si>
    <t>24849</t>
  </si>
  <si>
    <t>(3480/2491)</t>
  </si>
  <si>
    <t>24850</t>
  </si>
  <si>
    <t>(3480/2492)</t>
  </si>
  <si>
    <t>24851</t>
  </si>
  <si>
    <t>(3480/2493)</t>
  </si>
  <si>
    <t>24852</t>
  </si>
  <si>
    <t>(3480/2495)</t>
  </si>
  <si>
    <t>(3480/2496)</t>
  </si>
  <si>
    <t>(3480/2497)</t>
  </si>
  <si>
    <t>(3480/2498)</t>
  </si>
  <si>
    <t>(3480/2499)</t>
  </si>
  <si>
    <t>(3480/2500)</t>
  </si>
  <si>
    <t>(3480/2501)</t>
  </si>
  <si>
    <t>(3480/2502)</t>
  </si>
  <si>
    <t>(3480/2503)</t>
  </si>
  <si>
    <t>(3480/2506)</t>
  </si>
  <si>
    <t>24853</t>
  </si>
  <si>
    <t>(3480/2507)</t>
  </si>
  <si>
    <t>24854</t>
  </si>
  <si>
    <t>(3480/2508)</t>
  </si>
  <si>
    <t>24855</t>
  </si>
  <si>
    <t>(3480/2509)</t>
  </si>
  <si>
    <t>24856</t>
  </si>
  <si>
    <t>(3480/2510)</t>
  </si>
  <si>
    <t>24857</t>
  </si>
  <si>
    <t>(3480/2511)</t>
  </si>
  <si>
    <t>24858</t>
  </si>
  <si>
    <t>(3480/2513)</t>
  </si>
  <si>
    <t>(3480/2514)</t>
  </si>
  <si>
    <t>(3480/2515)</t>
  </si>
  <si>
    <t>(3480/2516)</t>
  </si>
  <si>
    <t>(3480/2517)</t>
  </si>
  <si>
    <t>(3480/2518)</t>
  </si>
  <si>
    <t>(3480/2519)</t>
  </si>
  <si>
    <t>(3480/2520)</t>
  </si>
  <si>
    <t>(3480/2521)</t>
  </si>
  <si>
    <t>(3480/2524)</t>
  </si>
  <si>
    <t>24859</t>
  </si>
  <si>
    <t>(3480/2525)</t>
  </si>
  <si>
    <t>24860</t>
  </si>
  <si>
    <t>(3480/2526)</t>
  </si>
  <si>
    <t>24861</t>
  </si>
  <si>
    <t>(3480/2527)</t>
  </si>
  <si>
    <t>24862</t>
  </si>
  <si>
    <t>(3480/2528)</t>
  </si>
  <si>
    <t>24863</t>
  </si>
  <si>
    <t>(3480/2529)</t>
  </si>
  <si>
    <t>24864</t>
  </si>
  <si>
    <t>(3480/2531)</t>
  </si>
  <si>
    <t>(3480/2532)</t>
  </si>
  <si>
    <t>(3480/2533)</t>
  </si>
  <si>
    <t>(3480/2534)</t>
  </si>
  <si>
    <t>(3480/2535)</t>
  </si>
  <si>
    <t>(3480/2536)</t>
  </si>
  <si>
    <t>(3480/2537)</t>
  </si>
  <si>
    <t>(3480/2538)</t>
  </si>
  <si>
    <t>(3480/2539)</t>
  </si>
  <si>
    <t>(3480/2542)</t>
  </si>
  <si>
    <t>24865</t>
  </si>
  <si>
    <t>(3480/2543)</t>
  </si>
  <si>
    <t>24866</t>
  </si>
  <si>
    <t>(3480/2544)</t>
  </si>
  <si>
    <t>24867</t>
  </si>
  <si>
    <t>(3480/2545)</t>
  </si>
  <si>
    <t>24868</t>
  </si>
  <si>
    <t>(3480/2546)</t>
  </si>
  <si>
    <t>24869</t>
  </si>
  <si>
    <t>(3480/2547)</t>
  </si>
  <si>
    <t>24870</t>
  </si>
  <si>
    <t>(3480/2549)</t>
  </si>
  <si>
    <t>(3480/2550)</t>
  </si>
  <si>
    <t>(3480/2551)</t>
  </si>
  <si>
    <t>(3480/2552)</t>
  </si>
  <si>
    <t>(3480/2553)</t>
  </si>
  <si>
    <t>(3480/2554)</t>
  </si>
  <si>
    <t>(3480/2555)</t>
  </si>
  <si>
    <t>(3480/2556)</t>
  </si>
  <si>
    <t>(3480/2557)</t>
  </si>
  <si>
    <t>(3480/2560)</t>
  </si>
  <si>
    <t>24871</t>
  </si>
  <si>
    <t>(3480/2561)</t>
  </si>
  <si>
    <t>24872</t>
  </si>
  <si>
    <t>(3480/2562)</t>
  </si>
  <si>
    <t>24873</t>
  </si>
  <si>
    <t>(3480/2563)</t>
  </si>
  <si>
    <t>24874</t>
  </si>
  <si>
    <t>(3480/2564)</t>
  </si>
  <si>
    <t>24875</t>
  </si>
  <si>
    <t>(3480/2565)</t>
  </si>
  <si>
    <t>24876</t>
  </si>
  <si>
    <t>(3480/2567)</t>
  </si>
  <si>
    <t>(3480/2568)</t>
  </si>
  <si>
    <t>(3480/2569)</t>
  </si>
  <si>
    <t>(3480/2570)</t>
  </si>
  <si>
    <t>(3480/2571)</t>
  </si>
  <si>
    <t>(3480/2572)</t>
  </si>
  <si>
    <t>(3480/2573)</t>
  </si>
  <si>
    <t>(3480/2574)</t>
  </si>
  <si>
    <t>(3480/2575)</t>
  </si>
  <si>
    <t>(3480/2578)</t>
  </si>
  <si>
    <t>24877</t>
  </si>
  <si>
    <t>(3480/2579)</t>
  </si>
  <si>
    <t>24878</t>
  </si>
  <si>
    <t>(3480/2580)</t>
  </si>
  <si>
    <t>24879</t>
  </si>
  <si>
    <t>(3480/2581)</t>
  </si>
  <si>
    <t>24880</t>
  </si>
  <si>
    <t>(3480/2582)</t>
  </si>
  <si>
    <t>24881</t>
  </si>
  <si>
    <t>(3480/2583)</t>
  </si>
  <si>
    <t>24882</t>
  </si>
  <si>
    <t>(3480/2585)</t>
  </si>
  <si>
    <t>(3480/2586)</t>
  </si>
  <si>
    <t>(3480/2587)</t>
  </si>
  <si>
    <t>(3480/2588)</t>
  </si>
  <si>
    <t>(3480/2589)</t>
  </si>
  <si>
    <t>(3480/2590)</t>
  </si>
  <si>
    <t>(3480/2591)</t>
  </si>
  <si>
    <t>(3480/2592)</t>
  </si>
  <si>
    <t>(3480/2593)</t>
  </si>
  <si>
    <t>(3480/2596)</t>
  </si>
  <si>
    <t>24883</t>
  </si>
  <si>
    <t>(3480/2597)</t>
  </si>
  <si>
    <t>24884</t>
  </si>
  <si>
    <t>(3480/2598)</t>
  </si>
  <si>
    <t>24885</t>
  </si>
  <si>
    <t>(3480/2599)</t>
  </si>
  <si>
    <t>24886</t>
  </si>
  <si>
    <t>(3480/2600)</t>
  </si>
  <si>
    <t>24887</t>
  </si>
  <si>
    <t>(3480/2601)</t>
  </si>
  <si>
    <t>24888</t>
  </si>
  <si>
    <t>(3480/2603)</t>
  </si>
  <si>
    <t>(3480/2604)</t>
  </si>
  <si>
    <t>(3480/2605)</t>
  </si>
  <si>
    <t>(3480/2606)</t>
  </si>
  <si>
    <t>(3480/2607)</t>
  </si>
  <si>
    <t>(3480/2608)</t>
  </si>
  <si>
    <t>(3480/2609)</t>
  </si>
  <si>
    <t>(3480/2610)</t>
  </si>
  <si>
    <t>(3480/2611)</t>
  </si>
  <si>
    <t>(3480/2614)</t>
  </si>
  <si>
    <t>24889</t>
  </si>
  <si>
    <t>(3480/2615)</t>
  </si>
  <si>
    <t>24890</t>
  </si>
  <si>
    <t>(3480/2616)</t>
  </si>
  <si>
    <t>24891</t>
  </si>
  <si>
    <t>(3480/2617)</t>
  </si>
  <si>
    <t>24892</t>
  </si>
  <si>
    <t>(3480/2618)</t>
  </si>
  <si>
    <t>24893</t>
  </si>
  <si>
    <t>(3480/2619)</t>
  </si>
  <si>
    <t>24894</t>
  </si>
  <si>
    <t>(3480/2621)</t>
  </si>
  <si>
    <t>(3480/2622)</t>
  </si>
  <si>
    <t>(3480/2623)</t>
  </si>
  <si>
    <t>(3480/2624)</t>
  </si>
  <si>
    <t>(3480/2625)</t>
  </si>
  <si>
    <t>(3480/2626)</t>
  </si>
  <si>
    <t>(3480/2627)</t>
  </si>
  <si>
    <t>(3480/2628)</t>
  </si>
  <si>
    <t>(3480/2629)</t>
  </si>
  <si>
    <t>(3480/2632)</t>
  </si>
  <si>
    <t>24895</t>
  </si>
  <si>
    <t>(3480/2633)</t>
  </si>
  <si>
    <t>24896</t>
  </si>
  <si>
    <t>(3480/2634)</t>
  </si>
  <si>
    <t>24897</t>
  </si>
  <si>
    <t>(3480/2635)</t>
  </si>
  <si>
    <t>24898</t>
  </si>
  <si>
    <t>(3480/2636)</t>
  </si>
  <si>
    <t>24899</t>
  </si>
  <si>
    <t>(3480/2637)</t>
  </si>
  <si>
    <t>24900</t>
  </si>
  <si>
    <t>(3480/2639)</t>
  </si>
  <si>
    <t>(3480/2640)</t>
  </si>
  <si>
    <t>(3480/2641)</t>
  </si>
  <si>
    <t>(3480/2642)</t>
  </si>
  <si>
    <t>(3480/2643)</t>
  </si>
  <si>
    <t>(3480/2644)</t>
  </si>
  <si>
    <t>(3480/2645)</t>
  </si>
  <si>
    <t>(3480/2646)</t>
  </si>
  <si>
    <t>(3480/2647)</t>
  </si>
  <si>
    <t>(3480/2650)</t>
  </si>
  <si>
    <t>24907</t>
  </si>
  <si>
    <t>(3480/2651)</t>
  </si>
  <si>
    <t>24908</t>
  </si>
  <si>
    <t>(3480/2652)</t>
  </si>
  <si>
    <t>24909</t>
  </si>
  <si>
    <t>(3480/2653)</t>
  </si>
  <si>
    <t>24910</t>
  </si>
  <si>
    <t>(3480/2654)</t>
  </si>
  <si>
    <t>24911</t>
  </si>
  <si>
    <t>(3480/2655)</t>
  </si>
  <si>
    <t>24912</t>
  </si>
  <si>
    <t>(3480/2657)</t>
  </si>
  <si>
    <t>(3480/2658)</t>
  </si>
  <si>
    <t>(3480/2659)</t>
  </si>
  <si>
    <t>(3480/2660)</t>
  </si>
  <si>
    <t>(3480/2661)</t>
  </si>
  <si>
    <t>(3480/2662)</t>
  </si>
  <si>
    <t>(3480/2663)</t>
  </si>
  <si>
    <t>(3480/2664)</t>
  </si>
  <si>
    <t>(3480/2665)</t>
  </si>
  <si>
    <t>(3480/2668)</t>
  </si>
  <si>
    <t>24901</t>
  </si>
  <si>
    <t>(3480/2669)</t>
  </si>
  <si>
    <t>24902</t>
  </si>
  <si>
    <t>(3480/2670)</t>
  </si>
  <si>
    <t>24903</t>
  </si>
  <si>
    <t>(3480/2671)</t>
  </si>
  <si>
    <t>24904</t>
  </si>
  <si>
    <t>(3480/2672)</t>
  </si>
  <si>
    <t>24905</t>
  </si>
  <si>
    <t>(3480/2673)</t>
  </si>
  <si>
    <t>24906</t>
  </si>
  <si>
    <t>(3480/2675)</t>
  </si>
  <si>
    <t>(3480/2676)</t>
  </si>
  <si>
    <t>(3480/2677)</t>
  </si>
  <si>
    <t>(3480/2678)</t>
  </si>
  <si>
    <t>(3480/2679)</t>
  </si>
  <si>
    <t>(3480/2680)</t>
  </si>
  <si>
    <t>(3480/2681)</t>
  </si>
  <si>
    <t>(3480/2682)</t>
  </si>
  <si>
    <t>(3480/2683)</t>
  </si>
  <si>
    <t>(3480/2686)</t>
  </si>
  <si>
    <t>24913</t>
  </si>
  <si>
    <t>(3480/2687)</t>
  </si>
  <si>
    <t>24914</t>
  </si>
  <si>
    <t>(3480/2688)</t>
  </si>
  <si>
    <t>24915</t>
  </si>
  <si>
    <t>(3480/2689)</t>
  </si>
  <si>
    <t>24916</t>
  </si>
  <si>
    <t>(3480/2690)</t>
  </si>
  <si>
    <t>24917</t>
  </si>
  <si>
    <t>(3480/2691)</t>
  </si>
  <si>
    <t>24918</t>
  </si>
  <si>
    <t>(3480/2693)</t>
  </si>
  <si>
    <t>(3480/2694)</t>
  </si>
  <si>
    <t>(3480/2695)</t>
  </si>
  <si>
    <t>(3480/2696)</t>
  </si>
  <si>
    <t>(3480/2697)</t>
  </si>
  <si>
    <t>(3480/2698)</t>
  </si>
  <si>
    <t>(3480/2699)</t>
  </si>
  <si>
    <t>(3480/2700)</t>
  </si>
  <si>
    <t>(3480/2701)</t>
  </si>
  <si>
    <t>(3480/2704)</t>
  </si>
  <si>
    <t>24919</t>
  </si>
  <si>
    <t>(3480/2705)</t>
  </si>
  <si>
    <t>24920</t>
  </si>
  <si>
    <t>(3480/2706)</t>
  </si>
  <si>
    <t>24921</t>
  </si>
  <si>
    <t>(3480/2707)</t>
  </si>
  <si>
    <t>24922</t>
  </si>
  <si>
    <t>(3480/2708)</t>
  </si>
  <si>
    <t>24923</t>
  </si>
  <si>
    <t>(3480/2709)</t>
  </si>
  <si>
    <t>24924</t>
  </si>
  <si>
    <t>(3480/2711)</t>
  </si>
  <si>
    <t>(3480/2712)</t>
  </si>
  <si>
    <t>(3480/2713)</t>
  </si>
  <si>
    <t>(3480/2714)</t>
  </si>
  <si>
    <t>(3480/2715)</t>
  </si>
  <si>
    <t>(3480/2716)</t>
  </si>
  <si>
    <t>(3480/2717)</t>
  </si>
  <si>
    <t>(3480/2718)</t>
  </si>
  <si>
    <t>(3480/2719)</t>
  </si>
  <si>
    <t>(3480/2722)</t>
  </si>
  <si>
    <t>24925</t>
  </si>
  <si>
    <t>(3480/2723)</t>
  </si>
  <si>
    <t>24926</t>
  </si>
  <si>
    <t>(3480/2724)</t>
  </si>
  <si>
    <t>24927</t>
  </si>
  <si>
    <t>(3480/2725)</t>
  </si>
  <si>
    <t>24928</t>
  </si>
  <si>
    <t>(3480/2726)</t>
  </si>
  <si>
    <t>24929</t>
  </si>
  <si>
    <t>(3480/2727)</t>
  </si>
  <si>
    <t>24930</t>
  </si>
  <si>
    <t>(3480/2729)</t>
  </si>
  <si>
    <t>(3480/2730)</t>
  </si>
  <si>
    <t>(3480/2731)</t>
  </si>
  <si>
    <t>(3480/2732)</t>
  </si>
  <si>
    <t>(3480/2733)</t>
  </si>
  <si>
    <t>(3480/2734)</t>
  </si>
  <si>
    <t>(3480/2735)</t>
  </si>
  <si>
    <t>(3480/2736)</t>
  </si>
  <si>
    <t>(3480/2737)</t>
  </si>
  <si>
    <t>(3480/2740)</t>
  </si>
  <si>
    <t>24937</t>
  </si>
  <si>
    <t>(3480/2741)</t>
  </si>
  <si>
    <t>24938</t>
  </si>
  <si>
    <t>(3480/2742)</t>
  </si>
  <si>
    <t>24939</t>
  </si>
  <si>
    <t>(3480/2743)</t>
  </si>
  <si>
    <t>24940</t>
  </si>
  <si>
    <t>(3480/2744)</t>
  </si>
  <si>
    <t>24941</t>
  </si>
  <si>
    <t>(3480/2745)</t>
  </si>
  <si>
    <t>24942</t>
  </si>
  <si>
    <t>(3480/2747)</t>
  </si>
  <si>
    <t>(3480/2748)</t>
  </si>
  <si>
    <t>(3480/2749)</t>
  </si>
  <si>
    <t>(3480/2750)</t>
  </si>
  <si>
    <t>(3480/2751)</t>
  </si>
  <si>
    <t>(3480/2752)</t>
  </si>
  <si>
    <t>(3480/2753)</t>
  </si>
  <si>
    <t>(3480/2754)</t>
  </si>
  <si>
    <t>(3480/2755)</t>
  </si>
  <si>
    <t>(3480/2758)</t>
  </si>
  <si>
    <t>24931</t>
  </si>
  <si>
    <t>(3480/2759)</t>
  </si>
  <si>
    <t>24932</t>
  </si>
  <si>
    <t>(3480/2760)</t>
  </si>
  <si>
    <t>24933</t>
  </si>
  <si>
    <t>(3480/2761)</t>
  </si>
  <si>
    <t>24934</t>
  </si>
  <si>
    <t>(3480/2762)</t>
  </si>
  <si>
    <t>24935</t>
  </si>
  <si>
    <t>(3480/2763)</t>
  </si>
  <si>
    <t>24936</t>
  </si>
  <si>
    <t>(3480/2765)</t>
  </si>
  <si>
    <t>(3480/2766)</t>
  </si>
  <si>
    <t>(3480/2767)</t>
  </si>
  <si>
    <t>(3480/2768)</t>
  </si>
  <si>
    <t>(3480/2769)</t>
  </si>
  <si>
    <t>(3480/2770)</t>
  </si>
  <si>
    <t>(3480/2771)</t>
  </si>
  <si>
    <t>(3480/2772)</t>
  </si>
  <si>
    <t>(3480/2773)</t>
  </si>
  <si>
    <t>(3480/2776)</t>
  </si>
  <si>
    <t>24943</t>
  </si>
  <si>
    <t>(3480/2777)</t>
  </si>
  <si>
    <t>24944</t>
  </si>
  <si>
    <t>(3480/2778)</t>
  </si>
  <si>
    <t>24945</t>
  </si>
  <si>
    <t>(3480/2779)</t>
  </si>
  <si>
    <t>24946</t>
  </si>
  <si>
    <t>(3480/2780)</t>
  </si>
  <si>
    <t>24947</t>
  </si>
  <si>
    <t>(3480/2781)</t>
  </si>
  <si>
    <t>24948</t>
  </si>
  <si>
    <t>(3480/2783)</t>
  </si>
  <si>
    <t>(3480/2784)</t>
  </si>
  <si>
    <t>(3480/2785)</t>
  </si>
  <si>
    <t>(3480/2786)</t>
  </si>
  <si>
    <t>(3480/2787)</t>
  </si>
  <si>
    <t>(3480/2788)</t>
  </si>
  <si>
    <t>(3480/2789)</t>
  </si>
  <si>
    <t>(3480/2790)</t>
  </si>
  <si>
    <t>(3480/2791)</t>
  </si>
  <si>
    <t>(3480/2794)</t>
  </si>
  <si>
    <t>24955</t>
  </si>
  <si>
    <t>(3480/2795)</t>
  </si>
  <si>
    <t>24956</t>
  </si>
  <si>
    <t>(3480/2796)</t>
  </si>
  <si>
    <t>24957</t>
  </si>
  <si>
    <t>(3480/2797)</t>
  </si>
  <si>
    <t>24958</t>
  </si>
  <si>
    <t>(3480/2798)</t>
  </si>
  <si>
    <t>24959</t>
  </si>
  <si>
    <t>(3480/2799)</t>
  </si>
  <si>
    <t>24960</t>
  </si>
  <si>
    <t>(3480/2801)</t>
  </si>
  <si>
    <t>(3480/2802)</t>
  </si>
  <si>
    <t>(3480/2803)</t>
  </si>
  <si>
    <t>(3480/2804)</t>
  </si>
  <si>
    <t>(3480/2805)</t>
  </si>
  <si>
    <t>(3480/2806)</t>
  </si>
  <si>
    <t>(3480/2807)</t>
  </si>
  <si>
    <t>(3480/2808)</t>
  </si>
  <si>
    <t>(3480/2809)</t>
  </si>
  <si>
    <t>(3480/2812)</t>
  </si>
  <si>
    <t>24949</t>
  </si>
  <si>
    <t>(3480/2813)</t>
  </si>
  <si>
    <t>24950</t>
  </si>
  <si>
    <t>(3480/2814)</t>
  </si>
  <si>
    <t>24951</t>
  </si>
  <si>
    <t>(3480/2815)</t>
  </si>
  <si>
    <t>24952</t>
  </si>
  <si>
    <t>(3480/2816)</t>
  </si>
  <si>
    <t>24953</t>
  </si>
  <si>
    <t>(3480/2817)</t>
  </si>
  <si>
    <t>24954</t>
  </si>
  <si>
    <t>(3480/2819)</t>
  </si>
  <si>
    <t>(3480/2820)</t>
  </si>
  <si>
    <t>(3480/2821)</t>
  </si>
  <si>
    <t>(3480/2822)</t>
  </si>
  <si>
    <t>(3480/2823)</t>
  </si>
  <si>
    <t>(3480/2824)</t>
  </si>
  <si>
    <t>(3480/2825)</t>
  </si>
  <si>
    <t>(3480/2826)</t>
  </si>
  <si>
    <t>(3480/2827)</t>
  </si>
  <si>
    <t>(3480/2830)</t>
  </si>
  <si>
    <t>24961</t>
  </si>
  <si>
    <t>(3480/2831)</t>
  </si>
  <si>
    <t>24962</t>
  </si>
  <si>
    <t>(3480/2832)</t>
  </si>
  <si>
    <t>24963</t>
  </si>
  <si>
    <t>(3480/2833)</t>
  </si>
  <si>
    <t>24964</t>
  </si>
  <si>
    <t>(3480/2834)</t>
  </si>
  <si>
    <t>24965</t>
  </si>
  <si>
    <t>(3480/2835)</t>
  </si>
  <si>
    <t>24966</t>
  </si>
  <si>
    <t>(3480/2837)</t>
  </si>
  <si>
    <t>(3480/2838)</t>
  </si>
  <si>
    <t>(3480/2839)</t>
  </si>
  <si>
    <t>(3480/2840)</t>
  </si>
  <si>
    <t>(3480/2841)</t>
  </si>
  <si>
    <t>(3480/2842)</t>
  </si>
  <si>
    <t>(3480/2843)</t>
  </si>
  <si>
    <t>(3480/2844)</t>
  </si>
  <si>
    <t>(3480/2845)</t>
  </si>
  <si>
    <t>(3480/2848)</t>
  </si>
  <si>
    <t>24967</t>
  </si>
  <si>
    <t>(3480/2849)</t>
  </si>
  <si>
    <t>24968</t>
  </si>
  <si>
    <t>(3480/2850)</t>
  </si>
  <si>
    <t>24969</t>
  </si>
  <si>
    <t>(3480/2851)</t>
  </si>
  <si>
    <t>24970</t>
  </si>
  <si>
    <t>(3480/2852)</t>
  </si>
  <si>
    <t>24971</t>
  </si>
  <si>
    <t>(3480/2853)</t>
  </si>
  <si>
    <t>24972</t>
  </si>
  <si>
    <t>(3480/2855)</t>
  </si>
  <si>
    <t>(3480/2856)</t>
  </si>
  <si>
    <t>(3480/2857)</t>
  </si>
  <si>
    <t>(3480/2858)</t>
  </si>
  <si>
    <t>(3480/2859)</t>
  </si>
  <si>
    <t>(3480/2860)</t>
  </si>
  <si>
    <t>(3480/2861)</t>
  </si>
  <si>
    <t>(3480/2862)</t>
  </si>
  <si>
    <t>(3480/2863)</t>
  </si>
  <si>
    <t>(3480/2866)</t>
  </si>
  <si>
    <t>24973</t>
  </si>
  <si>
    <t>(3480/2867)</t>
  </si>
  <si>
    <t>24974</t>
  </si>
  <si>
    <t>(3480/2868)</t>
  </si>
  <si>
    <t>24975</t>
  </si>
  <si>
    <t>(3480/2869)</t>
  </si>
  <si>
    <t>24976</t>
  </si>
  <si>
    <t>(3480/2870)</t>
  </si>
  <si>
    <t>24977</t>
  </si>
  <si>
    <t>(3480/2871)</t>
  </si>
  <si>
    <t>24978</t>
  </si>
  <si>
    <t>(3480/2873)</t>
  </si>
  <si>
    <t>(3480/2874)</t>
  </si>
  <si>
    <t>(3480/2875)</t>
  </si>
  <si>
    <t>(3480/2876)</t>
  </si>
  <si>
    <t>(3480/2877)</t>
  </si>
  <si>
    <t>(3480/2878)</t>
  </si>
  <si>
    <t>(3480/2879)</t>
  </si>
  <si>
    <t>(3480/2880)</t>
  </si>
  <si>
    <t>(3480/2881)</t>
  </si>
  <si>
    <t>(3480/2884)</t>
  </si>
  <si>
    <t>24979</t>
  </si>
  <si>
    <t>(3480/2885)</t>
  </si>
  <si>
    <t>24980</t>
  </si>
  <si>
    <t>(3480/2886)</t>
  </si>
  <si>
    <t>24981</t>
  </si>
  <si>
    <t>(3480/2887)</t>
  </si>
  <si>
    <t>24982</t>
  </si>
  <si>
    <t>(3480/2888)</t>
  </si>
  <si>
    <t>24983</t>
  </si>
  <si>
    <t>(3480/2889)</t>
  </si>
  <si>
    <t>24984</t>
  </si>
  <si>
    <t>(3480/2891)</t>
  </si>
  <si>
    <t>(3480/2892)</t>
  </si>
  <si>
    <t>(3480/2893)</t>
  </si>
  <si>
    <t>(3480/2894)</t>
  </si>
  <si>
    <t>MongoDB node: Replication lag with primary is too high (over {$MONGODB.REPL.LAG.MAX.WARN} in 5m)</t>
  </si>
  <si>
    <t>MongoDB node: 主数据库的复制延迟太高(超过{$MONGODB.REPL.LAG.MAX.WARN}达5分钟)</t>
  </si>
  <si>
    <t>(3480/2895)</t>
  </si>
  <si>
    <t>MongoDB node: Node in ReplicaSet changed the state (new state: {ITEM.VALUE})</t>
  </si>
  <si>
    <t>MongoDB node: ReplicaSet中的节点变更了状态(新状态: {ITEM.VALUE})</t>
  </si>
  <si>
    <t>(3480/2897)</t>
  </si>
  <si>
    <t>MongoDB node: Available WiredTiger read tickets less than {$MONGODB.WIRED_TIGER.TICKETS.AVAILABLE.MIN.WARN}</t>
  </si>
  <si>
    <t>MongoDB node: 可用的WiredTiger读取票证少于{$MONGODB.WIRED_TIGER.TICKETS.AVAILABLE.MIN.WARN}</t>
  </si>
  <si>
    <t>(3480/2898)</t>
  </si>
  <si>
    <t>MongoDB node: Available WiredTiger write tickets less than {$MONGODB.WIRED_TIGER.TICKETS.AVAILABLE.MIN.WARN}</t>
  </si>
  <si>
    <t>MongoDB node: 可用的WiredTiger写入票证少于{$MONGODB.WIRED_TIGER.TICKETS.AVAILABLE.MIN.WARN}</t>
  </si>
  <si>
    <t>(3480/2899)</t>
  </si>
  <si>
    <t>Morningstar ProStar MPPT: Battery: Critically low battery voltage (below {#VOLTAGE.MIN.CRIT}V for 5m)</t>
  </si>
  <si>
    <t>Morningstar ProStar MPPT: Battery: 电池电压严重告警(低于{#VOLTAGE.MIN.CRIT}伏达5分钟)</t>
  </si>
  <si>
    <t>(3480/2900)</t>
  </si>
  <si>
    <t>Morningstar ProStar MPPT: Battery: Low battery voltage (below {#VOLTAGE.MIN.WARN}V for 5m)</t>
  </si>
  <si>
    <t>Morningstar ProStar MPPT: Battery: 电池电压告警(低于{#VOLTAGE.MIN.WARN}伏达5分钟)</t>
  </si>
  <si>
    <t>(3480/2901)</t>
  </si>
  <si>
    <t>Morningstar ProStar MPPT: Battery: Critically high battery voltage (over {#VOLTAGE.MAX.CRIT}V for 5m)</t>
  </si>
  <si>
    <t>Morningstar ProStar MPPT: Battery: 电池电压严重告警(超过{#VOLTAGE.MAX.CRIT}伏达5分钟)</t>
  </si>
  <si>
    <t>(3480/2902)</t>
  </si>
  <si>
    <t>Morningstar ProStar MPPT: Battery: High battery voltage (over {#VOLTAGE.MAX.WARN}V for 5m)</t>
  </si>
  <si>
    <t>Morningstar ProStar MPPT: Battery: 电池电压告警(超过{#VOLTAGE.MAX.WARN}伏达5分钟)</t>
  </si>
  <si>
    <t>(3480/2903)</t>
  </si>
  <si>
    <t>Morningstar ProStar PWM: Battery: Critically low battery voltage (below {#VOLTAGE.MIN.CRIT}V for 5m)</t>
  </si>
  <si>
    <t>Morningstar ProStar PWM: Battery: 电池电压严重告警(低于{#VOLTAGE.MIN.CRIT}伏达5分钟)</t>
  </si>
  <si>
    <t>(3480/2904)</t>
  </si>
  <si>
    <t>Morningstar ProStar PWM: Battery: Low battery voltage (below {#VOLTAGE.MIN.WARN}V for 5m)</t>
  </si>
  <si>
    <t>Morningstar ProStar PWM: Battery: 电池电压告警(低于{#VOLTAGE.MIN.WARN}伏达5分钟)</t>
  </si>
  <si>
    <t>(3480/2905)</t>
  </si>
  <si>
    <t>Morningstar ProStar PWM: Battery: Critically high battery voltage (over {#VOLTAGE.MAX.CRIT}V for 5m)</t>
  </si>
  <si>
    <t>Morningstar ProStar PWM: Battery: 电池电压严重告警(超过{#VOLTAGE.MAX.CRIT}伏达5分钟)</t>
  </si>
  <si>
    <t>(3480/2906)</t>
  </si>
  <si>
    <t>Morningstar ProStar PWM: Battery: High battery voltage (over {#VOLTAGE.MAX.WARN}V for 5m)</t>
  </si>
  <si>
    <t>Morningstar ProStar PWM: Battery: 电池电压告警(超过{#VOLTAGE.MAX.WARN}伏达5分钟)</t>
  </si>
  <si>
    <t>(3480/2907)</t>
  </si>
  <si>
    <t>Morningstar SunSaver MPPT: Battery: Critically low battery voltage (below {#VOLTAGE.MIN.CRIT}V for 5m)</t>
  </si>
  <si>
    <t>Morningstar SunSaver MPPT: Battery: 电池电压严重告警(低于{#VOLTAGE.MIN.CRIT}伏达5分钟)</t>
  </si>
  <si>
    <t>(3480/2908)</t>
  </si>
  <si>
    <t>Morningstar SunSaver MPPT: Battery: Low battery voltage (below {#VOLTAGE.MIN.WARN}V for 5m)</t>
  </si>
  <si>
    <t>Morningstar SunSaver MPPT: Battery: 电池电压告警(低于{#VOLTAGE.MIN.WARN}伏达5分钟)</t>
  </si>
  <si>
    <t>(3480/2909)</t>
  </si>
  <si>
    <t>Morningstar SunSaver MPPT: Battery: Critically high battery voltage (over {#VOLTAGE.MAX.CRIT}V for 5m)</t>
  </si>
  <si>
    <t>Morningstar SunSaver MPPT: Battery: 电池电压严重告警(超过{#VOLTAGE.MAX.CRIT}伏达5分钟)</t>
  </si>
  <si>
    <t>(3480/2910)</t>
  </si>
  <si>
    <t>Morningstar SunSaver MPPT: Battery: High battery voltage (over {#VOLTAGE.MAX.WARN}V for 5m)</t>
  </si>
  <si>
    <t>Morningstar SunSaver MPPT: Battery: 电池电压告警(超过{#VOLTAGE.MAX.WARN}伏达5分钟)</t>
  </si>
  <si>
    <t>(3480/2911)</t>
  </si>
  <si>
    <t>Morningstar SureSine: Battery: Critically low battery voltage (below {#VOLTAGE.MIN.CRIT}V for 5m)</t>
  </si>
  <si>
    <t>Morningstar SureSine: Battery: 电池电压严重告警(低于{#VOLTAGE.MIN.CRIT}伏达5分钟)</t>
  </si>
  <si>
    <t>(3480/2912)</t>
  </si>
  <si>
    <t>Morningstar SureSine: Battery: Low battery voltage (below {#VOLTAGE.MIN.WARN}V for 5m)</t>
  </si>
  <si>
    <t>Morningstar SureSine: Battery: 电池电压告警(低于{#VOLTAGE.MIN.WARN}伏达5分钟)</t>
  </si>
  <si>
    <t>(3480/2913)</t>
  </si>
  <si>
    <t>Morningstar SureSine: Battery: Critically high battery voltage (over {#VOLTAGE.MAX.CRIT}V for 5m)</t>
  </si>
  <si>
    <t>Morningstar SureSine: Battery: 电池电压严重告警(超过{#VOLTAGE.MAX.CRIT}伏达5分钟)</t>
  </si>
  <si>
    <t>(3480/2914)</t>
  </si>
  <si>
    <t>Morningstar SureSine: Battery: High battery voltage (over {#VOLTAGE.MAX.WARN}V for 5m)</t>
  </si>
  <si>
    <t>Morningstar SureSine: Battery: 电池电压告警(超过{#VOLTAGE.MAX.WARN}伏达5分钟)</t>
  </si>
  <si>
    <t>(3480/2915)</t>
  </si>
  <si>
    <t>Morningstar TriStar MPPT 600V: Battery: Critically low battery voltage (below {#VOLTAGE.MIN.CRIT}V for 5m)</t>
  </si>
  <si>
    <t>Morningstar TriStar MPPT 600V: Battery: 电池电压严重告警(低于{#VOLTAGE.MIN.CRIT}伏达5分钟)</t>
  </si>
  <si>
    <t>(3480/2916)</t>
  </si>
  <si>
    <t>Morningstar TriStar MPPT 600V: Battery: Low battery voltage (below {#VOLTAGE.MIN.WARN}V for 5m)</t>
  </si>
  <si>
    <t>Morningstar TriStar MPPT 600V: Battery: 电池电压告警(低于{#VOLTAGE.MIN.WARN}伏达5分钟)</t>
  </si>
  <si>
    <t>(3480/2917)</t>
  </si>
  <si>
    <t>Morningstar TriStar MPPT 600V: Battery: Critically high battery voltage (over {#VOLTAGE.MAX.CRIT}V for 5m)</t>
  </si>
  <si>
    <t>Morningstar TriStar MPPT 600V: Battery: 电池电压严重告警(超过{#VOLTAGE.MAX.CRIT}伏达5分钟)</t>
  </si>
  <si>
    <t>(3480/2918)</t>
  </si>
  <si>
    <t>Morningstar TriStar MPPT 600V: Battery: High battery voltage (over {#VOLTAGE.MAX.WARN}V for 5m)</t>
  </si>
  <si>
    <t>Morningstar TriStar MPPT 600V: Battery: 电池电压告警(超过{#VOLTAGE.MAX.WARN}伏达5分钟)</t>
  </si>
  <si>
    <t>(3480/2919)</t>
  </si>
  <si>
    <t>Morningstar TriStar MPPT: Battery: Critically low battery voltage (below {#VOLTAGE.MIN.CRIT}V for 5m)</t>
  </si>
  <si>
    <t>Morningstar TriStar MPPT: Battery: 电池电压严重告警(低于{#VOLTAGE.MIN.CRIT}伏达5分钟)</t>
  </si>
  <si>
    <t>(3480/2920)</t>
  </si>
  <si>
    <t>Morningstar TriStar MPPT: Battery: Low battery voltage (below {#VOLTAGE.MIN.WARN}V for 5m)</t>
  </si>
  <si>
    <t>Morningstar TriStar MPPT: Battery: 电池电压告警(低于{#VOLTAGE.MIN.WARN}伏达5分钟)</t>
  </si>
  <si>
    <t>(3480/2921)</t>
  </si>
  <si>
    <t>Morningstar TriStar MPPT: Battery: Critically high battery voltage (over {#VOLTAGE.MAX.CRIT}V for 5m)</t>
  </si>
  <si>
    <t>Morningstar TriStar MPPT: Battery: 电池电压严重告警(超过{#VOLTAGE.MAX.CRIT}伏达5分钟)</t>
  </si>
  <si>
    <t>(3480/2922)</t>
  </si>
  <si>
    <t>Morningstar TriStar MPPT: Battery: High battery voltage (over {#VOLTAGE.MAX.WARN}V for 5m)</t>
  </si>
  <si>
    <t>Morningstar TriStar MPPT: Battery: 电池电压告警(超过{#VOLTAGE.MAX.WARN}伏达5分钟)</t>
  </si>
  <si>
    <t>(3480/2923)</t>
  </si>
  <si>
    <t>Morningstar TriStar PWM: Battery: Critically low battery voltage (below {#VOLTAGE.MIN.CRIT}V for 5m)</t>
  </si>
  <si>
    <t>Morningstar TriStar PWM: Battery: 电池电压严重告警(低于{#VOLTAGE.MIN.CRIT}伏达5分钟)</t>
  </si>
  <si>
    <t>(3480/2924)</t>
  </si>
  <si>
    <t>Morningstar TriStar PWM: Battery: Low battery voltage (below {#VOLTAGE.MIN.WARN}V for 5m)</t>
  </si>
  <si>
    <t>Morningstar TriStar PWM: Battery: 电池电压告警(低于{#VOLTAGE.MIN.WARN}伏达5分钟)</t>
  </si>
  <si>
    <t>(3480/2925)</t>
  </si>
  <si>
    <t>Morningstar TriStar PWM: Battery: Critically high battery voltage (over {#VOLTAGE.MAX.CRIT}V for 5m)</t>
  </si>
  <si>
    <t>Morningstar TriStar PWM: Battery: 电池电压严重告警(超过{#VOLTAGE.MAX.CRIT}伏达5分钟)</t>
  </si>
  <si>
    <t>(3480/2926)</t>
  </si>
  <si>
    <t>Morningstar TriStar PWM: Battery: High battery voltage (over {#VOLTAGE.MAX.WARN}V for 5m)</t>
  </si>
  <si>
    <t>Morningstar TriStar PWM: Battery: 电池电压告警(超过{#VOLTAGE.MAX.WARN}伏达5分钟)</t>
  </si>
  <si>
    <t>(3480/2931)</t>
  </si>
  <si>
    <t>(3480/2935)</t>
  </si>
  <si>
    <t>(3480/2939)</t>
  </si>
  <si>
    <t>(3480/2943)</t>
  </si>
  <si>
    <t>MySQL by Zabbix agent 2 active</t>
  </si>
  <si>
    <t>23864</t>
  </si>
  <si>
    <t>(3480/2947)</t>
  </si>
  <si>
    <t>MySQL by Zabbix agent active</t>
  </si>
  <si>
    <t>23879</t>
  </si>
  <si>
    <t>(3480/2951)</t>
  </si>
  <si>
    <t>NGINX Plus: Too many HTTP requests with code 4xx (over {$NGINX.HTTP.UPSTREAM.4XX.MAX.WARN}% for 5m)</t>
  </si>
  <si>
    <t>NGINX Plus: 代码为4xx的HTTP请求太多(超过{$NGINX.HTTP.UPSTREAM.4XX.MAX.WARN}%达5分钟)</t>
  </si>
  <si>
    <t>(3480/2952)</t>
  </si>
  <si>
    <t>NGINX Plus: Too many HTTP requests with code 5xx (over {$NGINX.HTTP.UPSTREAM.5XX.MAX.WARN}% for 5m)</t>
  </si>
  <si>
    <t>NGINX Plus: 代码为5xx的HTTP请求太多(超过{$NGINX.HTTP.UPSTREAM.5XX.MAX.WARN}%达5分钟)</t>
  </si>
  <si>
    <t>(3480/2960)</t>
  </si>
  <si>
    <t>NetApp AFF A700: {#NODENAME}: Version has changed (new version: {ITEM.VALUE})</t>
  </si>
  <si>
    <t>NetApp AFF A700: {#NODENAME}: 版本已变更(新版本: {ITEM.VALUE})</t>
  </si>
  <si>
    <t>(3480/2963)</t>
  </si>
  <si>
    <t>NetApp AFF A700: {#NODENAME}: Node has been restarted (uptime &lt; 10m)</t>
  </si>
  <si>
    <t>NetApp AFF A700: {#NODENAME}: 节点已经重启(正常运行时间&lt;10分钟)</t>
  </si>
  <si>
    <t>(3480/2973)</t>
  </si>
  <si>
    <t>NetApp FAS3220: Node {#NODE.NAME}: {HOST.NAME} has been restarted (uptime &lt; 10m)</t>
  </si>
  <si>
    <t>NetApp FAS3220: 节点{#NODE.NAME}: {HOST.NAME}已重启(正常运行时间&lt;10分钟)</t>
  </si>
  <si>
    <t>(3480/2974)</t>
  </si>
  <si>
    <t>NetApp FAS3220: Node {#NODE.NAME}: High CPU utilization (over {$CPU.UTIL.CRIT}% for 5m)</t>
  </si>
  <si>
    <t>NetApp FAS3220: 节点{#NODE.NAME}: CPU使用率高了(超过{$CPU.UTIL.CRIT}%达5分钟)</t>
  </si>
  <si>
    <t>(3480/2975)</t>
  </si>
  <si>
    <t>NetApp FAS3220: {#VSERVER}{#FSNAME}: Disk space is too low (below {$FAS3220.FS.AVAIL.MIN.CRIT:"{#FSNAME}"} for {$FAS3220.FS.TIME:"{#FSNAME}"})</t>
  </si>
  <si>
    <t>NetApp FAS3220: {#VSERVER}{#FSNAME}: 磁盘空间太低(低于{$FAS3220.FS.AVAIL.MIN.CRIT: "{#FSNAME}"}达{$FAS3220.FS.TIME: "{#FSNAME}"})</t>
  </si>
  <si>
    <t>(3480/2976)</t>
  </si>
  <si>
    <t>NetApp FAS3220: {#VSERVER}{#FSNAME}: Disk space is too low (used over {$FAS3220.FS.PUSED.MAX.CRIT:"{#FSNAME}"}% for {$FAS3220.FS.TIME:"{#FSNAME}"})</t>
  </si>
  <si>
    <t>NetApp FAS3220: {#VSERVER}{#FSNAME}: 磁盘空间太低(使用率超过{$FAS3220.FS.PUSED.MAX.CRIT: "{#FSNAME}"}%达{$FAS3220.FS.TIME: "{#FSNAME}"})</t>
  </si>
  <si>
    <t>(3480/2980)</t>
  </si>
  <si>
    <t>NetApp FAS3220: Node {#NODE}: port {#IFNAME} ({#TYPE}): High error rate (&gt;{$IF.ERRORS.WARN:"{#IFNAME}"} for 5m)</t>
  </si>
  <si>
    <t>NetApp FAS3220: 节点{#NODE}: 端口{#IFNAME}({#TYPE}): 错误率高了(&gt;{$IF.ERRORS.WARN: "{#IFNAME}"}达5分钟)</t>
  </si>
  <si>
    <t>(3480/2983)</t>
  </si>
  <si>
    <t>Netgear Fastpath: Interface {#IFNAME}({#IFALIAS}): High error rate (&gt;{$IF.ERRORS.WARN:"{#IFNAME}"} for 5m)</t>
  </si>
  <si>
    <t>Netgear Fastpath: 接口{#IFNAME}({#IFALIAS}): 错误率太高(&gt;{$IF.ERRORS.WARN: "{#IFNAME}"}达5分钟)</t>
  </si>
  <si>
    <t>(3480/2984)</t>
  </si>
  <si>
    <t>Netgear Fastpath: Interface {#IFNAME}({#IFALIAS}): High bandwidth usage (&gt;{$IF.UTIL.MAX:"{#IFNAME}"}%)</t>
  </si>
  <si>
    <t>Netgear Fastpath: 接口{#IFNAME}({#IFALIAS}): 带宽使用率太高(&gt;{$IF.UTIL.MAX: "{#IFNAME}"}%)</t>
  </si>
  <si>
    <t>(3480/2989)</t>
  </si>
  <si>
    <t>Netgear Fastpath: #{#SNMPVALUE}: Temperature is above critical threshold: &gt;{$TEMP_CRIT:"{#SNMPVALUE}"}</t>
  </si>
  <si>
    <t>Netgear Fastpath: #{#SNMPVALUE}: 温度高于临界阈值: &gt;{$TEMP_CRIT: "{#SNMPVALUE}"}</t>
  </si>
  <si>
    <t>(3480/2990)</t>
  </si>
  <si>
    <t>Netgear Fastpath: #{#SNMPVALUE}: Temperature is above warning threshold: &gt;{$TEMP_WARN:"{#SNMPVALUE}"}</t>
  </si>
  <si>
    <t>Netgear Fastpath: #{#SNMPVALUE}: 温度高于告警阈值: &gt;{$TEMP_WARN: "{#SNMPVALUE}"}</t>
  </si>
  <si>
    <t>(3480/2991)</t>
  </si>
  <si>
    <t>Netgear Fastpath: #{#SNMPVALUE}: Temperature is too low: &lt;{$TEMP_CRIT_LOW:"{#SNMPVALUE}"}</t>
  </si>
  <si>
    <t>Netgear Fastpath: #{#SNMPVALUE}: 温度太低: &lt;{$TEMP_CRIT_LOW: "{#SNMPVALUE}"}</t>
  </si>
  <si>
    <t>(3480/2993)</t>
  </si>
  <si>
    <t>Network Generic Device: Interface {#IFNAME}({#IFALIAS}): High error rate (&gt;{$IF.ERRORS.WARN:"{#IFNAME}"} for 5m)</t>
  </si>
  <si>
    <t>Network Generic Device: 接口{#IFNAME}({#IFALIAS}): 错误率太高(&gt;{$IF.ERRORS.WARN: "{#IFNAME}"}达5分钟)</t>
  </si>
  <si>
    <t>(3480/2994)</t>
  </si>
  <si>
    <t>Network Generic Device: Interface {#IFNAME}({#IFALIAS}): High bandwidth usage (&gt;{$IF.UTIL.MAX:"{#IFNAME}"}%)</t>
  </si>
  <si>
    <t>Network Generic Device: 接口{#IFNAME}({#IFALIAS}): 带宽使用率太高(&gt;{$IF.UTIL.MAX: "{#IFNAME}"}%)</t>
  </si>
  <si>
    <t>(3480/2998)</t>
  </si>
  <si>
    <t>23426</t>
  </si>
  <si>
    <t>(3480/2999)</t>
  </si>
  <si>
    <t>23427</t>
  </si>
  <si>
    <t>(3480/3000)</t>
  </si>
  <si>
    <t>Nginx by Zabbix agent</t>
  </si>
  <si>
    <t>23046</t>
  </si>
  <si>
    <t>Nginx: Service response time is too high (over {$NGINX.RESPONSE_TIME.MAX.WARN}s for 5m)</t>
  </si>
  <si>
    <t>Nginx: 服务响应时间过高(5分钟内超过{$NGINX.RESPONSE_TIME.MAX.WARN}秒)</t>
  </si>
  <si>
    <t>(3480/3002)</t>
  </si>
  <si>
    <t>23044</t>
  </si>
  <si>
    <t>Nginx: High connections drop rate (more than {$NGINX.DROP_RATE.MAX.WARN} for 5m)</t>
  </si>
  <si>
    <t>Nginx: 连接丢弃率(5分钟内超过{$NGINX.DROP_RATE.MAX.WARN})</t>
  </si>
  <si>
    <t>(3480/3004)</t>
  </si>
  <si>
    <t>23043</t>
  </si>
  <si>
    <t>Nginx: Failed to fetch stub status page (or no data for 30m)</t>
  </si>
  <si>
    <t>Nginx: 无法获取stub状态页面(或30分钟内无数据)</t>
  </si>
  <si>
    <t>(3480/3005)</t>
  </si>
  <si>
    <t>Nginx by Zabbix agent active</t>
  </si>
  <si>
    <t>23832</t>
  </si>
  <si>
    <t>(3480/3007)</t>
  </si>
  <si>
    <t>23830</t>
  </si>
  <si>
    <t>(3480/3008)</t>
  </si>
  <si>
    <t>23829</t>
  </si>
  <si>
    <t>(3480/3010)</t>
  </si>
  <si>
    <t>22849</t>
  </si>
  <si>
    <t>(3480/3011)</t>
  </si>
  <si>
    <t>22847</t>
  </si>
  <si>
    <t>(3480/3012)</t>
  </si>
  <si>
    <t>22850</t>
  </si>
  <si>
    <t>(3480/3013)</t>
  </si>
  <si>
    <t>22848</t>
  </si>
  <si>
    <t>(3480/3017)</t>
  </si>
  <si>
    <t>OpenBSD by Zabbix agent</t>
  </si>
  <si>
    <t>17135</t>
  </si>
  <si>
    <t>OpenBSD: FS [{#FSNAME}]: Running out of free inodes (free &lt; {$VFS.FS.INODE.PFREE.MIN.WARN:"{#FSNAME}"}%)</t>
  </si>
  <si>
    <t>OpenBSD: FS [{#FSNAME}]: 索引节点不足(空闲 &lt; {$VFS.FS.INODE.PFREE.MIN.WARN: "{#FSNAME}"}%)</t>
  </si>
  <si>
    <t>(3480/3018)</t>
  </si>
  <si>
    <t>23691</t>
  </si>
  <si>
    <t>OpenBSD: {#FSNAME}: Running out of free inodes (free &lt; {$VFS.FS.INODE.PFREE.MIN.CRIT:"{#FSNAME}"}%)</t>
  </si>
  <si>
    <t>OpenBSD: {#FSNAME}: 可用inode耗尽(可用&lt;{$VFS.FS.INODE.PFREE.MIN.CRIT: "{#FSNAME}"}%)</t>
  </si>
  <si>
    <t>(3480/3019)</t>
  </si>
  <si>
    <t>17134</t>
  </si>
  <si>
    <t>OpenBSD: FS [{#FSNAME}]: Space is low (used &gt; {$VFS.FS.PUSED.MAX.WARN:"{#FSNAME}"}%, total {{?last(//vfs.fs.dependent.size[{#FSNAME},total])/1024/1024/1024}.fmtnum(1)}GB)</t>
  </si>
  <si>
    <t>OpenBSD: FS [{#FSNAME}]: 空间不足(已用 &gt; {$VFS.FS.PUSED.MAX.WARN: "{#FSNAME}"}%,总计 {{?last(//vfs.fs.dependent.size[{#FSNAME},total])/1024/1024/1024}.fmtnum(1)}GB)</t>
  </si>
  <si>
    <t>(3480/3020)</t>
  </si>
  <si>
    <t>23692</t>
  </si>
  <si>
    <t>OpenBSD: FS [{#FSNAME}]: Space is critically low (used &gt; {$VFS.FS.PUSED.MAX.CRIT:"{#FSNAME}"}%, total {{?last(//vfs.fs.dependent.size[{#FSNAME},total])/1024/1024/1024}.fmtnum(1)}GB)</t>
  </si>
  <si>
    <t>OpenBSD: FS [{#FSNAME}]: 空间严重不足(已用 &gt; {$VFS.FS.PUSED.MAX.CRIT: "{#FSNAME}"}%,总计 {{?last(//vfs.fs.dependent.size[{#FSNAME},total])/1024/1024/1024}.fmtnum(1)}GB)</t>
  </si>
  <si>
    <t>(3480/3030)</t>
  </si>
  <si>
    <t>22568</t>
  </si>
  <si>
    <t>OpenWeatherMap: [{#LOCATION}, {#COUNTRY}]: Temperature is too low (below {$TEMP.CRIT.LOW} for 30m)</t>
  </si>
  <si>
    <t>OpenWeatherMap: [{#LOCATION},{#COUNTRY}]: 温度太低(低于{$TEMP.CRIT.LOW}达30分钟)</t>
  </si>
  <si>
    <t>(3480/3031)</t>
  </si>
  <si>
    <t>22567</t>
  </si>
  <si>
    <t>OpenWeatherMap: [{#LOCATION}, {#COUNTRY}]: Temperature is too high (over {$TEMP.CRIT.HIGH} for 30m)</t>
  </si>
  <si>
    <t>OpenWeatherMap: [{#LOCATION},{#COUNTRY}]: 温度太高(超过{$TEMP.CRIT.HIGH}达30分钟)</t>
  </si>
  <si>
    <t>(3480/3034)</t>
  </si>
  <si>
    <t>23660</t>
  </si>
  <si>
    <t>OCI Compute: VNIC [{#NAME}]: Current conntrack table utilization is high (util &gt;= {$OCI.COMPUTE.VNIC.CONNTRACK.UTIL.WARN}%)</t>
  </si>
  <si>
    <t>OCI Compute: VNIC [{#NAME}]: 当前连接跟踪表利用率高了(利用率 &gt;= {$OCI.COMPUTE.VNIC.CONNTRACK.UTIL.WARN}%)</t>
  </si>
  <si>
    <t>(3480/3035)</t>
  </si>
  <si>
    <t>23661</t>
  </si>
  <si>
    <t>OCI Compute: VNIC [{#NAME}]: Current conntrack table utilization is too high (util &gt;= {$OCI.COMPUTE.VNIC.CONNTRACK.UTIL.HIGH}%)</t>
  </si>
  <si>
    <t>OCI Compute: VNIC [{#NAME}]: 当前连接跟踪表利用率高了(利用率 &gt;= {$OCI.COMPUTE.VNIC.CONNTRACK.UTIL.HIGH}%)</t>
  </si>
  <si>
    <t>(3480/3039)</t>
  </si>
  <si>
    <t>Oracle: ASM '{#DGNAME}': Disk group usage is too high (over {$ORACLE.ASM.USED.PCT.MAX.HIGH}% for 5m)</t>
  </si>
  <si>
    <t>Oracle: ASM '{#DGNAME}': 磁盘组使用率太高(超过{$ORACLE.ASM.USED.PCT.MAX.HIGH}%达5分钟)</t>
  </si>
  <si>
    <t>(3480/3040)</t>
  </si>
  <si>
    <t>Oracle: ASM '{#DGNAME}': Disk group usage is too high (over {$ORACLE.ASM.USED.PCT.MAX.WARN}% for 5m)</t>
  </si>
  <si>
    <t>Oracle: ASM '{#DGNAME}': 磁盘组使用率太高(超过{$ORACLE.ASM.USED.PCT.MAX.WARN}%达5分钟)</t>
  </si>
  <si>
    <t>(3480/3043)</t>
  </si>
  <si>
    <t>Oracle: Database '{#DBNAME}': Open status has changed (new value received: {ITEM.VALUE})</t>
  </si>
  <si>
    <t>Oracle: Oracle数据库"{#DBNAME}": 打开状态已变更(收到新值: {ITEM.VALUE})</t>
  </si>
  <si>
    <t>(3480/3044)</t>
  </si>
  <si>
    <t>Oracle: Database '{#DBNAME}': Role has changed (new value received: {ITEM.VALUE})</t>
  </si>
  <si>
    <t>Oracle: Oracle数据库"{#DBNAME}": 角色已变更(收到新值: {ITEM.VALUE})</t>
  </si>
  <si>
    <t>(3480/3046)</t>
  </si>
  <si>
    <t>(3480/3048)</t>
  </si>
  <si>
    <t>Oracle: '{#CON_NAME}' TBS '{#TABLESPACE}': Tablespace status has changed (new value received: {ITEM.VALUE})</t>
  </si>
  <si>
    <t>Oracle: Oracle '{#CON_NAME}' TBS '{#TABLESPACE}': 表空间状态已变更(收到新值: {ITEM.VALUE})</t>
  </si>
  <si>
    <t>(3480/3049)</t>
  </si>
  <si>
    <t>Oracle: '{#CON_NAME}' TBS '{#TABLESPACE}': Tablespace usage is too high (over {$ORACLE.TBS.USED.PCT.MAX.HIGH}% for 5m).</t>
  </si>
  <si>
    <t>Oracle: Oracle '{#CON_NAME}' TBS '{#TABLESPACE}': 表空间使用率太高(超过{$ORACLE.TBS.USED.PCT.MAX.HIGH}%达5分钟).</t>
  </si>
  <si>
    <t>(3480/3050)</t>
  </si>
  <si>
    <t>Oracle: '{#CON_NAME}' TBS '{#TABLESPACE}': Tablespace usage is too high (over {$ORACLE.TBS.USED.PCT.MAX.WARN}% for 5m).</t>
  </si>
  <si>
    <t>Oracle: Oracle '{#CON_NAME}' TBS '{#TABLESPACE}': 表空间使用率太高(超过{$ORACLE.TBS.USED.PCT.MAX.WARN}%达5分钟).</t>
  </si>
  <si>
    <t>(3480/3051)</t>
  </si>
  <si>
    <t>Oracle: '{#CON_NAME}' TBS '{#TABLESPACE}': Tablespace usage from MAX is too high (over {$ORACLE.TBS.USED.PCT.FROM.MAX.HIGH}% for 5m).</t>
  </si>
  <si>
    <t xml:space="preserve">Oracle: Oracle '{#CON_NAME}' TBS '{#TABLESPACE}': 表空间使用率过高(超过{ORACLE.TBS.USED.PCT.FROM.MAX.HIGH}%达5分钟). </t>
  </si>
  <si>
    <t>(3480/3052)</t>
  </si>
  <si>
    <t>23481</t>
  </si>
  <si>
    <t>Oracle: '{#CON_NAME}' TBS '{#TABLESPACE}': Tablespace usage from MAX is too high (over {$ORACLE.TBS.USED.PCT.FROM.MAX.WARN}% for 5m).</t>
  </si>
  <si>
    <t>Oracle: Oracle '{#CON_NAME}' TBS '{#TABLESPACE}': 表空间使用率过高(超过{ORACLE.TBS.USED.PCT.FROM.MAX.WARN}%达5分钟).</t>
  </si>
  <si>
    <t>(3480/3053)</t>
  </si>
  <si>
    <t>23156</t>
  </si>
  <si>
    <t>Oracle: '{#CON_NAME}' TBS '{#TABLESPACE}': Tablespace utilization is too high (over {$ORACLE.TBS.UTIL.PCT.MAX.HIGH}% for 5m).</t>
  </si>
  <si>
    <t>Oracle: Oracle '{#CON_NAME}' TBS '{#TABLESPACE}': 表空间利用率太高(超过{$ORACLE.TBS.UTIL.PCT.MAX.HIGH}%达5分钟).</t>
  </si>
  <si>
    <t>(3480/3054)</t>
  </si>
  <si>
    <t>23155</t>
  </si>
  <si>
    <t>Oracle: '{#CON_NAME}' TBS '{#TABLESPACE}': Tablespace utilization is too high (over {$ORACLE.TBS.UTIL.PCT.MAX.WARN}% for 5m).</t>
  </si>
  <si>
    <t>Oracle: Oracle '{#CON_NAME}' TBS '{#TABLESPACE}': 表空间使用率过高(超过{$ORACLE.TBS.UTIL.PCT.MAX.WARN}%达5分钟).</t>
  </si>
  <si>
    <t>(3480/3056)</t>
  </si>
  <si>
    <t>(3480/3057)</t>
  </si>
  <si>
    <t>23133</t>
  </si>
  <si>
    <t>(3480/3060)</t>
  </si>
  <si>
    <t>23129</t>
  </si>
  <si>
    <t>(3480/3061)</t>
  </si>
  <si>
    <t>(3480/3063)</t>
  </si>
  <si>
    <t>23134</t>
  </si>
  <si>
    <t>(3480/3065)</t>
  </si>
  <si>
    <t>(3480/3066)</t>
  </si>
  <si>
    <t>(3480/3067)</t>
  </si>
  <si>
    <t>23139</t>
  </si>
  <si>
    <t>(3480/3068)</t>
  </si>
  <si>
    <t>23478</t>
  </si>
  <si>
    <t>Oracle: '{#CON_NAME}' TBS '{#TABLESPACE}': Tablespace utilization from MAX is too high (over {$ORACLE.TBS.USED.PCT.FROM.MAX.WARN}% for 5m).</t>
  </si>
  <si>
    <t>Oracle: Oracle '{#CON_NAME}' TBS '{#TABLESPACE}': 表空间从最大值的使用率过高(超过{$ORACLE.TBS.USED.PCT.FROM.MAX.WARN}%持续5分钟).</t>
  </si>
  <si>
    <t>(3480/3069)</t>
  </si>
  <si>
    <t>23479</t>
  </si>
  <si>
    <t>Oracle: '{#CON_NAME}' TBS '{#TABLESPACE}': Tablespace utilization from MAX is too high (over {$ORACLE.TBS.USED.PCT.FROM.MAX.HIGH}% for 5m).</t>
  </si>
  <si>
    <t>Oracle: Oracle '{#CON_NAME}' TBS '{#TABLESPACE}': 表空间从最大值的使用率过高(超过{$ORACLE.TBS.USED.PCT.FROM.MAX.HIGH}%持续5分钟).</t>
  </si>
  <si>
    <t>(3480/3070)</t>
  </si>
  <si>
    <t>(3480/3071)</t>
  </si>
  <si>
    <t>(3480/3072)</t>
  </si>
  <si>
    <t>(3480/3073)</t>
  </si>
  <si>
    <t>(3480/3074)</t>
  </si>
  <si>
    <t>(3480/3075)</t>
  </si>
  <si>
    <t>(3480/3079)</t>
  </si>
  <si>
    <t>PHP-FPM by Zabbix agent</t>
  </si>
  <si>
    <t>23048</t>
  </si>
  <si>
    <t>PHP-FPM: Failed to fetch info data (or no data for 30m)</t>
  </si>
  <si>
    <t>PHP-FPM: 无法获取信息数据(或30分钟内无数据)</t>
  </si>
  <si>
    <t>(3480/3082)</t>
  </si>
  <si>
    <t>PHP-FPM by Zabbix agent active</t>
  </si>
  <si>
    <t>23849</t>
  </si>
  <si>
    <t>(3480/3086)</t>
  </si>
  <si>
    <t>Palo Alto PA-440 by HTTP</t>
  </si>
  <si>
    <t>23967</t>
  </si>
  <si>
    <t>PA-440: Device certificate: Expires soon (less than {$PAN.PA440.CERT.DEVICE.EXPIRY.WARN} until it expires)</t>
  </si>
  <si>
    <t>PA-440:设备证书:即将过期(距离过期时间少于{$PAN.PA440.CERT.DEVICE.EXPIRY.WARN} )</t>
  </si>
  <si>
    <t>(3480/3087)</t>
  </si>
  <si>
    <t>23968</t>
  </si>
  <si>
    <t>PA-440: Certificate [{#CERTNAME}]: Expires soon (less than {$PAN.PA440.CERT.EXPIRY.WARN} until it expires)</t>
  </si>
  <si>
    <t>PA-440:证书[{#CERTNAME}]:即将过期(距离过期时间少于{$PAN.PA440.CERT.EXPIRY.WARN} )</t>
  </si>
  <si>
    <t>(3480/3092)</t>
  </si>
  <si>
    <t>23973</t>
  </si>
  <si>
    <t>PA-440: HA state has been changed to "{ITEM.VALUE}"</t>
  </si>
  <si>
    <t>PA-440:高可用性(HA)状态已更改为"{ITEM.VALUE}"</t>
  </si>
  <si>
    <t>(3480/3095)</t>
  </si>
  <si>
    <t>23976</t>
  </si>
  <si>
    <t>PA-440: Interface [{#IFNAME}]: High bandwidth usage (&gt;{$PAN.PA440.IF.HW.UTIL.MAX:"{#IFNAME}"}%)</t>
  </si>
  <si>
    <t>PA-440:接口[{#IFNAME}]:带宽使用率高(大于{$PAN.PA440.IF.HW.UTIL.MAX:"{#IFNAME}"}%)</t>
  </si>
  <si>
    <t>(3480/3096)</t>
  </si>
  <si>
    <t>23977</t>
  </si>
  <si>
    <t>PA-440: Interface [{#IFNAME}]: High error rate (&gt;{$PAN.PA440.IF.HW.ERRORS.WARN:"{#IFNAME}"} for 5m)</t>
  </si>
  <si>
    <t>PA-440:接口[{#IFNAME}]:错误率高(在5分钟内大于{$PAN.PA440.IF.HW.ERRORS.WARN:"{#IFNAME}"} )</t>
  </si>
  <si>
    <t>(3480/3098)</t>
  </si>
  <si>
    <t>23979</t>
  </si>
  <si>
    <t>PA-440: VSYS [{#VSYS}]: Interface [{#IFNAME}]: High error rate (&gt;{$PAN.PA440.IF.SW.ERRORS.WARN:"{#IFNAME}"} for 5m)</t>
  </si>
  <si>
    <t>PA-440:虚拟系统(VSYS)[{#VSYS}]:接口[{#IFNAME}]:错误率高(在5分钟内大于{$PAN.PA440.IF.SW.ERRORS.WARN:"{#IFNAME}"} )</t>
  </si>
  <si>
    <t>(3480/3100)</t>
  </si>
  <si>
    <t>23981</t>
  </si>
  <si>
    <t>PA-440: License [{#FEATURE}]: Expires soon (less than {$PAN.PA440.LICENSE.EXPIRY.WARN:"{#FEATURE}"} until it expires)</t>
  </si>
  <si>
    <t xml:space="preserve">PA-440:许可证[{#FEATURE}]:即将过期(距离过期时间少于{$PAN.PA440.LICENSE.EXPIRY.WARN:"{#FEATURE}"} ) </t>
  </si>
  <si>
    <t>(3480/3105)</t>
  </si>
  <si>
    <t>23339</t>
  </si>
  <si>
    <t>PostgreSQL: DB [{#DBNAME}]: Too many recovery conflicts (over {$PG.CONFLICTS.MAX.WARN:"{#DBNAME}"} in 5m)</t>
  </si>
  <si>
    <t>PostgreSQL: DB [{#DBNAME}]: 恢复冲突太多(5分钟内超过 {$PG.CONFLICTS.MAX.WARN: "{#DBNAME}"})</t>
  </si>
  <si>
    <t>(3480/3106)</t>
  </si>
  <si>
    <t>23340</t>
  </si>
  <si>
    <t>PostgreSQL: DB [{#DBNAME}]: Deadlock occurred (over {$PG.DEADLOCKS.MAX.WARN:"{#DBNAME}"} in 5m)</t>
  </si>
  <si>
    <t>PostgreSQL: DB [{#DBNAME}]: 发生死锁(5分钟内超过 {$PG.DEADLOCKS.MAX.WARN: "{#DBNAME}"})</t>
  </si>
  <si>
    <t>(3480/3107)</t>
  </si>
  <si>
    <t>23341</t>
  </si>
  <si>
    <t>PostgreSQL: DB [{#DBNAME}]: Too many slow queries (over {$PG.SLOW_QUERIES.MAX.WARN:"{#DBNAME}"} in 5m)</t>
  </si>
  <si>
    <t>PostgreSQL: DB [{#DBNAME}]: 慢查询太多(5分钟内超过 {$PG.SLOW_QUERIES.MAX.WARN: "{#DBNAME}"})</t>
  </si>
  <si>
    <t>(3480/3108)</t>
  </si>
  <si>
    <t>(3480/3109)</t>
  </si>
  <si>
    <t>(3480/3110)</t>
  </si>
  <si>
    <t>PostgreSQL: DB [{#DBNAME}]: VACUUM FREEZE is required to prevent wraparound (frozen XID less than {$PG.FROZENXID_PCT_STOP.MIN.HIGH:"{#DBNAME}"} %)</t>
  </si>
  <si>
    <t>PostgreSQL: DB [{#DBNAME}]: 需要 VACUUM FREEZE 来防止环绕(冻结的 XID 小于 {$PG.FROZENXID_PCT_STOP.MIN.HIGH: "{#DBNAME}"} %)</t>
  </si>
  <si>
    <t>(3480/3111)</t>
  </si>
  <si>
    <t>PostgreSQL: DB [{#DBNAME}]: Number of locks is too high (over {$PG.LOCKS.MAX.WARN:"{#DBNAME}"} in 5m)</t>
  </si>
  <si>
    <t>PostgreSQL: DB [{#DBNAME}]: 锁数量过高(5分钟内超过 {$PG.LOCKS.MAX.WARN: "{#DBNAME}"})</t>
  </si>
  <si>
    <t>(3480/3112)</t>
  </si>
  <si>
    <t>(3480/3114)</t>
  </si>
  <si>
    <t>(3480/3115)</t>
  </si>
  <si>
    <t>(3480/3116)</t>
  </si>
  <si>
    <t>22614</t>
  </si>
  <si>
    <t>(3480/3118)</t>
  </si>
  <si>
    <t>PostgreSQL by Zabbix agent 2 active</t>
  </si>
  <si>
    <t>23890</t>
  </si>
  <si>
    <t>(3480/3119)</t>
  </si>
  <si>
    <t>23891</t>
  </si>
  <si>
    <t>(3480/3120)</t>
  </si>
  <si>
    <t>23892</t>
  </si>
  <si>
    <t>(3480/3121)</t>
  </si>
  <si>
    <t>PostgreSQL by Zabbix agent active</t>
  </si>
  <si>
    <t>23904</t>
  </si>
  <si>
    <t>(3480/3122)</t>
  </si>
  <si>
    <t>23905</t>
  </si>
  <si>
    <t>(3480/3123)</t>
  </si>
  <si>
    <t>23906</t>
  </si>
  <si>
    <t>(3480/3124)</t>
  </si>
  <si>
    <t>23907</t>
  </si>
  <si>
    <t>(3480/3125)</t>
  </si>
  <si>
    <t>23908</t>
  </si>
  <si>
    <t>(3480/3127)</t>
  </si>
  <si>
    <t>22572</t>
  </si>
  <si>
    <t>Proxmox VE: LXC [{#NODE.NAME}/{#LXC.NAME} ({#LXC.ID})] high CPU usage (over {$PVE.LXC.CPU.PUSE.MAX.WARN:"{#LXC.ID}"}% use)</t>
  </si>
  <si>
    <t>Proxmox VE: LXC[{#NODE.NAME}/{#LXC.NAME}({#LXC.ID})]CPU使用率高了(超过{$PVE.LXC.CPU.PUSE.MAX.WARN: "{#LXC.ID}"}%的使用率)</t>
  </si>
  <si>
    <t>(3480/3128)</t>
  </si>
  <si>
    <t>23852</t>
  </si>
  <si>
    <t>Proxmox VE: LXC [{#NODE.NAME}/{#LXC.NAME} ({#LXC.ID})] high disk space usage (over {$PVE.LXC.DISK.PUSE.MAX.WARN:"{#LXC.ID}"}% usage)</t>
  </si>
  <si>
    <t>Proxmox VE: Linux容器[{#NODE.NAME}/{#LXC.NAME}（{#LXC.ID}）]磁盘空间使用率过高（使用率超过{$PVE.LXC.DISK.PUSE.MAX.WARN:"{#LXC.ID}"}%）</t>
  </si>
  <si>
    <t>(3480/3129)</t>
  </si>
  <si>
    <t>22571</t>
  </si>
  <si>
    <t>Proxmox VE: LXC [{#NODE.NAME}/{#LXC.NAME} ({#LXC.ID})] high memory usage (over {$PVE.LXC.MEMORY.PUSE.MAX.WARN:"{#LXC.ID}"}% use)</t>
  </si>
  <si>
    <t>Proxmox VE: LXC[{#NODE.NAME}/{#LXC.NAME}({#LXC.ID})]内存使用率高了(超过{$PVE.LXC.MEMORY.PUSE.MAX.WARN: "{#LXC.ID}"}%的使用率)</t>
  </si>
  <si>
    <t>(3480/3130)</t>
  </si>
  <si>
    <t>22573</t>
  </si>
  <si>
    <t>Proxmox VE: LXC [{#NODE.NAME}/{#LXC.NAME}] has been restarted (uptime &lt; 10m)</t>
  </si>
  <si>
    <t>Proxmox VE: LXC容器 [{#NODE.NAME}/{#LXC.NAME}] 已重启 (运行时间 &lt; 10分钟)</t>
  </si>
  <si>
    <t>(3480/3132)</t>
  </si>
  <si>
    <t>22578</t>
  </si>
  <si>
    <t>Proxmox VE: Node [{#NODE.NAME}] high CPU usage (over {$PVE.CPU.PUSE.MAX.WARN:"{#NODE.NAME}"}% use)</t>
  </si>
  <si>
    <t>Proxmox VE: 节点[{#NODE.NAME}]CPU使用率高了(超过{$PVE.CPU.PUSE.MAX.WARN: "{#NODE.NAME}"}%的使用率)</t>
  </si>
  <si>
    <t>(3480/3133)</t>
  </si>
  <si>
    <t>Proxmox VE: Storage [{#NODE.NAME}/{#STORAGE.NAME}] high filesystem space usage (over {$PVE.STORAGE.PUSE.MAX.WARN:"{#NODE.NAME}/{#STORAGE.NAME}"}% use)</t>
  </si>
  <si>
    <t>Proxmox VE: 存储[{#NODE.NAME}/{#STORAGE.NAME}]文件系统空间使用率高了(超过{$PVE.STORAGE.PUSE.MAX.WARN: "{#NODE.NAME}/{#STORAGE.NAME}"}%的使用率)</t>
  </si>
  <si>
    <t>(3480/3135)</t>
  </si>
  <si>
    <t>22575</t>
  </si>
  <si>
    <t>Proxmox VE: Node [{#NODE.NAME}] high memory usage (over {$PVE.MEMORY.PUSE.MAX.WARN:"{#NODE.NAME}"}% use)</t>
  </si>
  <si>
    <t>Proxmox VE: 节点[{#NODE.NAME}]内存使用率高了(超过{$PVE.MEMORY.PUSE.MAX.WARN: "{#NODE.NAME}"}%的使用率)</t>
  </si>
  <si>
    <t>(3480/3138)</t>
  </si>
  <si>
    <t>22576</t>
  </si>
  <si>
    <t>Proxmox VE: Node [{#NODE.NAME}] high root filesystem space usage (over {$PVE.ROOT.PUSE.MAX.WARN:"{#NODE.NAME}"}% use)</t>
  </si>
  <si>
    <t>Proxmox VE: 节点[{#NODE.NAME}]根文件系统空间使用率高了(超过{$PVE.ROOT.PUSE.MAX.WARN: "{#NODE.NAME}"}%的使用率)</t>
  </si>
  <si>
    <t>(3480/3139)</t>
  </si>
  <si>
    <t>22577</t>
  </si>
  <si>
    <t>Proxmox VE: Node [{#NODE.NAME}] high swap space usage (over {$PVE.SWAP.PUSE.MAX.WARN:"{#NODE.NAME}"}% use)</t>
  </si>
  <si>
    <t>Proxmox VE: 节点 [{#NODE.NAME}] swap 空间使用率过高(超过 {$PVE.SWAP.PUSE.MAX.WARN: "{#NODE.NAME}"}% 使用率)</t>
  </si>
  <si>
    <t>(3480/3140)</t>
  </si>
  <si>
    <t>22582</t>
  </si>
  <si>
    <t>Proxmox VE: Node [{#NODE.NAME}] has been restarted (uptime &lt; 10m)</t>
  </si>
  <si>
    <t>Proxmox VE: 节点 [{#NODE.NAME}] 已重新启动（运行时间 &lt; 10分钟）</t>
  </si>
  <si>
    <t>(3480/3141)</t>
  </si>
  <si>
    <t>Proxmox VE: VM [{#NODE.NAME}/{#QEMU.NAME} ({#QEMU.ID})] high CPU usage (over {$PVE.VM.CPU.PUSE.MAX.WARN:"{#QEMU.ID}"}% use)</t>
  </si>
  <si>
    <t>Proxmox VE: VM[{#NODE.NAME}/{#QEMU.NAME}({#QEMU.ID})]CPU使用率高了(超过{$PVE.VM.CPU.PUSE.MAX.WARN: "{#QEMU.ID}"}%使用率)</t>
  </si>
  <si>
    <t>(3480/3142)</t>
  </si>
  <si>
    <t>Proxmox VE: VM [{#NODE.NAME}/{#QEMU.NAME} ({#QEMU.ID})] high memory usage (over {$PVE.VM.MEMORY.PUSE.MAX.WARN:"{#QEMU.ID}"}% use)</t>
  </si>
  <si>
    <t>Proxmox VE: VM[{#NODE.NAME}/{#QEMU.NAME}({#QEMU.ID})]内存使用率高了(超过{$PVE.VM.MEMORY.PUSE.MAX.WARN: "{#QEMU.ID}"}%的使用率)</t>
  </si>
  <si>
    <t>(3480/3143)</t>
  </si>
  <si>
    <t>22585</t>
  </si>
  <si>
    <t>Proxmox VE: VM [{#NODE.NAME}/{#QEMU.NAME}] has been restarted (uptime &lt; 10m)</t>
  </si>
  <si>
    <t>Proxmox VE：虚拟机 [{#NODE.NAME}/{#QEMU.NAME}] 已重新启动（运行时间 &lt; 10分钟）</t>
  </si>
  <si>
    <t>(3480/3145)</t>
  </si>
  <si>
    <t>Pure Storage FlashArray v1 by HTTP</t>
  </si>
  <si>
    <t>25009</t>
  </si>
  <si>
    <t>Pure Storage FlashArray: Certificate [{#NAME}]: SSL certificate expires soon (less than {$PURE.FLASHARRAY.CERT.EXPIRY.WARN} days)</t>
  </si>
  <si>
    <t>Pure Storage FlashArray: 证书 [{#NAME}]：SSL证书即将过期（剩余天数少于{$PURE.FLASHARRAY.CERT.EXPIRY.WARN}天）</t>
  </si>
  <si>
    <t>(3480/3148)</t>
  </si>
  <si>
    <t>25012</t>
  </si>
  <si>
    <t>Pure Storage FlashArray: Drive [{#NAME}]: Drive is not healthy or is not ready for use</t>
  </si>
  <si>
    <t>Pure Storage FlashArray: 驱动器 [{#NAME}]: 驱动器状态异常或未就绪</t>
  </si>
  <si>
    <t>(3480/3154)</t>
  </si>
  <si>
    <t>Pure Storage FlashArray v2 by HTTP</t>
  </si>
  <si>
    <t>25018</t>
  </si>
  <si>
    <t>(3480/3157)</t>
  </si>
  <si>
    <t>25021</t>
  </si>
  <si>
    <t>Pure Storage FlashArray: 驱动器 [{#NAME}]：驱动器不健康或未准备好使用</t>
  </si>
  <si>
    <t>(3480/3164)</t>
  </si>
  <si>
    <t>QTech QSW: Interface {#IFNAME}({#IFALIAS}): High error rate (&gt;{$IF.ERRORS.WARN:"{#IFNAME}"} for 5m)</t>
  </si>
  <si>
    <t>QTech QSW: 接口{#IFNAME}({#IFALIAS}): 错误率太高(&gt;{$IF.ERRORS.WARN: "{#IFNAME}"}达5分钟)</t>
  </si>
  <si>
    <t>(3480/3165)</t>
  </si>
  <si>
    <t>QTech QSW: Interface {#IFNAME}({#IFALIAS}): High bandwidth usage (&gt;{$IF.UTIL.MAX:"{#IFNAME}"}%)</t>
  </si>
  <si>
    <t>QTech QSW: 接口{#IFNAME}({#IFALIAS}): 带宽使用率太高(&gt;{$IF.UTIL.MAX: "{#IFNAME}"}%)</t>
  </si>
  <si>
    <t>(3480/3178)</t>
  </si>
  <si>
    <t>RabbitMQ node: Too many messages in queue [{#VHOST}][{#QUEUE}] (over {$RABBITMQ.MESSAGES.MAX.WARN:"{#QUEUE}"} for 5m)</t>
  </si>
  <si>
    <t>RabbitMQ node: 队列[{#VHOST}][{#QUEUE}]中的消息太多(超过{$RABBITMQ.MESSAGES.MAX.WARN: "{#QUEUE}"}达5分钟)</t>
  </si>
  <si>
    <t>(3480/3179)</t>
  </si>
  <si>
    <t>23054</t>
  </si>
  <si>
    <t>RabbitMQ node: Service response time is too high (over {$RABBITMQ.RESPONSE_TIME.MAX.WARN}s for 5m)</t>
  </si>
  <si>
    <t>RabbitMQ node: 服务响应时间过高(5分钟内超过{$RABBITMQ.RESPONSE_TIME.MAX.WARN}秒)</t>
  </si>
  <si>
    <t>(3480/3182)</t>
  </si>
  <si>
    <t>23051</t>
  </si>
  <si>
    <t>RabbitMQ node: Failed to fetch nodes data (or no data for 30m)</t>
  </si>
  <si>
    <t>RabbitMQ node: 无法获取节点数据(或30分钟内无数据)</t>
  </si>
  <si>
    <t>(3480/3184)</t>
  </si>
  <si>
    <t>(3480/3192)</t>
  </si>
  <si>
    <t>(3480/3193)</t>
  </si>
  <si>
    <t>(3480/3198)</t>
  </si>
  <si>
    <t>Remote Zabbix server health</t>
  </si>
  <si>
    <t>22992</t>
  </si>
  <si>
    <t>Zabbix server: Proxy [{#PROXY.NAME}]: Zabbix proxy last seen more than {$ZABBIX.PROXY.LAST_SEEN.MAX} seconds ago</t>
  </si>
  <si>
    <t>Zabbix server: Proxy [{#PROXY.NAME}]: Zabbix proxy 超过{$ZABBIX.PROXY.LAST_SEEN.MAX}秒未检测到活动</t>
  </si>
  <si>
    <t>(3480/3208)</t>
  </si>
  <si>
    <t>23188</t>
  </si>
  <si>
    <t>SMART: [{#NAME}]: Disk has been replaced (new serial number received)</t>
  </si>
  <si>
    <t>SMART: SMART[{#NAME}]: 磁盘已更换(收到新序列号)</t>
  </si>
  <si>
    <t>(3480/3209)</t>
  </si>
  <si>
    <t>23189</t>
  </si>
  <si>
    <t>SMART: [{#NAME}]: Average disk temperature is critical (over {$SMART.TEMPERATURE.MAX.CRIT}°C for 5m)</t>
  </si>
  <si>
    <t>SMART: SMART[{#NAME}]: 平均磁盘温度严重告警(超过{$SMART.TEMPERATURE.MAX.CRIT}°C达5分钟)</t>
  </si>
  <si>
    <t>(3480/3210)</t>
  </si>
  <si>
    <t>23190</t>
  </si>
  <si>
    <t>SMART: [{#NAME}]: Average disk temperature is too high (over {$SMART.TEMPERATURE.MAX.WARN}°C for 5m)</t>
  </si>
  <si>
    <t>SMART: SMART[{#NAME}]: 平均磁盘温度太高(超过{$SMART.TEMPERATURE.MAX.WARN}°C达5分钟)</t>
  </si>
  <si>
    <t>(3480/3221)</t>
  </si>
  <si>
    <t>23201</t>
  </si>
  <si>
    <t>(3480/3222)</t>
  </si>
  <si>
    <t>23202</t>
  </si>
  <si>
    <t>(3480/3223)</t>
  </si>
  <si>
    <t>23203</t>
  </si>
  <si>
    <t>(3480/3225)</t>
  </si>
  <si>
    <t>Solaris by Zabbix agent</t>
  </si>
  <si>
    <t>17140</t>
  </si>
  <si>
    <t>Solaris: FS [{#FSNAME}]: Running out of free inodes (free &lt; {$VFS.FS.INODE.PFREE.MIN.WARN:"{#FSNAME}"}%)</t>
  </si>
  <si>
    <t>Solaris: FS [{#FSNAME}]: 索引节点不足(空闲 &lt; {$VFS.FS.INODE.PFREE.MIN.WARN: "{#FSNAME}"}%)</t>
  </si>
  <si>
    <t>(3480/3226)</t>
  </si>
  <si>
    <t>23693</t>
  </si>
  <si>
    <t>Solaris: {#FSNAME}: Running out of free inodes (free &lt; {$VFS.FS.INODE.PFREE.MIN.CRIT:"{#FSNAME}"}%)</t>
  </si>
  <si>
    <t>Solaris: {#FSNAME}: 可用inode耗尽(可用&lt;{$VFS.FS.INODE.PFREE.MIN.CRIT: "{#FSNAME}"}%)</t>
  </si>
  <si>
    <t>(3480/3227)</t>
  </si>
  <si>
    <t>17139</t>
  </si>
  <si>
    <t>Solaris: FS [{#FSNAME}]: Space is low (used &gt; {$VFS.FS.PUSED.MAX.WARN:"{#FSNAME}"}%, total {{?last(//vfs.fs.dependent.size[{#FSNAME},total])/1024/1024/1024}.fmtnum(1)}GB)</t>
  </si>
  <si>
    <t>Solaris: FS [{#FSNAME}]: 空间不足(已用 &gt; {$VFS.FS.PUSED.MAX.WARN: "{#FSNAME}"}%,总计 {{?last(//vfs.fs.dependent.size[{#FSNAME},total])/1024/1024/1024}.fmtnum(1)}GB)</t>
  </si>
  <si>
    <t>(3480/3228)</t>
  </si>
  <si>
    <t>23694</t>
  </si>
  <si>
    <t>Solaris: FS [{#FSNAME}]: Space is critically low (used &gt; {$VFS.FS.PUSED.MAX.CRIT:"{#FSNAME}"}%, total {{?last(//vfs.fs.dependent.size[{#FSNAME},total])/1024/1024/1024}.fmtnum(1)}GB)</t>
  </si>
  <si>
    <t>Solaris: FS [{#FSNAME}]: 空间严重不足(已用 &gt; {$VFS.FS.PUSED.MAX.CRIT: "{#FSNAME}"}%,总计 {{?last(//vfs.fs.dependent.size[{#FSNAME},total])/1024/1024/1024}.fmtnum(1)}GB)</t>
  </si>
  <si>
    <t>(3480/3230)</t>
  </si>
  <si>
    <t>Supermicro Aten: {#SENSOR_DESCR}: Temperature is above critical threshold: &gt;{$TEMP_CRIT:"{#SENSOR_DESCR}"}</t>
  </si>
  <si>
    <t>Supermicro Aten: {#SENSOR_DESCR}: 温度高于临界阈值: &gt;{$TEMP_CRIT: "{#SENSOR_DESCR}"}</t>
  </si>
  <si>
    <t>(3480/3231)</t>
  </si>
  <si>
    <t>Supermicro Aten: {#SENSOR_DESCR}: Temperature is above warning threshold: &gt;{$TEMP_WARN:"{#SENSOR_DESCR}"}</t>
  </si>
  <si>
    <t>Supermicro Aten: {#SENSOR_DESCR}: 温度高于告警阈值: &gt;{$TEMP_WARN: "{#SENSOR_DESCR}"}</t>
  </si>
  <si>
    <t>(3480/3232)</t>
  </si>
  <si>
    <t>Supermicro Aten: {#SENSOR_DESCR}: Temperature is too low: &lt;{$TEMP_CRIT_LOW:"{#SENSOR_DESCR}"}</t>
  </si>
  <si>
    <t>Supermicro Aten: {#SENSOR_DESCR}: 温度太低: &lt;{$TEMP_CRIT_LOW: "{#SENSOR_DESCR}"}</t>
  </si>
  <si>
    <t>(3480/3234)</t>
  </si>
  <si>
    <t>Systemd: {#UNIT.NAME} has been restarted (uptime &lt; 10m)</t>
  </si>
  <si>
    <t>Systemd: {#UNIT.NAME} 已重启（运行时间 &lt; 10分钟）</t>
  </si>
  <si>
    <t>(3480/3235)</t>
  </si>
  <si>
    <t>TP-LINK: Interface {#IFNAME}({#IFALIAS}): High error rate (&gt;{$IF.ERRORS.WARN:"{#IFNAME}"} for 5m)</t>
  </si>
  <si>
    <t>TP-LINK: 接口{#IFNAME}({#IFALIAS}): 错误率太高(&gt;{$IF.ERRORS.WARN: "{#IFNAME}"}达5分钟)</t>
  </si>
  <si>
    <t>(3480/3236)</t>
  </si>
  <si>
    <t>TP-LINK: Interface {#IFNAME}({#IFALIAS}): High bandwidth usage (&gt;{$IF.UTIL.MAX:"{#IFNAME}"}%)</t>
  </si>
  <si>
    <t>TP-LINK: 接口{#IFNAME}({#IFALIAS}): 带宽使用率太高(&gt;{$IF.UTIL.MAX: "{#IFNAME}"}%)</t>
  </si>
  <si>
    <t>(3480/3239)</t>
  </si>
  <si>
    <t>TP-LINK: #{#SNMPVALUE}: High CPU utilization (over {$CPU.UTIL.CRIT}% for 5m)</t>
  </si>
  <si>
    <t>TP-LINK: #{#SNMPVALUE}: CPU使用率太高(超过{$CPU.UTIL.CRIT}%达5分钟)</t>
  </si>
  <si>
    <t>(3480/3240)</t>
  </si>
  <si>
    <t>TP-LINK: #{#SNMPVALUE}: High memory utilization (&gt;{$MEMORY.UTIL.MAX}% for 5m)</t>
  </si>
  <si>
    <t>TP-LINK: #{#SNMPVALUE}: 内存利用率高了(&gt;{$MEMORY.UTIL.MAX}%达5分钟)</t>
  </si>
  <si>
    <t>(3480/3241)</t>
  </si>
  <si>
    <t>TiDB PD: Current storage usage is too high (over {$PD.STORAGE_USAGE.MAX.WARN}% for 5m)</t>
  </si>
  <si>
    <t>TiDB PD: 当前存储使用率太高(超过{$PD.STORAGE_USAGE.MAX.WARN}%达5分钟)</t>
  </si>
  <si>
    <t>(3480/3246)</t>
  </si>
  <si>
    <t>TiDB PD: Too many missed regions (over {$PD.MISS_REGION.MAX.WARN} in 5m)</t>
  </si>
  <si>
    <t>TiDB PD: 遗漏区域太多(5分钟内超过{$PD.MISS_REGION.MAX.WARN})</t>
  </si>
  <si>
    <t>(3480/3247)</t>
  </si>
  <si>
    <t>TiDB TiKV: Store_id {#STORE_ID}: Too many failure messages "{#TYPE}" (over {$TIKV.STORE.ERRORS.MAX.WARN} in 5m)</t>
  </si>
  <si>
    <t>TiDB TiKV: Store_id{#STORE_ID}: 失败消息"{#TYPE}"过多(5分钟内超过{$TIKV.STORE.ERRORS.MAX.WARN})</t>
  </si>
  <si>
    <t>(3480/3248)</t>
  </si>
  <si>
    <t>(3480/3249)</t>
  </si>
  <si>
    <t>Travis CI: Repo [{#SLUG}]: Percent of successful builds are &lt; {$TRAVIS.BUILDS.SUCCESS.PERCENT}%</t>
  </si>
  <si>
    <t>Travis CI: Repo[{#SLUG}]: 成功构建的百分比&lt;{$TRAVIS.BUILDS.SUCCESS.PERCENT}%</t>
  </si>
  <si>
    <t>(3480/3251)</t>
  </si>
  <si>
    <t>25047</t>
  </si>
  <si>
    <t>TrueNAS CORE: Interface {#IFNAME}({#IFALIAS}): High error rate (&gt;{$IF.ERRORS.WARN:"{#IFNAME}"} for 5m)</t>
  </si>
  <si>
    <t>TrueNAS CORE: 接口 {#IFNAME}({#IFALIAS}): 高错误率 (&gt;{$IF.ERRORS.WARN:"{#IFNAME}"} 持续5分钟)</t>
  </si>
  <si>
    <t>(3480/3252)</t>
  </si>
  <si>
    <t>25046</t>
  </si>
  <si>
    <t>TrueNAS CORE: Interface {#IFNAME}({#IFALIAS}): High bandwidth usage (&gt;{$IF.UTIL.MAX:"{#IFNAME}"}%)</t>
  </si>
  <si>
    <t>TrueNAS CORE: 接口 {#IFNAME}({#IFALIAS}): 高带宽使用率 (&gt;{$IF.UTIL.MAX:"{#IFNAME}"}%)</t>
  </si>
  <si>
    <t>(3480/3255)</t>
  </si>
  <si>
    <t>(3480/3256)</t>
  </si>
  <si>
    <t>22607</t>
  </si>
  <si>
    <t>(3480/3257)</t>
  </si>
  <si>
    <t>(3480/3258)</t>
  </si>
  <si>
    <t>TrueNAS CORE: Disk [{#DISK_NAME}]': Average disk temperature is too high (over {$TEMPERATURE.MAX.CRIT:"{#DISK_NAME}"}C for 5m)</t>
  </si>
  <si>
    <t>(3480/3259)</t>
  </si>
  <si>
    <t>TrueNAS CORE: Disk [{#DISK_NAME}]': Average disk temperature is too high (over {$TEMPERATURE.MAX.WARN:"{#DISK_NAME}"}C for 5m)</t>
  </si>
  <si>
    <t>(3480/3260)</t>
  </si>
  <si>
    <t>22609</t>
  </si>
  <si>
    <t>(3480/3261)</t>
  </si>
  <si>
    <t>22610</t>
  </si>
  <si>
    <t>(3480/3263)</t>
  </si>
  <si>
    <t>Ubiquiti AirOS: Interface {#IFNAME}({#IFALIAS}): High error rate (&gt;{$IF.ERRORS.WARN:"{#IFNAME}"} for 5m)</t>
  </si>
  <si>
    <t>Ubiquiti AirOS: 接口{#IFNAME}({#IFALIAS}): 错误率太高(&gt;{$IF.ERRORS.WARN: "{#IFNAME}"}达5分钟)</t>
  </si>
  <si>
    <t>(3480/3264)</t>
  </si>
  <si>
    <t>Ubiquiti AirOS: Interface {#IFNAME}({#IFALIAS}): High bandwidth usage (&gt;{$IF.UTIL.MAX:"{#IFNAME}"}%)</t>
  </si>
  <si>
    <t>Ubiquiti AirOS: 接口{#IFNAME}({#IFALIAS}): 带宽使用率太高(&gt;{$IF.UTIL.MAX: "{#IFNAME}"}%)</t>
  </si>
  <si>
    <t>(3480/3269)</t>
  </si>
  <si>
    <t>VeloCloud: Edge [{#NAME}]: Edge has been restarted (uptime &lt; 10m)</t>
  </si>
  <si>
    <t>VeloCloud: Edge[{#NAME}]: Edge已重启(正常运行时间&lt;10分钟)</t>
  </si>
  <si>
    <t>(3480/3271)</t>
  </si>
  <si>
    <t>VeloCloud: Gateway [{#NAME}]: Gateway has been restarted (uptime &lt; 10m)</t>
  </si>
  <si>
    <t>VeloCloud: 网关[{#NAME}]: 网关已重启(正常运行时间&lt;10分钟)</t>
  </si>
  <si>
    <t>(3480/3276)</t>
  </si>
  <si>
    <t>23718</t>
  </si>
  <si>
    <t>VMware: Datastore free space is critically low ([{#DATASTORE}] free space &lt; {$VMWARE.DATASTORE.SPACE.CRIT}%)</t>
  </si>
  <si>
    <t>VMware: 数据存储可用空间严重不足（[{#DATASTORE}] 可用空间小于 {$VMWARE.DATASTORE.SPACE.CRIT}%）。</t>
  </si>
  <si>
    <t>(3480/3277)</t>
  </si>
  <si>
    <t>23719</t>
  </si>
  <si>
    <t>VMware: Datastore free space is low ([{#DATASTORE}] free space &lt; {$VMWARE.DATASTORE.SPACE.WARN}%)</t>
  </si>
  <si>
    <t>VMware: 数据存储可用空间不足（[{#DATASTORE}] 可用空间小于 {$VMWARE.DATASTORE.SPACE.WARN}%）。</t>
  </si>
  <si>
    <t>(3480/3281)</t>
  </si>
  <si>
    <t>23722</t>
  </si>
  <si>
    <t>VMware FQDN: Datastore free space is critically low ([{#DATASTORE}] free space &lt; {$VMWARE.DATASTORE.SPACE.CRIT}%)</t>
  </si>
  <si>
    <t>VMware FQDN: 数据存储可用空间严重不足（[{#DATASTORE}] 可用空间小于 {$VMWARE.DATASTORE.SPACE.CRIT}%）。</t>
  </si>
  <si>
    <t>(3480/3282)</t>
  </si>
  <si>
    <t>23723</t>
  </si>
  <si>
    <t>VMware FQDN: Datastore free space is low ([{#DATASTORE}] free space &lt; {$VMWARE.DATASTORE.SPACE.WARN}%)</t>
  </si>
  <si>
    <t>VMware FQDN: 数据存储可用空间不足（[{#DATASTORE}] 可用空间小于 {$VMWARE.DATASTORE.SPACE.WARN}%）。</t>
  </si>
  <si>
    <t>(3480/3283)</t>
  </si>
  <si>
    <t>VMware Guest</t>
  </si>
  <si>
    <t>23775</t>
  </si>
  <si>
    <t>VMware Guest: [{#FSNAME}]: Disk space is critically low (below {$VMWARE.VM.FS.PFREE.MIN.CRIT:"{#FSNAME}"}% for 5m)</t>
  </si>
  <si>
    <t>VMware Guest: [{#FSNAME}]: 磁盘空间严重不足（在 5 分钟内低于 {$VMWARE.VM.FS.PFREE.MIN.CRIT:"{#FSNAME}"}%）。</t>
  </si>
  <si>
    <t>(3480/3284)</t>
  </si>
  <si>
    <t>23776</t>
  </si>
  <si>
    <t>VMware Guest: [{#FSNAME}]: Disk space is low (below {$VMWARE.VM.FS.PFREE.MIN.WARN:"{#FSNAME}"}% for 5m)</t>
  </si>
  <si>
    <t>VMware Guest: [{#FSNAME}]: 磁盘空间不足（在 5 分钟内低于 {$VMWARE.VM.FS.PFREE.MIN.WARN:"{#FSNAME}"}%）。</t>
  </si>
  <si>
    <t>(3480/3285)</t>
  </si>
  <si>
    <t>18032</t>
  </si>
  <si>
    <t>VMware Hypervisor: The multipath count for datastore [{#DATASTORE}] has been changed</t>
  </si>
  <si>
    <t>VMware Hypervisor: 数据存储 [{#DATASTORE}] 的多路径计数已更改。</t>
  </si>
  <si>
    <t>(3480/3286)</t>
  </si>
  <si>
    <t>23720</t>
  </si>
  <si>
    <t>VMware Hypervisor: Datastore free space is critically low ([{#DATASTORE}] free space &lt; {$VMWARE.HV.DATASTORE.SPACE.CRIT}%)</t>
  </si>
  <si>
    <t>VMware Hypervisor: 数据存储可用空间严重不足（[{#DATASTORE}] 可用空间小于 {$VMWARE.HV.DATASTORE.SPACE.CRIT}%）。</t>
  </si>
  <si>
    <t>(3480/3287)</t>
  </si>
  <si>
    <t>23721</t>
  </si>
  <si>
    <t>VMware Hypervisor: Datastore free space is low ([{#DATASTORE}] free space &lt; {$VMWARE.HV.DATASTORE.SPACE.WARN}%)</t>
  </si>
  <si>
    <t>VMware Hypervisor: 数据存储可用空间不足（[{#DATASTORE}] 可用空间小于 {$VMWARE.HV.DATASTORE.SPACE.WARN}%）。</t>
  </si>
  <si>
    <t>(3480/3292)</t>
  </si>
  <si>
    <t>23108</t>
  </si>
  <si>
    <t>Veeam Backup: Failed job [{#NAME}]</t>
  </si>
  <si>
    <t>Veeam Backup: 任务失败[{#NAME}]</t>
  </si>
  <si>
    <t>(3480/3293)</t>
  </si>
  <si>
    <t>23109</t>
  </si>
  <si>
    <t>Veeam Backup: Failed session [{#NAME}]</t>
  </si>
  <si>
    <t>Veeam Backup: 会话失败[{#NAME}]</t>
  </si>
  <si>
    <t>(3480/3294)</t>
  </si>
  <si>
    <t>WildFly Domain: Server {#SERVER}: Server group has changed (new group: {ITEM.VALUE})</t>
  </si>
  <si>
    <t>(3480/3295)</t>
  </si>
  <si>
    <t>WildFly Domain: Server {#SERVER}: Server status has changed (new status: {ITEM.VALUE})</t>
  </si>
  <si>
    <t>(3480/3297)</t>
  </si>
  <si>
    <t>WildFly Server: {#JMX_DATA_SOURCE}: Connection usage is too high (over {$WILDFLY.CONN.USAGE.WARN.MAX} in 5m)</t>
  </si>
  <si>
    <t>WildFly Server: WildFly{#JMX_DATA_SOURCE}: 连接使用率太高(5分钟内超过{$WILDFLY.CONN.USAGE.WARN.MAX})</t>
  </si>
  <si>
    <t>(3480/3299)</t>
  </si>
  <si>
    <t>WildFly Server: {#JMX_DATA_SOURCE}: Too many waiting connections (over {$WILDFLY.CONN.WAIT.MAX.WARN} for 5m)</t>
  </si>
  <si>
    <t>WildFly Server: WildFly{#JMX_DATA_SOURCE}: 等待连接太多(超过{$WILDFLY.CONN.WAIT.MAX.WARN}达5分钟)</t>
  </si>
  <si>
    <t>(3480/3303)</t>
  </si>
  <si>
    <t>WildFly Server: Deployment [{#DEPLOYMENT}]: Deployment status has changed (new status: {ITEM.VALUE})</t>
  </si>
  <si>
    <t>WildFly Server: WildFly部署[{#DEPLOYMENT}]: 部署状态已变更(新状态: {ITEM.VALUE})</t>
  </si>
  <si>
    <t>(3480/3304)</t>
  </si>
  <si>
    <t>Windows: Interface {#IFNAME}({#IFALIAS}): High error rate (&gt;{$IF.ERRORS.WARN:"{#IFNAME}"} for 5m)</t>
  </si>
  <si>
    <t>Windows: 接口{#IFNAME}({#IFALIAS}): 错误率太高(&gt;{$IF.ERRORS.WARN: "{#IFNAME}"}达5分钟)</t>
  </si>
  <si>
    <t>(3480/3305)</t>
  </si>
  <si>
    <t>Windows: Interface {#IFNAME}({#IFALIAS}): High bandwidth usage (&gt;{$IF.UTIL.MAX:"{#IFNAME}"}%)</t>
  </si>
  <si>
    <t>Windows: 接口{#IFNAME}({#IFALIAS}): 带宽使用率太高(&gt;{$IF.UTIL.MAX: "{#IFNAME}"}%)</t>
  </si>
  <si>
    <t>(3480/3308)</t>
  </si>
  <si>
    <t>Windows: FS [{#FSNAME}]: Space is critically low (used &gt; {$VFS.FS.PUSED.MAX.CRIT:"{#FSNAME}"}%, total {{?last(//vfs.fs.total[hrStorageSize.{#SNMPINDEX}])/1024/1024/1024}.fmtnum(1)}GB)</t>
  </si>
  <si>
    <t>Windows: FS [{#FSNAME}]: 磁盘空间严重不足 (已用 &gt; {$VFS.FS.PUSED.MAX.CRIT:"{#FSNAME}"}%, 总计 {{?last(//vfs.fs.total[hrStorageSize.{#SNMPINDEX}])/1024/1024/1024}.fmtnum(1)}GB)</t>
  </si>
  <si>
    <t>(3480/3309)</t>
  </si>
  <si>
    <t>Windows: FS [{#FSNAME}]: Space is low (used &gt; {$VFS.FS.PUSED.MAX.WARN:"{#FSNAME}"}%, total {{?last(//vfs.fs.total[hrStorageSize.{#SNMPINDEX}])/1024/1024/1024}.fmtnum(1)}GB)</t>
  </si>
  <si>
    <t>Windows: FS [{#FSNAME}]: 磁盘空间不足 (已用 &gt; {$VFS.FS.PUSED.MAX.WARN:"{#FSNAME}"}%, 总计 {{?last(//vfs.fs.total[hrStorageSize.{#SNMPINDEX}])/1024/1024/1024}.fmtnum(1)}GB)</t>
  </si>
  <si>
    <t>(3480/3310)</t>
  </si>
  <si>
    <t>Windows: {#MEMNAME}: High memory utilization (&gt;{$MEMORY.UTIL.MAX}% for 5m)</t>
  </si>
  <si>
    <t>Windows: {#MEMNAME}: 内存利用率高了(&gt;{$MEMORY.UTIL.MAX}%达5分钟)</t>
  </si>
  <si>
    <t>(3480/3311)</t>
  </si>
  <si>
    <t>(3480/3312)</t>
  </si>
  <si>
    <t>(3480/3315)</t>
  </si>
  <si>
    <t>Windows: {#DEVNAME}: Disk is overloaded (util &gt; {$VFS.DEV.UTIL.MAX.WARN}% for 15m)</t>
  </si>
  <si>
    <t>Windows: {#DEVNAME}: 磁盘过载(使用率&gt;{$VFS.DEV.UTIL.MAX.WARN}%达15分钟)</t>
  </si>
  <si>
    <t>(3480/3316)</t>
  </si>
  <si>
    <t>Windows: {#DEVNAME}: Disk read request responses are too high (read &gt; {$VFS.DEV.READ.AWAIT.WARN:"{#DEVNAME}"}s for 15m)</t>
  </si>
  <si>
    <t>Windows: {#DEVNAME}: 磁盘读取请求响应太高(读取 &gt; {$VFS.DEV.READ.AWAIT.WARN: "{#DEVNAME}"} 秒达15分钟)</t>
  </si>
  <si>
    <t>(3480/3317)</t>
  </si>
  <si>
    <t>Windows: {#DEVNAME}: Disk write request responses are too high (write &gt; {$VFS.DEV.WRITE.AWAIT.WARN:"{#DEVNAME}"}s for 15m)</t>
  </si>
  <si>
    <t>Windows: {#DEVNAME}: 磁盘写入请求响应太高(写入&gt;{$VFS.DEV.WRITE.AWAIT.WARN: "{#DEVNAME}"}秒达15分钟)</t>
  </si>
  <si>
    <t>(3480/3318)</t>
  </si>
  <si>
    <t>Windows: "{#SERVICE.NAME}" ({#SERVICE.DISPLAYNAME}) is not running (startup type {#SERVICE.STARTUPNAME})</t>
  </si>
  <si>
    <t>Windows: "{#SERVICE.NAME}"({#SERVICE.DISPLAYNAME})未运行(启动类型{#SERVICE.STARTUPNAME})</t>
  </si>
  <si>
    <t>(3480/3319)</t>
  </si>
  <si>
    <t>Windows: FS [{#FSLABEL}({#FSNAME})]: Space is critically low (used &gt; {$VFS.FS.PUSED.MAX.CRIT:"{#FSLABEL}({#FSNAME})"}%, total {{?last(//vfs.fs.dependent.size[{#FSNAME},total])/1024/1024/1024}.fmtnum(1)}GB)</t>
  </si>
  <si>
    <t>Windows: FS [{#FSLABEL}({#FSNAME})]: 磁盘空间严重不足 (已用 &gt; {$VFS.FS.PUSED.MAX.CRIT:"{#FSLABEL}({#FSNAME})"}%, 总计 {{?last(//vfs.fs.dependent.size[{#FSNAME},total])/1024/1024/1024}.fmtnum(1)}GB)</t>
  </si>
  <si>
    <t>(3480/3320)</t>
  </si>
  <si>
    <t>Windows: FS [{#FSLABEL}({#FSNAME})]: Space is low (used &gt; {$VFS.FS.PUSED.MAX.WARN:"{#FSLABEL}({#FSNAME})"}%, total {{?last(//vfs.fs.dependent.size[{#FSNAME},total])/1024/1024/1024}.fmtnum(1)}GB)</t>
  </si>
  <si>
    <t>Windows: FS [{#FSLABEL}({#FSNAME})]: 磁盘空间不足 (已用 &gt; {$VFS.FS.PUSED.MAX.WARN:"{#FSLABEL}({#FSNAME})"}%, 总计 {{?last(//vfs.fs.dependent.size[{#FSNAME},total])/1024/1024/1024}.fmtnum(1)}GB)</t>
  </si>
  <si>
    <t>(3480/3321)</t>
  </si>
  <si>
    <t>(3480/3322)</t>
  </si>
  <si>
    <t>(3480/3325)</t>
  </si>
  <si>
    <t>(3480/3326)</t>
  </si>
  <si>
    <t>(3480/3327)</t>
  </si>
  <si>
    <t>(3480/3328)</t>
  </si>
  <si>
    <t>(3480/3329)</t>
  </si>
  <si>
    <t>(3480/3330)</t>
  </si>
  <si>
    <t>(3480/3331)</t>
  </si>
  <si>
    <t>23603</t>
  </si>
  <si>
    <t>YugabyteDB Cluster: YugabyteDB Node [{#NODE.NAME}]: Node disk IOPS utilization is high (over {$YUGABYTEDB.IOPS.UTILIZATION.WARN} for 5m)</t>
  </si>
  <si>
    <t>YugabyteDB Cluster: YugabyteDB节点 [{#NODE.NAME}]: 节点磁盘IOPS利用率过高(超过 {$YUGABYTEDB.IOPS.UTILIZATION.WARN},达5分钟)</t>
  </si>
  <si>
    <t>(3480/3332)</t>
  </si>
  <si>
    <t>23604</t>
  </si>
  <si>
    <t>YugabyteDB Cluster: YugabyteDB Node [{#NODE.NAME}]: Node disk IOPS utilization is too high (over {$YUGABYTEDB.IOPS.UTILIZATION.CRIT} for 5m)</t>
  </si>
  <si>
    <t>YugabyteDB Cluster: YugabyteDB节点 [{#NODE.NAME}]: 节点磁盘IOPS利用率过高(超过 {$YUGABYTEDB.IOPS.UTILIZATION.CRIT},达5分钟)</t>
  </si>
  <si>
    <t>(3480/3334)</t>
  </si>
  <si>
    <t>ZYXEL: High the DSL line attenuation in Port {#SNMPINDEX} (&gt;{$ZYXEL.ADSL.ATN.MAX}dB for 5m)</t>
  </si>
  <si>
    <t>ZYXEL: 端口{#SNMPINDEX}中的DSL线路衰减高(&gt;{$ZYXEL.ADSL.ATN.MAX}dB达5分钟)</t>
  </si>
  <si>
    <t>(3480/3335)</t>
  </si>
  <si>
    <t>ZYXEL: Low the DSL line noise margins in Port {#SNMPINDEX} (&lt;{$ZYXEL.ADSL.SNR.MIN}dB for 5m)</t>
  </si>
  <si>
    <t>ZYXEL: 端口{#SNMPINDEX}中的DSL线路噪声容限低(&lt;{$ZYXEL.ADSL.SNR.MIN}dB达5分钟)</t>
  </si>
  <si>
    <t>(3480/3336)</t>
  </si>
  <si>
    <t>(3480/3337)</t>
  </si>
  <si>
    <t>(3480/3342)</t>
  </si>
  <si>
    <t>ZYXEL: High memory utilization in "{#ZYXEL.MEMORY.NAME}" pool (&gt;{$MEMORY.UTIL.MAX}% for 5m)</t>
  </si>
  <si>
    <t>ZYXEL: "{#ZYXEL.MEMORY.NAME}"池中的内存利用率高了(&gt;{$MEMORY.UTIL.MAX}%达5分钟)</t>
  </si>
  <si>
    <t>(3480/3344)</t>
  </si>
  <si>
    <t>ZYXEL: SFP {#ZYXEL.SFP.PORT}: High {#ZYXEL.SFP.DESCRIPTION} (over {#ZYXEL.SFP.WARN.MAX}{#ZYXEL.SFP.UNIT})</t>
  </si>
  <si>
    <t>ZYXEL: SFP{#ZYXEL.SFP.PORT}: {#ZYXEL.SFP.DESCRIPTION}高(超过{#ZYXEL.SFP.WARN.MAX}{#ZYXEL.SFP.UNIT})</t>
  </si>
  <si>
    <t>(3480/3345)</t>
  </si>
  <si>
    <t>ZYXEL: SFP {#ZYXEL.SFP.PORT}: Low {#ZYXEL.SFP.DESCRIPTION} (less than {#ZYXEL.SFP.WARN.MIN}{#ZYXEL.SFP.UNIT})</t>
  </si>
  <si>
    <t>ZYXEL: SFP{#ZYXEL.SFP.PORT}: {#ZYXEL.SFP.DESCRIPTION}低(小于{#ZYXEL.SFP.WARN.MIN}{#ZYXEL.SFP.UNIT})</t>
  </si>
  <si>
    <t>(3480/3346)</t>
  </si>
  <si>
    <t>ZYXEL: SFP {#SNMPINDEX} has been replaced (new serial number received)</t>
  </si>
  <si>
    <t>ZYXEL: SFP{#SNMPINDEX}已更换(收到新序列号)</t>
  </si>
  <si>
    <t>(3480/3353)</t>
  </si>
  <si>
    <t>ZYXEL: High Packet buffer utilization in Slot {#ZYXEL.SLOT.ID} (&gt;{#ZYXEL.BUFFERHIGHTHRESH}% for 5m)</t>
  </si>
  <si>
    <t>ZYXEL: 插槽{#ZYXEL.SLOT.ID}中的数据包缓冲区利用率高(&gt;{#ZYXEL.BUFFERHIGHTHRESH}%达5分钟)</t>
  </si>
  <si>
    <t>(3480/3354)</t>
  </si>
  <si>
    <t>ZYXEL: Slot {#ZYXEL.SLOT.ID} high CPU utilization (over {#ZYXEL.CPU.THRESH.HIGH}% for 5m)</t>
  </si>
  <si>
    <t>ZYXEL: Slot{#ZYXEL.SLOT.ID}CPU使用率高了(超过{#ZYXEL.CPU.THRESH.HIGH}%达5分钟)</t>
  </si>
  <si>
    <t>(3480/3356)</t>
  </si>
  <si>
    <t>ZYXEL: High memory utilization in Slot {#ZYXEL.SLOT.ID} pool (&gt;{#ZYXEL.MEMORYHIGHTHRESH}% for 5m)</t>
  </si>
  <si>
    <t>ZYXEL: 插槽{#ZYXEL.SLOT.ID}池中的内存利用率高了(&gt;{#ZYXEL.MEMORYHIGHTHRESH}%达5分钟)</t>
  </si>
  <si>
    <t>(3480/3357)</t>
  </si>
  <si>
    <t>ZYXEL: High the DSL line attenuation in Slot {#ZYXEL.SLOT.ID} Port {#ZYXEL.PORTID} (&gt;{$ZYXEL.ADSL.ATN.MAX}dB for 5m)</t>
  </si>
  <si>
    <t>ZYXEL: 插槽{#ZYXEL.SLOT.ID}端口{#ZYXEL.PORTID}中的DSL线路衰减高(&gt;{$ZYXEL.ADSL.ATN.MAX}dB达5分钟)</t>
  </si>
  <si>
    <t>(3480/3358)</t>
  </si>
  <si>
    <t>ZYXEL: Low the DSL line noise margins in Slot {#ZYXEL.SLOT.ID} Port {#ZYXEL.PORTID} (&lt;{$ZYXEL.ADSL.SNR.MIN}dB for 5m)</t>
  </si>
  <si>
    <t>ZYXEL: 插槽{#ZYXEL.SLOT.ID}端口{#ZYXEL.PORTID}中降DSL线路噪声容限低(&lt;{$ZYXEL.ADSL.SNR.MIN}dB达5分钟)</t>
  </si>
  <si>
    <t>(3480/3359)</t>
  </si>
  <si>
    <t>(3480/3360)</t>
  </si>
  <si>
    <t>(3480/3368)</t>
  </si>
  <si>
    <t>ZYXEL: Slot {#ZYXEL.SLOT.ID} has been replaced (new serial number received)</t>
  </si>
  <si>
    <t>ZYXEL: 插槽{#ZYXEL.SLOT.ID}已更换(收到新序列号)</t>
  </si>
  <si>
    <t>(3480/3369)</t>
  </si>
  <si>
    <t>ZYXEL: Slot {#ZYXEL.SLOT.ID} has been restarted (uptime &lt; 10m)</t>
  </si>
  <si>
    <t>ZYXEL: 插槽{#ZYXEL.SLOT.ID}已重启(正常运行时间&lt;10分钟)</t>
  </si>
  <si>
    <t>(3480/3372)</t>
  </si>
  <si>
    <t>(3480/3373)</t>
  </si>
  <si>
    <t>(3480/3375)</t>
  </si>
  <si>
    <t>(3480/3376)</t>
  </si>
  <si>
    <t>(3480/3377)</t>
  </si>
  <si>
    <t>(3480/3378)</t>
  </si>
  <si>
    <t>(3480/3379)</t>
  </si>
  <si>
    <t>(3480/3387)</t>
  </si>
  <si>
    <t>(3480/3388)</t>
  </si>
  <si>
    <t>(3480/3392)</t>
  </si>
  <si>
    <t>(3480/3393)</t>
  </si>
  <si>
    <t>(3480/3394)</t>
  </si>
  <si>
    <t>(3480/3395)</t>
  </si>
  <si>
    <t>(3480/3401)</t>
  </si>
  <si>
    <t>(3480/3402)</t>
  </si>
  <si>
    <t>(3480/3403)</t>
  </si>
  <si>
    <t>(3480/3404)</t>
  </si>
  <si>
    <t>(3480/3406)</t>
  </si>
  <si>
    <t>(3480/3407)</t>
  </si>
  <si>
    <t>(3480/3408)</t>
  </si>
  <si>
    <t>(3480/3411)</t>
  </si>
  <si>
    <t>(3480/3413)</t>
  </si>
  <si>
    <t>(3480/3414)</t>
  </si>
  <si>
    <t>(3480/3415)</t>
  </si>
  <si>
    <t>(3480/3420)</t>
  </si>
  <si>
    <t>(3480/3421)</t>
  </si>
  <si>
    <t>(3480/3422)</t>
  </si>
  <si>
    <t>(3480/3427)</t>
  </si>
  <si>
    <t>(3480/3428)</t>
  </si>
  <si>
    <t>(3480/3429)</t>
  </si>
  <si>
    <t>(3480/3434)</t>
  </si>
  <si>
    <t>(3480/3435)</t>
  </si>
  <si>
    <t>(3480/3436)</t>
  </si>
  <si>
    <t>(3480/3441)</t>
  </si>
  <si>
    <t>(3480/3442)</t>
  </si>
  <si>
    <t>(3480/3443)</t>
  </si>
  <si>
    <t>(3480/3447)</t>
  </si>
  <si>
    <t>(3480/3449)</t>
  </si>
  <si>
    <t>(3480/3450)</t>
  </si>
  <si>
    <t>(3480/3451)</t>
  </si>
  <si>
    <t>(3480/3457)</t>
  </si>
  <si>
    <t>Zabbix server health</t>
  </si>
  <si>
    <t>23780</t>
  </si>
  <si>
    <t>Zabbix server: Proxy group [{#PROXY.GROUP.NAME}]: Availability below {$PROXY.GROUP.AVAIL.PERCENT.MIN}%</t>
  </si>
  <si>
    <t>Zabbix server: Proxy 组 [{#PROXY.GROUP.NAME}]: 可用性低于 {$PROXY.GROUP.AVAIL.PERCENT.MIN}%。</t>
  </si>
  <si>
    <t>(3480/3464)</t>
  </si>
  <si>
    <t>Zabbix server: Proxy [{#PROXY.NAME}]: Zabbix proxy 上次出现时间超过 {$ZABBIX.PROXY.LAST_SEEN.MAX} 秒</t>
  </si>
  <si>
    <t>(3480/3468)</t>
  </si>
  <si>
    <t>Zabbix server health by Zabbix agent</t>
  </si>
  <si>
    <t>24638</t>
  </si>
  <si>
    <t>(3480/3473)</t>
  </si>
  <si>
    <t>Zabbix server health by Zabbix agent active</t>
  </si>
  <si>
    <t>24643</t>
  </si>
  <si>
    <t>Zabbix server: Proxy [{#PROXY.NAME}]: Zabbix proxy 最后一次出现时间超过 {$ZABBIX.PROXY.LAST_SEEN.MAX} 秒</t>
  </si>
  <si>
    <t>(3480/3475)</t>
  </si>
  <si>
    <t>(3480/3477)</t>
  </si>
  <si>
    <t>macOS by Zabbix agent</t>
  </si>
  <si>
    <t>17129</t>
  </si>
  <si>
    <t>macOS: FS [{#FSNAME}]: Running out of free inodes (free &lt; {$VFS.FS.INODE.PFREE.MIN.WARN:"{#FSNAME}"}%)</t>
  </si>
  <si>
    <t>macOS: FS [{#FSNAME}]: 索引节点不足(空闲 &lt; {$VFS.FS.INODE.PFREE.MIN.WARN: "{#FSNAME}"}%)</t>
  </si>
  <si>
    <t>(3480/3478)</t>
  </si>
  <si>
    <t>23689</t>
  </si>
  <si>
    <t>macOS: {#FSNAME}: Running out of free inodes (free &lt; {$VFS.FS.INODE.PFREE.MIN.CRIT:"{#FSNAME}"}%)</t>
  </si>
  <si>
    <t>macOS: {#FSNAME}: 可用inode耗尽(可用&lt;{$VFS.FS.INODE.PFREE.MIN.CRIT: "{#FSNAME}"}%)</t>
  </si>
  <si>
    <t>(3480/3479)</t>
  </si>
  <si>
    <t>17128</t>
  </si>
  <si>
    <t>macOS: FS [{#FSNAME}]: Space is low (used &gt; {$VFS.FS.PUSED.MAX.WARN:"{#FSNAME}"}%, total {{?last(//vfs.fs.dependent.size[{#FSNAME},total])/1024/1024/1024}.fmtnum(1)}GB)</t>
  </si>
  <si>
    <t>macOS: FS [{#FSNAME}]: 空间不足(已用 &gt; {$VFS.FS.PUSED.MAX.WARN: "{#FSNAME}"}%,总计 {{?last(//vfs.fs.dependent.size[{#FSNAME},total])/1024/1024/1024}.fmtnum(1)}GB)</t>
  </si>
  <si>
    <t>(3480/3480)</t>
  </si>
  <si>
    <t>23690</t>
  </si>
  <si>
    <t>macOS: FS [{#FSNAME}]: Space is critically low (used &gt; {$VFS.FS.PUSED.MAX.CRIT:"{#FSNAME}"}%, total {{?last(//vfs.fs.dependent.size[{#FSNAME},total])/1024/1024/1024}.fmtnum(1)}GB)</t>
  </si>
  <si>
    <t>macOS: FS [{#FSNAME}]: 空间严重不足(已用 &gt; {$VFS.FS.PUSED.MAX.CRIT: "{#FSNAME}"}%,总计 {{?last(//vfs.fs.dependent.size[{#FSNAME},total])/1024/1024/1024}.fmtnum(1)}GB)</t>
  </si>
  <si>
    <t>运行的进程太多</t>
  </si>
  <si>
    <t>AA</t>
  </si>
  <si>
    <t>AIX</t>
  </si>
  <si>
    <t>戴尔R660：[{#DISK_NAME}]已更换（已收到新序列号）</t>
  </si>
  <si>
    <t xml:space="preserve"> Running out of free inodes (free &lt; {$VFS.FS.INODE.PFREE.MIN.WARN</t>
  </si>
  <si>
    <t>{#FSNAME}}%)</t>
  </si>
  <si>
    <t xml:space="preserve"> Running out of free inodes (free &lt; {$VFS.FS.INODE.PFREE.MIN.CRIT</t>
  </si>
  <si>
    <t>戴尔R720：[{#DISK_NAME}]已更换（已收到新序列号）</t>
  </si>
  <si>
    <t xml:space="preserve"> Space is low (used &gt; {$VFS.FS.PUSED.MAX.WARN</t>
  </si>
  <si>
    <t>{#FSNAME}}%, total {{?last(//vfs.fs.dependent.size[{#FSNAME},total])/1024/1024/1024}.fmtnum(1)}GB)</t>
  </si>
  <si>
    <t xml:space="preserve"> Space is critically low (used &gt; {$VFS.FS.PUSED.MAX.CRIT</t>
  </si>
  <si>
    <t>APC Smart-UPS</t>
  </si>
  <si>
    <t>戴尔R740：[{#DISK_NAME}]已更换（已收到新序列号）</t>
  </si>
  <si>
    <t xml:space="preserve"> Battery has high temperature (over {$BATTERY.TEMP.MAX.WARN}℃ for {$TIME.PERIOD})</t>
  </si>
  <si>
    <t xml:space="preserve"> Unacceptable phase {#PHASEINDEX} input voltage (out of range {$UPS.INPUT_VOLT.MIN.WARN}-{$UPS.INPUT_VOLT.MAX.WARN}V for {$TIME.PERIOD})</t>
  </si>
  <si>
    <t>戴尔R750：[{#DISK_NAME}]已更换（已收到新序列号）</t>
  </si>
  <si>
    <t xml:space="preserve"> Unacceptable phase {#PHASEINDEX} output voltage (out of range {$UPS.INPUT_VOLT.MIN.WARN}-{$UPS.INPUT_VOLT.MAX.WARN}V for {$TIME.PERIOD})</t>
  </si>
  <si>
    <t>戴尔R820：[{#DISK_NAME}]已更换（已收到新序列号）</t>
  </si>
  <si>
    <t>戴尔R840：[{#DISK_NAME}]已更换（已收到新序列号）</t>
  </si>
  <si>
    <t>戴尔远程管理控制器（iDRAC）：[{#DISK_NAME}]已更换（已收到新序列号）</t>
  </si>
  <si>
    <t>PA-440：设备证书：即将过期（距离过期时间少于{$PAN.PA440.CERT.DEVICE.EXPIRY.WARN} ）</t>
  </si>
  <si>
    <t>PA-440：证书[{#CERTNAME}]：即将过期（距离过期时间少于{$PAN.PA440.CERT.EXPIRY.WARN} ）</t>
  </si>
  <si>
    <t>PA-440：高可用性（HA）状态已更改为“{ITEM.VALUE}”</t>
  </si>
  <si>
    <t>PA-440：接口[{#IFNAME}]：带宽使用率高（大于{$PAN.PA440.IF.HW.UTIL.MAX:"{#IFNAME}"}%）</t>
  </si>
  <si>
    <t>PA-440：接口[{#IFNAME}]：错误率高（在5分钟内大于{$PAN.PA440.IF.HW.ERRORS.WARN:"{#IFNAME}"} ）</t>
  </si>
  <si>
    <t>PA-440：虚拟系统（VSYS）[{#VSYS}]：接口[{#IFNAME}]：错误率高（在5分钟内大于{$PAN.PA440.IF.SW.ERRORS.WARN:"{#IFNAME}"} ）</t>
  </si>
  <si>
    <t xml:space="preserve">PA-440：许可证[{#FEATURE}]：即将过期（距离过期时间少于{$PAN.PA440.LICENSE.EXPIRY.WARN:"{#FEATURE}"} ） </t>
  </si>
  <si>
    <t>{#PHASEINDEX}</t>
  </si>
  <si>
    <t>APC UPS Galaxy</t>
  </si>
  <si>
    <t>{#BATTERY_PACK}.{#CARTRIDGE_INDEX}</t>
  </si>
  <si>
    <t>APC UPS Symmetra</t>
  </si>
  <si>
    <t>APC UPS</t>
  </si>
  <si>
    <t>AWS EC2</t>
  </si>
  <si>
    <t>Burst balance is too low (less {$AWS.EBS.BURST.CREDIT.BALANCE.MIN.WARN}% for 5m)</t>
  </si>
  <si>
    <t>AWS ECS Cluster</t>
  </si>
  <si>
    <t>[{#AWS.ECS.SERVICE.NAME}]</t>
  </si>
  <si>
    <t xml:space="preserve"> High CPU utilization (over {$AWS.ECS.CLUSTER.SERVICE.CPU.UTIL.WARN}% for 15m)</t>
  </si>
  <si>
    <t xml:space="preserve"> High memory utilization (over {$AWS.ECS.CLUSTER.SERVICE.MEMORY.UTIL.WARN}% for 15m)</t>
  </si>
  <si>
    <t>AWS ECS Serverless</t>
  </si>
  <si>
    <t>AWS ELB ALB</t>
  </si>
  <si>
    <t>[{#ALARM_NAME}] has 'Alarm' state (reason</t>
  </si>
  <si>
    <t xml:space="preserve"> {ITEM.LASTVALUE2})</t>
  </si>
  <si>
    <t>[{#ALARM_NAME}] has 'Insufficient data' state</t>
  </si>
  <si>
    <t>AWS ELB NLB</t>
  </si>
  <si>
    <t>[{#AWS.ELB.TARGET.GROUP.NAME}]</t>
  </si>
  <si>
    <t xml:space="preserve"> Healthy Host Count = 0</t>
  </si>
  <si>
    <t xml:space="preserve"> Unhealthy Host Count &gt; {$AWS.ELB.UNHEALTHY.HOST.MAX}</t>
  </si>
  <si>
    <t>AWS Lambda</t>
  </si>
  <si>
    <t>Acronis</t>
  </si>
  <si>
    <t>Alert [{#ALERT_ID}]</t>
  </si>
  <si>
    <t xml:space="preserve"> "critical" severity</t>
  </si>
  <si>
    <t xml:space="preserve"> "error" severity</t>
  </si>
  <si>
    <t xml:space="preserve"> "warning" severity</t>
  </si>
  <si>
    <t>Alcatel TiMOS</t>
  </si>
  <si>
    <t>Interface {#IFNAME}({#IFALIAS})</t>
  </si>
  <si>
    <t xml:space="preserve"> High error rate (&gt;{$IF.ERRORS.WARN</t>
  </si>
  <si>
    <t>{#IFNAME}} for 5m)</t>
  </si>
  <si>
    <t xml:space="preserve"> High bandwidth usage (&gt;{$IF.UTIL.MAX</t>
  </si>
  <si>
    <t>{#IFNAME}}%)</t>
  </si>
  <si>
    <t>{#SNMPVALUE}</t>
  </si>
  <si>
    <t xml:space="preserve"> Temperature is above critical threshold</t>
  </si>
  <si>
    <t xml:space="preserve"> &gt;{$TEMP_CRIT</t>
  </si>
  <si>
    <t>{#SNMPVALUE}}</t>
  </si>
  <si>
    <t xml:space="preserve"> Temperature is above warning threshold</t>
  </si>
  <si>
    <t xml:space="preserve"> &gt;{$TEMP_WARN</t>
  </si>
  <si>
    <t xml:space="preserve"> Temperature is too low</t>
  </si>
  <si>
    <t xml:space="preserve"> &lt;{$TEMP_CRIT_LOW</t>
  </si>
  <si>
    <t>{#ENT_NAME}</t>
  </si>
  <si>
    <t xml:space="preserve"> Device has been replaced (new serial number received)</t>
  </si>
  <si>
    <t>Apache ActiveMQ</t>
  </si>
  <si>
    <t>{#JMXBROKERNAME}</t>
  </si>
  <si>
    <t xml:space="preserve"> {#JMXDESTINATIONTYPE} {#JMXDESTINATIONNAME}</t>
  </si>
  <si>
    <t xml:space="preserve"> Consumers count is too low (below {$ACTIVEMQ.DESTINATION.CONSUMERS.MIN.HIGH</t>
  </si>
  <si>
    <t>{#JMXDESTINATIONNAME}} for {$ACTIVEMQ.DESTINATION.CONSUMERS.MIN.TIME</t>
  </si>
  <si>
    <t>{#JMXDESTINATIONNAME}})</t>
  </si>
  <si>
    <t xml:space="preserve"> Producers count is too low (below {$ACTIVEMQ.DESTINATION.PRODUCERS.MIN.HIGH</t>
  </si>
  <si>
    <t>{#JMXDESTINATIONNAME}} for {$ACTIVEMQ.DESTINATION.PRODUCERS.MIN.TIME</t>
  </si>
  <si>
    <t>Broker {#JMXBROKERNAME}</t>
  </si>
  <si>
    <t xml:space="preserve"> Memory usage is too high (over {$ACTIVEMQ.MEM.MAX.HIGH</t>
  </si>
  <si>
    <t>{#JMXBROKERNAME}}%)</t>
  </si>
  <si>
    <t xml:space="preserve"> Memory usage is too high (over {$ACTIVEMQ.MEM.MAX.WARN</t>
  </si>
  <si>
    <t xml:space="preserve"> Version has changed (new version</t>
  </si>
  <si>
    <t xml:space="preserve"> {ITEM.VALUE})</t>
  </si>
  <si>
    <t xml:space="preserve"> Message enqueue rate is higher than dequeue rate for {$ACTIVEMQ.MSG.RATE.WARN.TIME</t>
  </si>
  <si>
    <t>{#JMXDESTINATIONNAME}}</t>
  </si>
  <si>
    <t xml:space="preserve"> Expired messages count higher than {$ACTIVEMQ.EXPIRED.WARN</t>
  </si>
  <si>
    <t>{#JMXDESTINATIONNAME}}%)</t>
  </si>
  <si>
    <t xml:space="preserve"> Queue size higher than {$ACTIVEMQ.QUEUE.WARN</t>
  </si>
  <si>
    <t>{#JMXDESTINATIONNAME}} for {$ACTIVEMQ.QUEUE.TIME</t>
  </si>
  <si>
    <t xml:space="preserve"> Storage usage is too high (over {$ACTIVEMQ.STORE.MAX.HIGH</t>
  </si>
  <si>
    <t xml:space="preserve"> Storage usage is too high (over {$ACTIVEMQ.STORE.MAX.WARN</t>
  </si>
  <si>
    <t xml:space="preserve"> Temp usage is too high (over {$ACTIVEMQ.TEMP.MAX.WARN</t>
  </si>
  <si>
    <t xml:space="preserve"> Consumers count is too low (below {$ACTIVEMQ.BROKER.CONSUMERS.MIN.HIGH</t>
  </si>
  <si>
    <t>{#JMXBROKERNAME}} for {$ACTIVEMQ.BROKER.CONSUMERS.MIN.TIME</t>
  </si>
  <si>
    <t>{#JMXBROKERNAME}})</t>
  </si>
  <si>
    <t>{#JMXBROKERNAME}}</t>
  </si>
  <si>
    <t xml:space="preserve"> Producers count is too low (below {$ACTIVEMQ.BROKER.PRODUCERS.MIN.HIGH</t>
  </si>
  <si>
    <t>{#JMXBROKERNAME}} for {$ACTIVEMQ.BROKER.PRODUCERS.MIN.TIME</t>
  </si>
  <si>
    <t xml:space="preserve"> Broker has been restarted (uptime &lt; 10m)</t>
  </si>
  <si>
    <t>Apache Tomcat</t>
  </si>
  <si>
    <t>{#JMXNAME}</t>
  </si>
  <si>
    <t xml:space="preserve"> Busy worker threads count are more than {$TOMCAT.THREADS.MAX.PCT</t>
  </si>
  <si>
    <t>{#JMXNAME}}% of the limit for {$TOMCAT.THREADS.MAX.TIME</t>
  </si>
  <si>
    <t>{#JMXNAME}}</t>
  </si>
  <si>
    <t>Apache</t>
  </si>
  <si>
    <t>Failed to fetch status page (or no data for 30m)</t>
  </si>
  <si>
    <t>Service response time is too high (over {$APACHE.RESPONSE_TIME.MAX.WARN}s for 5m)</t>
  </si>
  <si>
    <t>Aranet</t>
  </si>
  <si>
    <t>{#METRIC}</t>
  </si>
  <si>
    <t xml:space="preserve"> Critically low battery voltage on "[{#GATEWAY_NAME}] {#SENSOR_NAME}" (below {$ARANET.BATT.VOLTAGE.MIN.CRIT</t>
  </si>
  <si>
    <t>{#SENSOR_NAME}}{#UNIT} for 5m)</t>
  </si>
  <si>
    <t xml:space="preserve"> Low battery voltage on "[{#GATEWAY_NAME}] {#SENSOR_NAME}" (below {$ARANET.BATT.VOLTAGE.MIN.WARN</t>
  </si>
  <si>
    <t xml:space="preserve"> Critically high CO2 level on "[{#GATEWAY_NAME}] {#SENSOR_NAME}" (over {$ARANET.CO2.MAX.CRIT</t>
  </si>
  <si>
    <t xml:space="preserve"> High CO2 level on "[{#GATEWAY_NAME}] {#SENSOR_NAME}" (over {$ARANET.CO2.MAX.WARN</t>
  </si>
  <si>
    <t xml:space="preserve"> Low humidity on "[{#GATEWAY_NAME}] {#SENSOR_NAME}" (below {$ARANET.HUMIDITY.MIN.WARN</t>
  </si>
  <si>
    <t xml:space="preserve"> High humidity on "[{#GATEWAY_NAME}] {#SENSOR_NAME}" (over {$ARANET.HUMIDITY.MAX.WARN</t>
  </si>
  <si>
    <t xml:space="preserve"> Sensor data "[{#GATEWAY_NAME}] {#SENSOR_NAME}" is not updated (more than {$ARANET.LAST_UPDATE.MAX.WARN</t>
  </si>
  <si>
    <t>{#SENSOR_NAME}})</t>
  </si>
  <si>
    <t>Arista</t>
  </si>
  <si>
    <t>{#SENSOR_INFO}</t>
  </si>
  <si>
    <t xml:space="preserve"> Fan speed is below the critical threshold of {#THRESHOLD_LO_CRIT}rpm for 5m</t>
  </si>
  <si>
    <t xml:space="preserve"> Fan speed is below the warning threshold of {#THRESHOLD_LO_WARN}rpm for 5m</t>
  </si>
  <si>
    <t xml:space="preserve"> Fan speed is above the critical threshold of {#THRESHOLD_HI_CRIT}rpm for 5m</t>
  </si>
  <si>
    <t xml:space="preserve"> Fan speed is above the warning threshold of {#THRESHOLD_HI_WARN}rpm for 5m</t>
  </si>
  <si>
    <t xml:space="preserve"> Temperature is below the critical threshold of {#THRESHOLD_LO_CRIT}°C for 5m</t>
  </si>
  <si>
    <t xml:space="preserve"> Temperature is below the warning threshold of {#THRESHOLD_LO_WARN}°C for 5m</t>
  </si>
  <si>
    <t xml:space="preserve"> Temperature is above the critical threshold of {#THRESHOLD_HI_CRIT}°C for 5m</t>
  </si>
  <si>
    <t xml:space="preserve"> Temperature is above the warning threshold of {#THRESHOLD_HI_WARN}°C for 5m</t>
  </si>
  <si>
    <t xml:space="preserve"> Voltage is below the critical threshold of {#THRESHOLD_LO_CRIT}V for 5m</t>
  </si>
  <si>
    <t xml:space="preserve"> Voltage is below the warning threshold of {#THRESHOLD_LO_WARN}V for 5m</t>
  </si>
  <si>
    <t xml:space="preserve"> Voltage is above the critical threshold of {#THRESHOLD_HI_CRIT}V for 5m</t>
  </si>
  <si>
    <t xml:space="preserve"> Voltage is above the warning threshold of {#THRESHOLD_HI_WARN}V for 5m</t>
  </si>
  <si>
    <t>{#FSNAME}</t>
  </si>
  <si>
    <t xml:space="preserve"> Disk space is critically low (used &gt; {$VFS.FS.PUSED.MAX.CRIT</t>
  </si>
  <si>
    <t xml:space="preserve"> Disk space is low (used &gt; {$VFS.FS.PUSED.MAX.WARN</t>
  </si>
  <si>
    <t>{#MEMNAME}</t>
  </si>
  <si>
    <t xml:space="preserve"> High memory utilization (&gt;{$MEMORY.UTIL.MAX}% for 5m)</t>
  </si>
  <si>
    <t>Asterisk</t>
  </si>
  <si>
    <t>IAX trunk "{#OBJECTNAME}"</t>
  </si>
  <si>
    <t xml:space="preserve"> Number of the IAX trunk "{#OBJECTNAME}" active channels is too high (over {$AMI.TRUNK_ACTIVE_CHANNELS.MAX.WARN</t>
  </si>
  <si>
    <t>{#OBJECTNAME}} for 10m)</t>
  </si>
  <si>
    <t>PJSIP trunk "{#OBJECTNAME}"</t>
  </si>
  <si>
    <t xml:space="preserve"> Number of the PJSIP trunk "{#OBJECTNAME}" active channels is too high (over {$AMI.TRUNK_ACTIVE_CHANNELS.MAX.WARN</t>
  </si>
  <si>
    <t>"{#QUEUE}"</t>
  </si>
  <si>
    <t xml:space="preserve"> Number of callers in the queue "{#QUEUE}" is too high (over {$AMI.QUEUE_CALLERS.MAX.WARN</t>
  </si>
  <si>
    <t>{#QUEUE}} for 10m)</t>
  </si>
  <si>
    <t>SIP trunk "{#OBJECTNAME}"</t>
  </si>
  <si>
    <t xml:space="preserve"> Number of the SIP trunk "{#OBJECTNAME}" active channels is too high (over {$AMI.TRUNK_ACTIVE_CHANNELS.MAX.WARN</t>
  </si>
  <si>
    <t>Brocade FC</t>
  </si>
  <si>
    <t>"{#SENSOR_INFO}"}</t>
  </si>
  <si>
    <t>Brocade Nonstackable</t>
  </si>
  <si>
    <t>{#SENSOR_DESCR}</t>
  </si>
  <si>
    <t>{#SENSOR_DESCR}}</t>
  </si>
  <si>
    <t>Chassis #{#SNMPINDEX}</t>
  </si>
  <si>
    <t>Chassis}</t>
  </si>
  <si>
    <t>Brocade Stackable</t>
  </si>
  <si>
    <t>Unit {#SNMPVALUE}</t>
  </si>
  <si>
    <t>Chassis</t>
  </si>
  <si>
    <t>{#SENSOR_ID} value is below non-critical low (less than {#SENSOR_LO_WARN} for 5m)</t>
  </si>
  <si>
    <t>{#SENSOR_ID} value is below critical low (less than {#SENSOR_LO_CRIT} for 5m)</t>
  </si>
  <si>
    <t>{#SENSOR_ID} value is below non-recoverable low (less than {#SENSOR_LO_DISAST} for 5m)</t>
  </si>
  <si>
    <t>{#SENSOR_ID} value is above non-critical high (greater than {#SENSOR_HI_WARN} for 5m)</t>
  </si>
  <si>
    <t>{#SENSOR_ID} value is above critical high (greater than {#SENSOR_HI_CRIT} for 5m)</t>
  </si>
  <si>
    <t>{#SENSOR_ID} value is above non-recoverable high (greater than {#SENSOR_HI_DISAST} for 5m)</t>
  </si>
  <si>
    <t>Check Point</t>
  </si>
  <si>
    <t xml:space="preserve"> High error rate (&gt;{$NET.IF.ERRORS.WARN</t>
  </si>
  <si>
    <t xml:space="preserve"> High bandwidth usage (&gt;{$NET.IF.UTIL.MAX</t>
  </si>
  <si>
    <t>{#SENSOR.NAME}</t>
  </si>
  <si>
    <t xml:space="preserve"> &gt;{$TEMP.VALUE.CRIT</t>
  </si>
  <si>
    <t>"{#SENSOR.NAME}"}</t>
  </si>
  <si>
    <t xml:space="preserve"> &gt;{$TEMP.VALUE.WARN</t>
  </si>
  <si>
    <t xml:space="preserve"> &lt;{$TEMP.VALUE.LOW</t>
  </si>
  <si>
    <t>{#SW.NAME}</t>
  </si>
  <si>
    <t xml:space="preserve"> License expires soon (less than {$LICENSE.EXPIRY.WARN</t>
  </si>
  <si>
    <t>"{#SW.NAME}"} days)</t>
  </si>
  <si>
    <t>{#DISK.NAME}</t>
  </si>
  <si>
    <t xml:space="preserve"> Disk space is critically low (used &gt; {$DISK.PUSED.MAX.CRIT</t>
  </si>
  <si>
    <t>"{#DISK.NAME}"}%)</t>
  </si>
  <si>
    <t xml:space="preserve"> Disk space is low (used &gt; {$DISK.PUSED.MAX.WARN</t>
  </si>
  <si>
    <t>Cisco Catalyst 3750V2-24FS</t>
  </si>
  <si>
    <t xml:space="preserve"> High input error rate ( &gt; {$IF.ERRORS.WARN</t>
  </si>
  <si>
    <t xml:space="preserve"> High inbound bandwidth usage ( &gt; {$IF.UTIL.MAX</t>
  </si>
  <si>
    <t>{#IFNAME}}% )</t>
  </si>
  <si>
    <t xml:space="preserve"> High output error rate ( &gt; {$IF.ERRORS.WARN</t>
  </si>
  <si>
    <t xml:space="preserve"> High outbound bandwidth usage ( &gt; {$IF.UTIL.MAX</t>
  </si>
  <si>
    <t>#{#SNMPINDEX}</t>
  </si>
  <si>
    <t xml:space="preserve"> High CPU utilization (over {$CPU.UTIL.CRIT}% for 5m)</t>
  </si>
  <si>
    <t xml:space="preserve"> High memory utilization ( &gt;{$MEMORY.UTIL.MAX}% for 5m)</t>
  </si>
  <si>
    <t>Cisco Catalyst 3750V2-24PS</t>
  </si>
  <si>
    <t>Cisco Catalyst 3750V2-24TS</t>
  </si>
  <si>
    <t>Cisco Catalyst 3750V2-48PS</t>
  </si>
  <si>
    <t>Cisco Catalyst 3750V2-48TS</t>
  </si>
  <si>
    <t>Cisco IOS</t>
  </si>
  <si>
    <t>Meraki</t>
  </si>
  <si>
    <t>VPN [{#NETWORK.NAME}][{#SENDER.UPLINK}]=&gt;[{#PEER.NETWORK.NAME}][{#RECEIVER.UPLINK}]</t>
  </si>
  <si>
    <t xml:space="preserve"> High average VPN connection loss (over &gt;= {$MERAKI.VPN.LOSS.PERCENTILE%)</t>
  </si>
  <si>
    <t>Cisco Nexus 9000</t>
  </si>
  <si>
    <t>{#SNMPVALUE}}°C</t>
  </si>
  <si>
    <t>"{#SNMPVALUE}°C"}</t>
  </si>
  <si>
    <t>Cisco SD-WAN</t>
  </si>
  <si>
    <t>[{#FSNAME}]</t>
  </si>
  <si>
    <t xml:space="preserve"> Disk space is critically low (used &gt; {$SDWAN.FS.PUSED.MAX.CRIT</t>
  </si>
  <si>
    <t xml:space="preserve"> Disk space is low (used &gt; {$SDWAN.FS.PUSED.MAX.WARN</t>
  </si>
  <si>
    <t>Interface [{#IFNAME}]</t>
  </si>
  <si>
    <t xml:space="preserve"> High error rate (&gt;{$SDWAN.IF.ERRORS.WARN</t>
  </si>
  <si>
    <t xml:space="preserve"> High bandwidth usage (&gt;{$SDWAN.IF.UTIL.MAX</t>
  </si>
  <si>
    <t>Cisco UCS Manager</t>
  </si>
  <si>
    <t>{#DISK_LOCATION}</t>
  </si>
  <si>
    <t xml:space="preserve"> Disk has been replaced (new serial number received)</t>
  </si>
  <si>
    <t>{#UNIT_LOCATION}</t>
  </si>
  <si>
    <t xml:space="preserve"> High error rate on {#IFNAME} ( &gt; {$IF.ERRORS.WARN</t>
  </si>
  <si>
    <t>{#SENSOR_LOCATION}.IOH</t>
  </si>
  <si>
    <t xml:space="preserve"> &gt;{$TEMP.MAX.CRIT</t>
  </si>
  <si>
    <t>"Ambient"}</t>
  </si>
  <si>
    <t xml:space="preserve"> &gt;{$TEMP.MAX.WARN</t>
  </si>
  <si>
    <t>{#SENSOR_LOCATION}.Ambient</t>
  </si>
  <si>
    <t>{#SENSOR_LOCATION}.Front</t>
  </si>
  <si>
    <t>{#SENSOR_LOCATION}.Rear</t>
  </si>
  <si>
    <t>{#SENSOR_LOCATION}</t>
  </si>
  <si>
    <t>"CPU"}</t>
  </si>
  <si>
    <t>Cisco UCS</t>
  </si>
  <si>
    <t>D-Link DES 7200</t>
  </si>
  <si>
    <t>{#SNMPINDEX}</t>
  </si>
  <si>
    <t>D-Link DES_DGS Switch</t>
  </si>
  <si>
    <t>#{#SNMPVALUE}</t>
  </si>
  <si>
    <t>DELL PowerEdge R720</t>
  </si>
  <si>
    <t>{#DISK_NAME} has been replaced (new serial number received)</t>
  </si>
  <si>
    <t>DELL PowerEdge R740</t>
  </si>
  <si>
    <t>DELL PowerEdge R820</t>
  </si>
  <si>
    <t>DELL PowerEdge R840</t>
  </si>
  <si>
    <t>Dell Force S-Series</t>
  </si>
  <si>
    <t>Device {#SNMPVALUE}</t>
  </si>
  <si>
    <t>Dell iDRAC</t>
  </si>
  <si>
    <t>{#SENSOR_LOCALE}</t>
  </si>
  <si>
    <t>{#DISK_NAME}</t>
  </si>
  <si>
    <t>Docker</t>
  </si>
  <si>
    <t>Container {#NAME}</t>
  </si>
  <si>
    <t>Elasticsearch</t>
  </si>
  <si>
    <t>ES {#ES.NODE}</t>
  </si>
  <si>
    <t xml:space="preserve"> Flush latency is too high (over {$ELASTICSEARCH.FLUSH_LATENCY.MAX.WARN}ms for 5m)</t>
  </si>
  <si>
    <t xml:space="preserve"> Indexing latency is too high (over {$ELASTICSEARCH.INDEXING_LATENCY.MAX.WARN}ms for 5m)</t>
  </si>
  <si>
    <t xml:space="preserve"> Fetch latency is too high (over {$ELASTICSEARCH.FETCH_LATENCY.MAX.WARN}ms for 5m)</t>
  </si>
  <si>
    <t xml:space="preserve"> Query latency is too high (over {$ELASTICSEARCH.QUERY_LATENCY.MAX.WARN}ms for 5m)</t>
  </si>
  <si>
    <t xml:space="preserve"> Percent of JVM heap in use is high (over {$ELASTICSEARCH.HEAP_USED.MAX.WARN}% for 1h)</t>
  </si>
  <si>
    <t xml:space="preserve"> Percent of JVM heap in use is critical (over {$ELASTICSEARCH.HEAP_USED.MAX.CRIT}% for 1h)</t>
  </si>
  <si>
    <t xml:space="preserve"> has been restarted (uptime &lt; 10m)</t>
  </si>
  <si>
    <t xml:space="preserve"> Refresh thread pool executor has the rejected tasks (for 5m)</t>
  </si>
  <si>
    <t xml:space="preserve"> Search thread pool executor has the rejected tasks (for 5m)</t>
  </si>
  <si>
    <t xml:space="preserve"> Write thread pool executor has the rejected tasks (for 5m)</t>
  </si>
  <si>
    <t>Extreme EXOS</t>
  </si>
  <si>
    <t>FortiGate</t>
  </si>
  <si>
    <t>Interface [{#IFNAME}({#IFALIAS})]</t>
  </si>
  <si>
    <t>"{#IFKEY}"} for 5m)</t>
  </si>
  <si>
    <t>Service [{#NAME}]</t>
  </si>
  <si>
    <t xml:space="preserve"> License expires soon (less than {$SERVICE.EXPIRY.WARN</t>
  </si>
  <si>
    <t>"{#KEY}"} days)</t>
  </si>
  <si>
    <t xml:space="preserve"> License status is {ITEM.LASTVALUE1}</t>
  </si>
  <si>
    <t>WTP {#WC.NAME}</t>
  </si>
  <si>
    <t xml:space="preserve"> High CPU utilization (over {$WC.CPU.UTIL.CRIT</t>
  </si>
  <si>
    <t>"{#WC.NAME}"}% for 5m)</t>
  </si>
  <si>
    <t xml:space="preserve"> High memory utilization (&gt;{$WC.MEMORY.UTIL.MAX</t>
  </si>
  <si>
    <t xml:space="preserve"> Session has been restarted (uptime &lt; 10m)</t>
  </si>
  <si>
    <t>FreeBSD</t>
  </si>
  <si>
    <t>FS [{#FSNAME}]</t>
  </si>
  <si>
    <t>Memory pool</t>
  </si>
  <si>
    <t xml:space="preserve"> {#JMXNAME} memory usage more than {$JMX.MP.USAGE.MAX</t>
  </si>
  <si>
    <t>{#JMXNAME}}% for {$JMX.MP.USAGE.TIME</t>
  </si>
  <si>
    <t>GridGain</t>
  </si>
  <si>
    <t>Cache group [{#JMXNAME}]</t>
  </si>
  <si>
    <t>Data region {#JMXNAME}</t>
  </si>
  <si>
    <t xml:space="preserve"> Checkpoint buffer utilization is too high (over {$GRIDGAIN.CHECKPOINT.PUSED.MAX.HIGH} in 5m)</t>
  </si>
  <si>
    <t xml:space="preserve"> Checkpoint buffer utilization is too high (over {$GRIDGAIN.CHECKPOINT.PUSED.MAX.WARN} in 5m)</t>
  </si>
  <si>
    <t>GridGain [{#JMXIGNITEINSTANCENAME}]</t>
  </si>
  <si>
    <t xml:space="preserve"> PME duration is too long (over {$GRIDGAIN.PME.DURATION.MAX.HIGH} for 5 min)</t>
  </si>
  <si>
    <t xml:space="preserve"> PME duration is too long (over {$GRIDGAIN.PME.DURATION.MAX.WARN} for 5 min)</t>
  </si>
  <si>
    <t xml:space="preserve"> Number of running threads is too high (over {$GRIDGAIN.THREADS.COUNT.MAX.WARN} for 15 min)</t>
  </si>
  <si>
    <t xml:space="preserve"> Number of queued jobs is too high (over {$GRIDGAIN.JOBS.QUEUE.MAX.WARN} for 15 min)</t>
  </si>
  <si>
    <t xml:space="preserve"> Data region utilization is too high (over {$GRIDGAIN.DATA.REGION.PUSED.MAX.HIGH} in 5m)</t>
  </si>
  <si>
    <t xml:space="preserve"> Data region utilization is too high (over {$GRIDGAIN.DATA.REGION.PUSED.MAX.WARN} in 5m)</t>
  </si>
  <si>
    <t>Thread pool [{#JMXNAME}]</t>
  </si>
  <si>
    <t xml:space="preserve"> Too many messages in queue (over {$GRIDGAIN.THREAD.QUEUE.MAX.WARN</t>
  </si>
  <si>
    <t>{#JMXNAME}} for 5 min)</t>
  </si>
  <si>
    <t xml:space="preserve"> Failed to fetch info data (or no data for 10m)</t>
  </si>
  <si>
    <t>HAProxy</t>
  </si>
  <si>
    <t>backend {#PXNAME}</t>
  </si>
  <si>
    <t xml:space="preserve"> Number of responses with error is more than {$HAPROXY.BACK_ERESP.MAX.WARN} for 5m</t>
  </si>
  <si>
    <t xml:space="preserve"> Current number of requests unassigned in queue is more than {$HAPROXY.BACK_QCUR.MAX.WARN} for 5m</t>
  </si>
  <si>
    <t xml:space="preserve"> Average time spent in queue is more than {$HAPROXY.BACK_QTIME.MAX.WARN} for 5m</t>
  </si>
  <si>
    <t xml:space="preserve"> Average response time is more than {$HAPROXY.BACK_RTIME.MAX.WARN} for 5m</t>
  </si>
  <si>
    <t>frontend {#PXNAME}</t>
  </si>
  <si>
    <t xml:space="preserve"> Number of requests denied is more than {$HAPROXY.FRONT_DREQ.MAX.WARN} for 5m</t>
  </si>
  <si>
    <t xml:space="preserve"> Number of request errors is more than {$HAPROXY.FRONT_EREQ.MAX.WARN} for 5m</t>
  </si>
  <si>
    <t xml:space="preserve"> Session utilization is more than {$HAPROXY.FRONT_SUTIL.MAX.WARN}% for 5m</t>
  </si>
  <si>
    <t>{#PXNAME} {#SVNAME}</t>
  </si>
  <si>
    <t xml:space="preserve"> Number of responses with error is more than {$HAPROXY.SERVER_ERESP.MAX.WARN} for 5m</t>
  </si>
  <si>
    <t xml:space="preserve"> Current number of requests unassigned in queue is more than {$HAPROXY.SERVER_QCUR.MAX.WARN} for 5m</t>
  </si>
  <si>
    <t xml:space="preserve"> Average time spent in queue is more than {$HAPROXY.SERVER_QTIME.MAX.WARN} for 5m</t>
  </si>
  <si>
    <t xml:space="preserve"> Average response time is more than {$HAPROXY.SERVER_RTIME.MAX.WARN} for 5m</t>
  </si>
  <si>
    <t>HP Comware HH3C</t>
  </si>
  <si>
    <t>{#MODULE_NAME}</t>
  </si>
  <si>
    <t>HP Enterprise Switch</t>
  </si>
  <si>
    <t>HP iLO</t>
  </si>
  <si>
    <t>HP-UX</t>
  </si>
  <si>
    <t>HPE MSA 2040 Storage</t>
  </si>
  <si>
    <t>Controller [{#CONTROLLER.ID}]</t>
  </si>
  <si>
    <t xml:space="preserve"> High CPU utilization (over {$HPE.MSA.CONTROLLER.CPU.UTIL.CRIT}% for 5m)</t>
  </si>
  <si>
    <t xml:space="preserve"> Controller has been restarted (uptime &lt; 10m)</t>
  </si>
  <si>
    <t>Disk group [{#NAME}]</t>
  </si>
  <si>
    <t xml:space="preserve"> Disk group space is critically low (used &gt; {$HPE.MSA.DISKS.GROUP.PUSED.MAX.CRIT</t>
  </si>
  <si>
    <t>"{#NAME}"}%)</t>
  </si>
  <si>
    <t xml:space="preserve"> Disk group space is low (used &gt; {$HPE.MSA.DISKS.GROUP.PUSED.MAX.WARN</t>
  </si>
  <si>
    <t>Pool [{#NAME}]</t>
  </si>
  <si>
    <t xml:space="preserve"> Pool space is critically low (used &gt; {$HPE.MSA.POOL.PUSED.MAX.CRIT</t>
  </si>
  <si>
    <t xml:space="preserve"> Pool space is low (used &gt; {$HPE.MSA.POOL.PUSED.MAX.WARN</t>
  </si>
  <si>
    <t>HPE MSA 2060 Storage</t>
  </si>
  <si>
    <t>HPE ProLiant BL460</t>
  </si>
  <si>
    <t>HPE ProLiant BL920</t>
  </si>
  <si>
    <t>HPE ProLiant DL360</t>
  </si>
  <si>
    <t>HPE ProLiant DL380</t>
  </si>
  <si>
    <t>Hadoop</t>
  </si>
  <si>
    <t>{#HOSTNAME}</t>
  </si>
  <si>
    <t xml:space="preserve"> Service has been restarted (uptime &lt; 10m)</t>
  </si>
  <si>
    <t xml:space="preserve"> Failed to fetch DataNode API page (or no data for 30m)</t>
  </si>
  <si>
    <t xml:space="preserve"> Failed to fetch NodeManager API page (or no data for 30m)</t>
  </si>
  <si>
    <t>HashiCorp Consul Cluster</t>
  </si>
  <si>
    <t>Service ["{#SERVICE_NAME}"]</t>
  </si>
  <si>
    <t xml:space="preserve"> Too many nodes with service status 'critical' (over {$CONSUL.CLUSTER.SERVICE_NODES.CRITICAL.MAX.AVG</t>
  </si>
  <si>
    <t>"{#SERVICE_NAME}"})</t>
  </si>
  <si>
    <t>HashiCorp Consul Node</t>
  </si>
  <si>
    <t>Node's health score is over {$CONSUL.NODE.HEALTH_SCORE.MAX.HIGH}</t>
  </si>
  <si>
    <t>HashiCorp Nomad Client</t>
  </si>
  <si>
    <t>Running out of free inodes on [{#DEV.NAME}]  (free &lt; {$NOMAD.INODES.FREE.MIN.CRIT</t>
  </si>
  <si>
    <t>"{#DEV.NAME}"}%)</t>
  </si>
  <si>
    <t>Running out of free inodes on [{#DEV.NAME}]  (free &lt; {$NOMAD.INODES.FREE.MIN.WARN</t>
  </si>
  <si>
    <t>Disk [{#DEV.NAME}] space low (utilization</t>
  </si>
  <si>
    <t xml:space="preserve"> &gt;= {$NOMAD.DISK.UTIL.MIN.CRIT</t>
  </si>
  <si>
    <t xml:space="preserve"> &gt;= {$NOMAD.DISK.UTIL.MIN.WARN</t>
  </si>
  <si>
    <t>HashiCorp Vault</t>
  </si>
  <si>
    <t>Token [{#TOKEN_NAME}] will expire soon (less than {$VAULT.TOKEN.TTL.MIN.CRIT})</t>
  </si>
  <si>
    <t>Token [{#TOKEN_NAME}] will expire soon (less than {$VAULT.TOKEN.TTL.MIN.WARN})</t>
  </si>
  <si>
    <t>Huawei OceanStor 5300 V5</t>
  </si>
  <si>
    <t>Controller {#ID}</t>
  </si>
  <si>
    <t xml:space="preserve"> Memory usage is too high (over {$HUAWEI.5300.MEM.MAX.WARN} for {$HUAWEI.5300.MEM.MAX.TIME})</t>
  </si>
  <si>
    <t>Disk {#MODEL} on {#LOCATION}</t>
  </si>
  <si>
    <t xml:space="preserve"> Temperature is too high (over {$HUAWEI.5300.DISK.TEMP.MAX.WARN</t>
  </si>
  <si>
    <t>"{#MODEL}"} for {$HUAWEI.5300.DISK.TEMP.MAX.TIME})</t>
  </si>
  <si>
    <t>Enclosure {#NAME}</t>
  </si>
  <si>
    <t xml:space="preserve"> Temperature is too high (over {$HUAWEI.5300.TEMP.MAX.WARN} for {$HUAWEI.5300.TEMP.MAX.TIME})</t>
  </si>
  <si>
    <t>Pool {#NAME}</t>
  </si>
  <si>
    <t xml:space="preserve"> Used capacity is too high (over {#THRESHOLD}%)</t>
  </si>
  <si>
    <t>LUN {#NAME}</t>
  </si>
  <si>
    <t xml:space="preserve"> Average I/O response time is too high (over {$HUAWEI.5300.LUN.IO.TIME.MAX.WARN}ms for {$HUAWEI.5300.LUN.IO.TIME.MAX.TIME})</t>
  </si>
  <si>
    <t>Node {#NODE}</t>
  </si>
  <si>
    <t xml:space="preserve"> Average I/O latency is too high (over {$HUAWEI.5300.NODE.IO.DELAY.MAX.WARN}ms for {$HUAWEI.5300.NODE.IO.DELAY.MAX.TIME})</t>
  </si>
  <si>
    <t>Huawei VRP</t>
  </si>
  <si>
    <t>"{#ENT_NAME}"}</t>
  </si>
  <si>
    <t>IBM IMM</t>
  </si>
  <si>
    <t>Ambient</t>
  </si>
  <si>
    <t>CPU</t>
  </si>
  <si>
    <t>Ignite</t>
  </si>
  <si>
    <t xml:space="preserve"> Checkpoint buffer utilization is too high (over {$IGNITE.CHECKPOINT.PUSED.MAX.HIGH} in 5m)</t>
  </si>
  <si>
    <t xml:space="preserve"> Checkpoint buffer utilization is too high (over {$IGNITE.CHECKPOINT.PUSED.MAX.WARN} in 5m)</t>
  </si>
  <si>
    <t>[{#JMXIGNITEINSTANCENAME}]</t>
  </si>
  <si>
    <t xml:space="preserve"> PME duration is too long (over {$IGNITE.PME.DURATION.MAX.HIGH} for 5 min)</t>
  </si>
  <si>
    <t xml:space="preserve"> PME duration is too long (over {$IGNITE.PME.DURATION.MAX.WARN} for 5 min)</t>
  </si>
  <si>
    <t xml:space="preserve"> Number of running threads is too high (over {$IGNITE.THREADS.COUNT.MAX.WARN} for 15 min)</t>
  </si>
  <si>
    <t xml:space="preserve"> Number of queued jobs is too high (over {$IGNITE.JOBS.QUEUE.MAX.WARN} for 15 min)</t>
  </si>
  <si>
    <t xml:space="preserve"> Data region utilization is too high (over {$IGNITE.DATA.REGION.PUSED.MAX.HIGH} in 5m)</t>
  </si>
  <si>
    <t xml:space="preserve"> Data region utilization is too high (over {$IGNITE.DATA.REGION.PUSED.MAX.WARN} in 5m)</t>
  </si>
  <si>
    <t xml:space="preserve"> Too many messages in queue (over {$IGNITE.THREAD.QUEUE.MAX.WARN</t>
  </si>
  <si>
    <t>Intel Qlogic</t>
  </si>
  <si>
    <t>Jira Data Center</t>
  </si>
  <si>
    <t>License [{#LICENSE.TYPE}]</t>
  </si>
  <si>
    <t xml:space="preserve"> Low user capacity (created &gt; {$JIRA_DC.LICENSE.USER.CAPACITY.WARN</t>
  </si>
  <si>
    <t>"{#LICENSE.TYPE}"}%)</t>
  </si>
  <si>
    <t>Indexing [{#JMXNAME}]</t>
  </si>
  <si>
    <t xml:space="preserve"> Slow performance (latency &gt; {$JIRA_DC.INDEXING.LATENCY.WARN</t>
  </si>
  <si>
    <t>{#JMXNAME}}s)</t>
  </si>
  <si>
    <t>Issue [{#JMXNAME}]</t>
  </si>
  <si>
    <t xml:space="preserve"> Slow operations (longer then {$JIRA_DC.ISSUE.LATENCY.WARN</t>
  </si>
  <si>
    <t>Storage [{#JMXCATEGORY01}]</t>
  </si>
  <si>
    <t xml:space="preserve"> Slow performance (latency &gt; {$JIRA_DC.STORAGE.LATENCY.WARN</t>
  </si>
  <si>
    <t>"{#JMXCATEGORY01}"}s)</t>
  </si>
  <si>
    <t>Juniper MX</t>
  </si>
  <si>
    <t>System [{#SNMPVALUE}]</t>
  </si>
  <si>
    <t xml:space="preserve"> High CPU utilization (over {$JUNIPER.MX.CPU.UTIL.CRIT}% for 5m)</t>
  </si>
  <si>
    <t>系统[{#SNMPVALUE}]：CPU利用率过高（5分钟内超过{$JUNIPER.MX.CPU.UTIL.CRIT}%）</t>
  </si>
  <si>
    <t>SFP [{#IFNAME}][{#IFALIAS}]</t>
  </si>
  <si>
    <t xml:space="preserve"> Rx laser power high on [{#LANEINDEX}] lane</t>
  </si>
  <si>
    <t>小型可插拔光模块（SFP）[{#IFNAME}][{#IFALIAS}]：[{#LANEINDEX}]通道上的接收激光功率过高</t>
  </si>
  <si>
    <t xml:space="preserve"> Rx laser power low on [{#LANEINDEX}] lane</t>
  </si>
  <si>
    <t>小型可插拔光模块（SFP）[{#IFNAME}][{#IFALIAS}]：[{#LANEINDEX}]通道上的接收激光功率过低</t>
  </si>
  <si>
    <t xml:space="preserve"> Laser temperature high on [{#LANEINDEX}] lane</t>
  </si>
  <si>
    <t>小型可插拔光模块（SFP）[{#IFNAME}][{#IFALIAS}]：[{#LANEINDEX}]通道上的激光器温度过高</t>
  </si>
  <si>
    <t xml:space="preserve"> Laser temperature low on [{#LANEINDEX}] lane</t>
  </si>
  <si>
    <t>小型可插拔光模块（SFP）[{#IFNAME}][{#IFALIAS}]：[{#LANEINDEX}]通道上的激光器温度过低</t>
  </si>
  <si>
    <t xml:space="preserve"> Tx laser bias current high on [{#LANEINDEX}] lane</t>
  </si>
  <si>
    <t>小型可插拔光模块（SFP）[{#IFNAME}][{#IFALIAS}]：[{#LANEINDEX}]通道上的发送激光偏置电流过高</t>
  </si>
  <si>
    <t xml:space="preserve"> Tx laser bias current low on [{#LANEINDEX}] lane</t>
  </si>
  <si>
    <t>小型可插拔光模块（SFP）[{#IFNAME}][{#IFALIAS}]：[{#LANEINDEX}]通道上的发送激光偏置电流过低</t>
  </si>
  <si>
    <t xml:space="preserve"> Tx laser power high on [{#LANEINDEX}] lane</t>
  </si>
  <si>
    <t>小型可插拔光模块（SFP）[{#IFNAME}][{#IFALIAS}]：[{#LANEINDEX}]通道上的发送激光功率过高</t>
  </si>
  <si>
    <t xml:space="preserve"> Tx laser power low on [{#LANEINDEX}] lane</t>
  </si>
  <si>
    <t>小型可插拔光模块（SFP）[{#IFNAME}][{#IFALIAS}]：[{#LANEINDEX}]通道上的发送激光功率过低</t>
  </si>
  <si>
    <t xml:space="preserve"> High memory utilization (&gt;{$JUNIPER.MX.MEMORY.UTIL.MAX}% for 5m)</t>
  </si>
  <si>
    <t>系统[{#SNMPVALUE}]：内存利用率过高（5分钟内大于{$JUNIPER.MX.MEMORY.UTIL.MAX}%）</t>
  </si>
  <si>
    <t>Interface [{#IFNAME}][{#IFALIAS}]</t>
  </si>
  <si>
    <t xml:space="preserve"> High error rate (&gt;{$JUNIPER.MX.IF.ERRORS.WARN</t>
  </si>
  <si>
    <t>接口[{#IFNAME}][{#IFALIAS}]：错误率过高（5分钟内大于{$JUNIPER.MX.IF.ERRORS.WARN:{#IFNAME}}）</t>
  </si>
  <si>
    <t xml:space="preserve"> High bandwidth usage (&gt;{$JUNIPER.MX.IF.UTIL.MAX</t>
  </si>
  <si>
    <t>接口[{#IFNAME}][{#IFALIAS}]：带宽使用率过高（大于{$JUNIPER.MX.IF.UTIL.MAX:{#IFNAME}}%）</t>
  </si>
  <si>
    <t>Sensor [{#SENSOR_INFO}]</t>
  </si>
  <si>
    <t xml:space="preserve"> &gt;{$JUNIPER.MX.TEMP_CRIT</t>
  </si>
  <si>
    <t>Juniper MX: Sensor ["{#SENSOR_INFO}]}</t>
  </si>
  <si>
    <t>传感器[{#SENSOR_INFO}]：温度高于临界阈值：大于{$JUNIPER.MX.TEMP_CRIT:瞻博网络（Juniper）MX: 传感器 ["{#SENSOR_INFO}"]}</t>
  </si>
  <si>
    <t xml:space="preserve"> &gt;{$JUNIPER.MX.TEMP_WARN</t>
  </si>
  <si>
    <t>传感器[{#SENSOR_INFO}]：温度高于警告阈值：大于{$JUNIPER.MX.TEMP_WARN:瞻博网络（Juniper）MX: 传感器 ["{#SENSOR_INFO}"]}</t>
  </si>
  <si>
    <t xml:space="preserve"> &lt;{$JUNIPER.MX.TEMP_CRIT_LOW</t>
  </si>
  <si>
    <t>传感器[{#SENSOR_INFO}]：温度过低：小于{$JUNIPER.MX.TEMP_CRIT_LOW:瞻博网络（Juniper）MX: 传感器 ["{#SENSOR_INFO}"]}</t>
  </si>
  <si>
    <t>Juniper</t>
  </si>
  <si>
    <t>Kubernetes API server</t>
  </si>
  <si>
    <t>Kubernetes client certificate expires in {$KUBE.API.CERT.EXPIRATION} days</t>
  </si>
  <si>
    <t>Kubernetes nodes</t>
  </si>
  <si>
    <t>Node [{#NAME}] Limits</t>
  </si>
  <si>
    <t xml:space="preserve"> Total CPU limits are too high (more than 90% of allocatable)</t>
  </si>
  <si>
    <t xml:space="preserve"> Total CPU limits are too high (more than 100% of allocatable)</t>
  </si>
  <si>
    <t>Node [{#NAME}] Requests</t>
  </si>
  <si>
    <t xml:space="preserve"> Total CPU requests are too high (more than 50% of allocatable)</t>
  </si>
  <si>
    <t xml:space="preserve"> Total CPU requests are too high (more than 80% of allocatable)</t>
  </si>
  <si>
    <t xml:space="preserve"> Total memory limits are too high (more than 90% of allocatable)</t>
  </si>
  <si>
    <t xml:space="preserve"> Total memory limits are too high (more than 100% of allocatable)</t>
  </si>
  <si>
    <t xml:space="preserve"> Total memory requests are too high (more than 50% of allocatable)</t>
  </si>
  <si>
    <t xml:space="preserve"> Total memory requests are too high (more than 80% of allocatable)</t>
  </si>
  <si>
    <t>Node [{#NAME}] Used</t>
  </si>
  <si>
    <t xml:space="preserve"> Kubelet too many pods (more than 95% of capacity)</t>
  </si>
  <si>
    <t>Node [{#NAME}] Conditions</t>
  </si>
  <si>
    <t xml:space="preserve"> Pressure exists on the disk size (state</t>
  </si>
  <si>
    <t xml:space="preserve"> Pressure exists on the node memory (state</t>
  </si>
  <si>
    <t xml:space="preserve"> Network is not correctly configured (state</t>
  </si>
  <si>
    <t xml:space="preserve"> Pressure exists on the processes (state</t>
  </si>
  <si>
    <t xml:space="preserve"> Is not in Ready state (state</t>
  </si>
  <si>
    <t>Node [{#NAME}]</t>
  </si>
  <si>
    <t xml:space="preserve"> Has been restarted (uptime &lt; 10m)</t>
  </si>
  <si>
    <t>Linux</t>
  </si>
  <si>
    <t>{#DEVNAME}</t>
  </si>
  <si>
    <t xml:space="preserve"> Disk read/write request responses are too high (read &gt; {$VFS.DEV.READ.AWAIT.WARN</t>
  </si>
  <si>
    <t>"{#DEVNAME}"} ms for 15m or write &gt; {$VFS.DEV.WRITE.AWAIT.WARN</t>
  </si>
  <si>
    <t>"{#DEVNAME}"} ms for 15m)</t>
  </si>
  <si>
    <t>{#FSNAME}}%, total {{?last(//vfs.fs.total[node_exporter,{#FSNAME}])/1024/1024/1024}.fmtnum(1)}GB)</t>
  </si>
  <si>
    <t>{#FSNAME}}%, total {{?last(//vfs.fs.total[dskTotal.{#SNMPINDEX}])/1024/1024/1024}.fmtnum(1)}GB)</t>
  </si>
  <si>
    <t>Interface {#IFNAME}</t>
  </si>
  <si>
    <t>MSSQL</t>
  </si>
  <si>
    <t>DB '{#DBNAME}'</t>
  </si>
  <si>
    <t xml:space="preserve"> Diff backup older than {$MSSQL.BACKUP_DIFF.CRIT</t>
  </si>
  <si>
    <t>"{#DBNAME}"}</t>
  </si>
  <si>
    <t xml:space="preserve"> Diff backup older than {$MSSQL.BACKUP_DIFF.WARN</t>
  </si>
  <si>
    <t xml:space="preserve"> Full backup older than {$MSSQL.BACKUP_FULL.CRIT</t>
  </si>
  <si>
    <t xml:space="preserve"> Full backup older than {$MSSQL.BACKUP_FULL.WARN</t>
  </si>
  <si>
    <t xml:space="preserve"> Log backup older than {$MSSQL.BACKUP_LOG.CRIT</t>
  </si>
  <si>
    <t xml:space="preserve"> Log backup older than {$MSSQL.BACKUP_LOG.WARN</t>
  </si>
  <si>
    <t xml:space="preserve"> Total wait time to flush the log is high (over {$MSSQL.LOG_FLUSH_WAIT_TIME.MAX</t>
  </si>
  <si>
    <t>"{#DBNAME}"}ms for 5m)</t>
  </si>
  <si>
    <t xml:space="preserve"> Number of commits waiting for the log flush is high (over {$MSSQL.LOG_FLUSH_WAITS.MAX</t>
  </si>
  <si>
    <t>"{#DBNAME}"}/sec for 5m)</t>
  </si>
  <si>
    <t xml:space="preserve"> Percent of log usage is high (over {$MSSQL.PERCENT_LOG_USED.MAX</t>
  </si>
  <si>
    <t>"{#DBNAME}"}% for 5m)</t>
  </si>
  <si>
    <t>Job '{#JOBNAME}'</t>
  </si>
  <si>
    <t xml:space="preserve"> Job duration is greater than {$MSSQL.BACKUP_DURATION.WARN</t>
  </si>
  <si>
    <t>"{#JOBNAME}"}</t>
  </si>
  <si>
    <t>Mellanox</t>
  </si>
  <si>
    <t xml:space="preserve"> &lt;{$TEMP.MIN.CRIT</t>
  </si>
  <si>
    <t>MS Exchange 2016</t>
  </si>
  <si>
    <t>Domain Controller [{#INSTANCE}]</t>
  </si>
  <si>
    <t xml:space="preserve"> LDAP read time is too high (&gt;{$MS.EXCHANGE.LDAP.WARN}s for {$MS.EXCHANGE.LDAP.TIME})</t>
  </si>
  <si>
    <t xml:space="preserve"> LDAP search time is too high (&gt;{$MS.EXCHANGE.LDAP.WARN}s for {$MS.EXCHANGE.LDAP.TIME})</t>
  </si>
  <si>
    <t>Database Counters [{#INSTANCE}]</t>
  </si>
  <si>
    <t xml:space="preserve"> Average read time latency is too high (&gt;{$MS.EXCHANGE.DB.ACTIVE.READ.WARN}s for {$MS.EXCHANGE.DB.ACTIVE.READ.TIME})</t>
  </si>
  <si>
    <t xml:space="preserve"> Average read time latency is too high (&gt;{$MS.EXCHANGE.DB.PASSIVE.READ.WARN}s for {$MS.EXCHANGE.DB.PASSIVE.READ.TIME})</t>
  </si>
  <si>
    <t>Information Store [{#INSTANCE}]</t>
  </si>
  <si>
    <t xml:space="preserve"> Page faults is too high (&gt;{$MS.EXCHANGE.DB.FAULTS.WARN} for {$MS.EXCHANGE.DB.FAULTS.TIME})</t>
  </si>
  <si>
    <t xml:space="preserve"> Log records stalls is too high (&gt;{$MS.EXCHANGE.LOG.STALLS.WARN} for {$MS.EXCHANGE.LOG.STALLS.TIME})</t>
  </si>
  <si>
    <t xml:space="preserve"> RPC Requests latency is too high (&gt;{$MS.EXCHANGE.RPC.WARN}s for {$MS.EXCHANGE.RPC.TIME})</t>
  </si>
  <si>
    <t xml:space="preserve"> RPC Requests total count is too high (&gt;{$MS.EXCHANGE.RPC.COUNT.WARN} for {$MS.EXCHANGE.RPC.COUNT.TIME})</t>
  </si>
  <si>
    <t>MikroTik</t>
  </si>
  <si>
    <t xml:space="preserve"> LTE modem RSRP is low (below {$LTEMODEM.RSRP.MIN.WARN}dbm for 5m)</t>
  </si>
  <si>
    <t xml:space="preserve"> LTE modem RSRQ is low (below {$LTEMODEM.RSRQ.MIN.WARN}db for 5m)</t>
  </si>
  <si>
    <t xml:space="preserve"> LTE modem RSSI is low (below {$LTEMODEM.RSSI.MIN.WARN}dbm for 5m)</t>
  </si>
  <si>
    <t xml:space="preserve"> LTE modem SINR is low (below {$LTEMODEM.SINR.MIN.WARN}db for 5m)</t>
  </si>
  <si>
    <t>Device</t>
  </si>
  <si>
    <t>Device}</t>
  </si>
  <si>
    <t>Disk-{#SNMPINDEX}</t>
  </si>
  <si>
    <t>Disk-"{#SNMPINDEX}"}%)</t>
  </si>
  <si>
    <t>MongoDB node</t>
  </si>
  <si>
    <t>Replication lag with primary is too high (over {$MONGODB.REPL.LAG.MAX.WARN} in 5m)</t>
  </si>
  <si>
    <t>Node in ReplicaSet changed the state (new state</t>
  </si>
  <si>
    <t>Available WiredTiger read tickets less than {$MONGODB.WIRED_TIGER.TICKETS.AVAILABLE.MIN.WARN}</t>
  </si>
  <si>
    <t>Available WiredTiger write tickets less than {$MONGODB.WIRED_TIGER.TICKETS.AVAILABLE.MIN.WARN}</t>
  </si>
  <si>
    <t>Morningstar ProStar MPPT</t>
  </si>
  <si>
    <t>Battery</t>
  </si>
  <si>
    <t xml:space="preserve"> Critically low battery voltage (below {#VOLTAGE.MIN.CRIT}V for 5m)</t>
  </si>
  <si>
    <t xml:space="preserve"> Low battery voltage (below {#VOLTAGE.MIN.WARN}V for 5m)</t>
  </si>
  <si>
    <t xml:space="preserve"> Critically high battery voltage (over {#VOLTAGE.MAX.CRIT}V for 5m)</t>
  </si>
  <si>
    <t xml:space="preserve"> High battery voltage (over {#VOLTAGE.MAX.WARN}V for 5m)</t>
  </si>
  <si>
    <t>Morningstar ProStar PWM</t>
  </si>
  <si>
    <t>Morningstar SunSaver MPPT</t>
  </si>
  <si>
    <t>Morningstar SureSine</t>
  </si>
  <si>
    <t>Morningstar TriStar MPPT 600V</t>
  </si>
  <si>
    <t>Morningstar TriStar MPPT</t>
  </si>
  <si>
    <t>Morningstar TriStar PWM</t>
  </si>
  <si>
    <t>NGINX Plus</t>
  </si>
  <si>
    <t>Too many HTTP requests with code 4xx (over {$NGINX.HTTP.UPSTREAM.4XX.MAX.WARN}% for 5m)</t>
  </si>
  <si>
    <t>Too many HTTP requests with code 5xx (over {$NGINX.HTTP.UPSTREAM.5XX.MAX.WARN}% for 5m)</t>
  </si>
  <si>
    <t>NetApp AFF A700</t>
  </si>
  <si>
    <t>{#NODENAME}</t>
  </si>
  <si>
    <t xml:space="preserve"> Node has been restarted (uptime &lt; 10m)</t>
  </si>
  <si>
    <t>NetApp FAS3220</t>
  </si>
  <si>
    <t>Node {#NODE.NAME}</t>
  </si>
  <si>
    <t xml:space="preserve"> {HOST.NAME} has been restarted (uptime &lt; 10m)</t>
  </si>
  <si>
    <t>{#VSERVER}{#FSNAME}</t>
  </si>
  <si>
    <t xml:space="preserve"> Disk space is too low (below {$FAS3220.FS.AVAIL.MIN.CRIT</t>
  </si>
  <si>
    <t>{#FSNAME}} for {$FAS3220.FS.TIME</t>
  </si>
  <si>
    <t>{#FSNAME}})</t>
  </si>
  <si>
    <t xml:space="preserve"> Disk space is too low (used over {$FAS3220.FS.PUSED.MAX.CRIT</t>
  </si>
  <si>
    <t>{#FSNAME}}% for {$FAS3220.FS.TIME</t>
  </si>
  <si>
    <t xml:space="preserve"> port {#IFNAME} ({#TYPE})</t>
  </si>
  <si>
    <t>Netgear Fastpath</t>
  </si>
  <si>
    <t>Network Generic Device</t>
  </si>
  <si>
    <t>Nginx</t>
  </si>
  <si>
    <t>Service response time is too high (over {$NGINX.RESPONSE_TIME.MAX.WARN}s for 5m)</t>
  </si>
  <si>
    <t>High connections drop rate (more than {$NGINX.DROP_RATE.MAX.WARN} for 5m)</t>
  </si>
  <si>
    <t>Failed to fetch stub status page (or no data for 30m)</t>
  </si>
  <si>
    <t>OpenBSD</t>
  </si>
  <si>
    <t>OpenWeatherMap</t>
  </si>
  <si>
    <t>[{#LOCATION}, {#COUNTRY}]</t>
  </si>
  <si>
    <t xml:space="preserve"> Temperature is too low (below {$TEMP.CRIT.LOW} for 30m)</t>
  </si>
  <si>
    <t xml:space="preserve"> Temperature is too high (over {$TEMP.CRIT.HIGH} for 30m)</t>
  </si>
  <si>
    <t>OCI Compute</t>
  </si>
  <si>
    <t>VNIC [{#NAME}]</t>
  </si>
  <si>
    <t xml:space="preserve"> Current conntrack table utilization is high (util &gt;= {$OCI.COMPUTE.VNIC.CONNTRACK.UTIL.WARN}%)</t>
  </si>
  <si>
    <t xml:space="preserve"> Current conntrack table utilization is too high (util &gt;= {$OCI.COMPUTE.VNIC.CONNTRACK.UTIL.HIGH}%)</t>
  </si>
  <si>
    <t>Oracle</t>
  </si>
  <si>
    <t>ASM '{#DGNAME}'</t>
  </si>
  <si>
    <t xml:space="preserve"> Disk group usage is too high (over {$ORACLE.ASM.USED.PCT.MAX.HIGH}% for 5m)</t>
  </si>
  <si>
    <t xml:space="preserve"> Disk group usage is too high (over {$ORACLE.ASM.USED.PCT.MAX.WARN}% for 5m)</t>
  </si>
  <si>
    <t>Database '{#DBNAME}'</t>
  </si>
  <si>
    <t xml:space="preserve"> Open status has changed (new value received</t>
  </si>
  <si>
    <t xml:space="preserve"> Role has changed (new value received</t>
  </si>
  <si>
    <t>'{#CON_NAME}' TBS '{#TABLESPACE}'</t>
  </si>
  <si>
    <t xml:space="preserve"> Tablespace status has changed (new value received</t>
  </si>
  <si>
    <t xml:space="preserve"> Tablespace usage is too high (over {$ORACLE.TBS.USED.PCT.MAX.HIGH}% for 5m).</t>
  </si>
  <si>
    <t xml:space="preserve"> Tablespace usage is too high (over {$ORACLE.TBS.USED.PCT.MAX.WARN}% for 5m).</t>
  </si>
  <si>
    <t xml:space="preserve"> Tablespace usage from MAX is too high (over {$ORACLE.TBS.USED.PCT.FROM.MAX.HIGH}% for 5m).</t>
  </si>
  <si>
    <t xml:space="preserve"> Tablespace usage from MAX is too high (over {$ORACLE.TBS.USED.PCT.FROM.MAX.WARN}% for 5m).</t>
  </si>
  <si>
    <t xml:space="preserve"> Tablespace utilization is too high (over {$ORACLE.TBS.UTIL.PCT.MAX.HIGH}% for 5m).</t>
  </si>
  <si>
    <t xml:space="preserve"> Tablespace utilization is too high (over {$ORACLE.TBS.UTIL.PCT.MAX.WARN}% for 5m).</t>
  </si>
  <si>
    <t xml:space="preserve"> Tablespace utilization from MAX is too high (over {$ORACLE.TBS.USED.PCT.FROM.MAX.WARN}% for 5m).</t>
  </si>
  <si>
    <t xml:space="preserve"> Tablespace utilization from MAX is too high (over {$ORACLE.TBS.USED.PCT.FROM.MAX.HIGH}% for 5m).</t>
  </si>
  <si>
    <t>PHP-FPM</t>
  </si>
  <si>
    <t>Failed to fetch info data (or no data for 30m)</t>
  </si>
  <si>
    <t>PostgreSQL</t>
  </si>
  <si>
    <t>DB [{#DBNAME}]</t>
  </si>
  <si>
    <t xml:space="preserve"> Too many recovery conflicts (over {$PG.CONFLICTS.MAX.WARN</t>
  </si>
  <si>
    <t>"{#DBNAME}"} in 5m)</t>
  </si>
  <si>
    <t xml:space="preserve"> Deadlock occurred (over {$PG.DEADLOCKS.MAX.WARN</t>
  </si>
  <si>
    <t xml:space="preserve"> Too many slow queries (over {$PG.SLOW_QUERIES.MAX.WARN</t>
  </si>
  <si>
    <t xml:space="preserve"> VACUUM FREEZE is required to prevent wraparound (frozen XID less than {$PG.FROZENXID_PCT_STOP.MIN.HIGH</t>
  </si>
  <si>
    <t>"{#DBNAME}"} %)</t>
  </si>
  <si>
    <t xml:space="preserve"> Number of locks is too high (over {$PG.LOCKS.MAX.WARN</t>
  </si>
  <si>
    <t>Proxmox VE</t>
  </si>
  <si>
    <t>LXC [{#NODE.NAME}/{#LXC.NAME} ({#LXC.ID})] high CPU usage (over {$PVE.LXC.CPU.PUSE.MAX.WARN</t>
  </si>
  <si>
    <t>"{#LXC.ID}"}% use)</t>
  </si>
  <si>
    <t>LXC [{#NODE.NAME}/{#LXC.NAME} ({#LXC.ID})] high disk space usage (over {$PVE.LXC.DISK.PUSE.MAX.WARN</t>
  </si>
  <si>
    <t>"{#LXC.ID}"}% usage)</t>
  </si>
  <si>
    <t>LXC [{#NODE.NAME}/{#LXC.NAME} ({#LXC.ID})] high memory usage (over {$PVE.LXC.MEMORY.PUSE.MAX.WARN</t>
  </si>
  <si>
    <t>LXC [{#NODE.NAME}/{#LXC.NAME}]</t>
  </si>
  <si>
    <t>Node [{#NODE.NAME}] high CPU usage (over {$PVE.CPU.PUSE.MAX.WARN</t>
  </si>
  <si>
    <t>"{#NODE.NAME}"}% use)</t>
  </si>
  <si>
    <t>Storage [{#NODE.NAME}/{#STORAGE.NAME}] high filesystem space usage (over {$PVE.STORAGE.PUSE.MAX.WARN</t>
  </si>
  <si>
    <t>"{#NODE.NAME}/{#STORAGE.NAME}"}% use)</t>
  </si>
  <si>
    <t>Node [{#NODE.NAME}] high memory usage (over {$PVE.MEMORY.PUSE.MAX.WARN</t>
  </si>
  <si>
    <t>Node [{#NODE.NAME}] high root filesystem space usage (over {$PVE.ROOT.PUSE.MAX.WARN</t>
  </si>
  <si>
    <t>Node [{#NODE.NAME}] high swap space usage (over {$PVE.SWAP.PUSE.MAX.WARN</t>
  </si>
  <si>
    <t>Node [{#NODE.NAME}]</t>
  </si>
  <si>
    <t>VM [{#NODE.NAME}/{#QEMU.NAME} ({#QEMU.ID})] high CPU usage (over {$PVE.VM.CPU.PUSE.MAX.WARN</t>
  </si>
  <si>
    <t>"{#QEMU.ID}"}% use)</t>
  </si>
  <si>
    <t>VM [{#NODE.NAME}/{#QEMU.NAME} ({#QEMU.ID})] high memory usage (over {$PVE.VM.MEMORY.PUSE.MAX.WARN</t>
  </si>
  <si>
    <t>VM [{#NODE.NAME}/{#QEMU.NAME}]</t>
  </si>
  <si>
    <t>QTech QSW</t>
  </si>
  <si>
    <t>RabbitMQ node</t>
  </si>
  <si>
    <t>Too many messages in queue [{#VHOST}][{#QUEUE}] (over {$RABBITMQ.MESSAGES.MAX.WARN</t>
  </si>
  <si>
    <t>{#QUEUE}} for 5m)</t>
  </si>
  <si>
    <t>Service response time is too high (over {$RABBITMQ.RESPONSE_TIME.MAX.WARN}s for 5m)</t>
  </si>
  <si>
    <t>Failed to fetch nodes data (or no data for 30m)</t>
  </si>
  <si>
    <t>Zabbix server</t>
  </si>
  <si>
    <t>Proxy [{#PROXY.NAME}]</t>
  </si>
  <si>
    <t xml:space="preserve"> Zabbix proxy last seen more than {$PROXY.LAST_SEEN.MAX} seconds ago</t>
  </si>
  <si>
    <t>SMART</t>
  </si>
  <si>
    <t>[{#NAME}]</t>
  </si>
  <si>
    <t xml:space="preserve"> Average disk temperature is critical (over {$SMART.TEMPERATURE.MAX.CRIT}°C for 5m)</t>
  </si>
  <si>
    <t xml:space="preserve"> Average disk temperature is too high (over {$SMART.TEMPERATURE.MAX.WARN}°C for 5m)</t>
  </si>
  <si>
    <t>Solaris</t>
  </si>
  <si>
    <t>Supermicro Aten</t>
  </si>
  <si>
    <t>Systemd</t>
  </si>
  <si>
    <t>{#UNIT.NAME}</t>
  </si>
  <si>
    <t>TP-LINK</t>
  </si>
  <si>
    <t>TiDB PD</t>
  </si>
  <si>
    <t>Current storage usage is too high (over {$PD.STORAGE_USAGE.MAX.WARN}% for 5m)</t>
  </si>
  <si>
    <t>Too many missed regions (over {$PD.MISS_REGION.MAX.WARN} in 5m)</t>
  </si>
  <si>
    <t>TiDB TiKV</t>
  </si>
  <si>
    <t>Store_id {#STORE_ID}</t>
  </si>
  <si>
    <t xml:space="preserve"> Too many failure messages "{#TYPE}" (over {$TIKV.STORE.ERRORS.MAX.WARN} in 5m)</t>
  </si>
  <si>
    <t>Travis CI</t>
  </si>
  <si>
    <t>Repo [{#SLUG}]</t>
  </si>
  <si>
    <t xml:space="preserve"> Percent of successful builds are &lt; {$TRAVIS.BUILDS.SUCCESS.PERCENT}%</t>
  </si>
  <si>
    <t>TrueNAS CORE</t>
  </si>
  <si>
    <t>Disk [{#DISK_NAME}]</t>
  </si>
  <si>
    <t xml:space="preserve"> Average disk temperature is too high (over {$TEMPERATURE.MAX.CRIT</t>
  </si>
  <si>
    <t>"{#DISK_NAME}"}C for 5m)</t>
  </si>
  <si>
    <t xml:space="preserve"> Average disk temperature is too high (over {$TEMPERATURE.MAX.WARN</t>
  </si>
  <si>
    <t>Ubiquiti AirOS</t>
  </si>
  <si>
    <t>VeloCloud</t>
  </si>
  <si>
    <t>Edge [{#NAME}]</t>
  </si>
  <si>
    <t xml:space="preserve"> Edge has been restarted (uptime &lt; 10m)</t>
  </si>
  <si>
    <t>Gateway [{#NAME}]</t>
  </si>
  <si>
    <t xml:space="preserve"> Gateway has been restarted (uptime &lt; 10m)</t>
  </si>
  <si>
    <t>Datastore free space is critically low ([{#DATASTORE}] free space &lt; {$VMWARE.DATASTORE.SPACE.CRIT}%)</t>
  </si>
  <si>
    <t>Datastore free space is low ([{#DATASTORE}] free space &lt; {$VMWARE.DATASTORE.SPACE.WARN}%)</t>
  </si>
  <si>
    <t xml:space="preserve"> Disk space is critically low (below {$VMWARE.VM.FS.PFREE.MIN.CRIT</t>
  </si>
  <si>
    <t>{#FSNAME}}% for 5m)</t>
  </si>
  <si>
    <t xml:space="preserve"> Disk space is low (below {$VMWARE.VM.FS.PFREE.MIN.WARN</t>
  </si>
  <si>
    <t>The multipath count for datastore [{#DATASTORE}] has been changed</t>
  </si>
  <si>
    <t>Datastore free space is critically low ([{#DATASTORE}] free space &lt; {$VMWARE.HV.DATASTORE.SPACE.CRIT}%)</t>
  </si>
  <si>
    <t>Datastore free space is low ([{#DATASTORE}] free space &lt; {$VMWARE.HV.DATASTORE.SPACE.WARN}%)</t>
  </si>
  <si>
    <t>Veeam Backup</t>
  </si>
  <si>
    <t>Failed job [{#NAME}]</t>
  </si>
  <si>
    <t>Failed session [{#NAME}]</t>
  </si>
  <si>
    <t>WildFly Server</t>
  </si>
  <si>
    <t>{#JMX_DATA_SOURCE}</t>
  </si>
  <si>
    <t xml:space="preserve"> Connection usage is too high (over {$WILDFLY.CONN.USAGE.WARN.MAX} in 5m)</t>
  </si>
  <si>
    <t xml:space="preserve"> Too many waiting connections (over {$WILDFLY.CONN.WAIT.MAX.WARN} for 5m)</t>
  </si>
  <si>
    <t>Deployment [{#DEPLOYMENT}]</t>
  </si>
  <si>
    <t xml:space="preserve"> Deployment status has changed (new status</t>
  </si>
  <si>
    <t>Windows</t>
  </si>
  <si>
    <t>{#FSNAME}}%, total {{?last(//vfs.fs.total[hrStorageSize.{#SNMPINDEX}])/1024/1024/1024}.fmtnum(1)}GB)</t>
  </si>
  <si>
    <t xml:space="preserve"> Disk is overloaded (util &gt; {$VFS.DEV.UTIL.MAX.WARN}% for 15m)</t>
  </si>
  <si>
    <t xml:space="preserve"> Disk read request responses are too high (read &gt; {$VFS.DEV.READ.AWAIT.WARN</t>
  </si>
  <si>
    <t>"{#DEVNAME}"}s for 15m)</t>
  </si>
  <si>
    <t xml:space="preserve"> Disk write request responses are too high (write &gt; {$VFS.DEV.WRITE.AWAIT.WARN</t>
  </si>
  <si>
    <t>FS [{#FSLABEL}({#FSNAME})]</t>
  </si>
  <si>
    <t>{#FSLABEL}({#FSNAME})}%, total {{?last(//vfs.fs.dependent.size[{#FSNAME},total])/1024/1024/1024}.fmtnum(1)}GB)</t>
  </si>
  <si>
    <t>YugabyteDB Cluster</t>
  </si>
  <si>
    <t>YugabyteDB Node [{#NODE.NAME}]</t>
  </si>
  <si>
    <t xml:space="preserve"> Node disk IOPS utilization is high (over {$YUGABYTEDB.IOPS.UTILIZATION.WARN} for 5m)</t>
  </si>
  <si>
    <t xml:space="preserve"> Node disk IOPS utilization is too high (over {$YUGABYTEDB.IOPS.UTILIZATION.CRIT} for 5m)</t>
  </si>
  <si>
    <t>ZYXEL</t>
  </si>
  <si>
    <t>High the DSL line attenuation in Port {#SNMPINDEX} (&gt;{$ZYXEL.ADSL.ATN.MAX}dB for 5m)</t>
  </si>
  <si>
    <t>Low the DSL line noise margins in Port {#SNMPINDEX} (&lt;{$ZYXEL.ADSL.SNR.MIN}dB for 5m)</t>
  </si>
  <si>
    <t>High memory utilization in "{#ZYXEL.MEMORY.NAME}" pool (&gt;{$MEMORY.UTIL.MAX}% for 5m)</t>
  </si>
  <si>
    <t>SFP {#ZYXEL.SFP.PORT}</t>
  </si>
  <si>
    <t xml:space="preserve"> High {#ZYXEL.SFP.DESCRIPTION} (over {#ZYXEL.SFP.WARN.MAX}{#ZYXEL.SFP.UNIT})</t>
  </si>
  <si>
    <t xml:space="preserve"> Low {#ZYXEL.SFP.DESCRIPTION} (less than {#ZYXEL.SFP.WARN.MIN}{#ZYXEL.SFP.UNIT})</t>
  </si>
  <si>
    <t>SFP {#SNMPINDEX} has been replaced (new serial number received)</t>
  </si>
  <si>
    <t>High Packet buffer utilization in Slot {#ZYXEL.SLOT.ID} (&gt;{#ZYXEL.BUFFERHIGHTHRESH}% for 5m)</t>
  </si>
  <si>
    <t>Slot {#ZYXEL.SLOT.ID} high CPU utilization (over {#ZYXEL.CPU.THRESH.HIGH}% for 5m)</t>
  </si>
  <si>
    <t>High memory utilization in Slot {#ZYXEL.SLOT.ID} pool (&gt;{#ZYXEL.MEMORYHIGHTHRESH}% for 5m)</t>
  </si>
  <si>
    <t>High the DSL line attenuation in Slot {#ZYXEL.SLOT.ID} Port {#ZYXEL.PORTID} (&gt;{$ZYXEL.ADSL.ATN.MAX}dB for 5m)</t>
  </si>
  <si>
    <t>Low the DSL line noise margins in Slot {#ZYXEL.SLOT.ID} Port {#ZYXEL.PORTID} (&lt;{$ZYXEL.ADSL.SNR.MIN}dB for 5m)</t>
  </si>
  <si>
    <t>Slot {#ZYXEL.SLOT.ID} has been replaced (new serial number received)</t>
  </si>
  <si>
    <t>Slot {#ZYXEL.SLOT.ID} has been restarted (uptime &lt; 10m)</t>
  </si>
  <si>
    <t>Proxy group [{#PROXY.GROUP.NAME}]</t>
  </si>
  <si>
    <t xml:space="preserve"> Availability below {$PROXY.GROUP.AVAIL.PERCENT.MIN}%</t>
  </si>
  <si>
    <t>macOS</t>
  </si>
  <si>
    <t>(310/2)</t>
  </si>
  <si>
    <t>(11/3)</t>
  </si>
  <si>
    <t>(11/10)</t>
  </si>
  <si>
    <t>(11/11)</t>
  </si>
  <si>
    <t>(310/3)</t>
  </si>
  <si>
    <t>(310/4)</t>
  </si>
  <si>
    <t>(310/5)</t>
  </si>
  <si>
    <t>(310/6)</t>
  </si>
  <si>
    <t>(310/7)</t>
  </si>
  <si>
    <t>(310/8)</t>
  </si>
  <si>
    <t>(310/9)</t>
  </si>
  <si>
    <t>(310/10)</t>
  </si>
  <si>
    <t>(310/11)</t>
  </si>
  <si>
    <t>(310/12)</t>
  </si>
  <si>
    <t>(310/13)</t>
  </si>
  <si>
    <t>(4/1)</t>
  </si>
  <si>
    <t>(310/14)</t>
  </si>
  <si>
    <t>(4/3)</t>
  </si>
  <si>
    <t>23290</t>
  </si>
  <si>
    <t>AWS ECS 集群服务：[{#AWS.ECS.SERVICE.NAME}]：CPU 使用率过高（超过 {$AWS.ECS.CLUSTER.SERVICE.CPU.UTIL.WARN}% 达 15 分钟）</t>
  </si>
  <si>
    <t>(4/4)</t>
  </si>
  <si>
    <t>23291</t>
  </si>
  <si>
    <t>AWS ECS 集群服务：[{#AWS.ECS.SERVICE.NAME}]：内存使用率过高（超过 {$AWS.ECS.CLUSTER.SERVICE.MEMORY.UTIL.WARN}% 达 15 分钟）</t>
  </si>
  <si>
    <t>(310/15)</t>
  </si>
  <si>
    <t>23298</t>
  </si>
  <si>
    <t>23299</t>
  </si>
  <si>
    <t>(310/16)</t>
  </si>
  <si>
    <t>(2/1)</t>
  </si>
  <si>
    <t>23521</t>
  </si>
  <si>
    <t>AWS ELB ALB 警报：[{#ALARM_NAME}] 处于 '警报' 状态（原因：{ITEM.LASTVALUE2}）</t>
  </si>
  <si>
    <t>(2/2)</t>
  </si>
  <si>
    <t>23522</t>
  </si>
  <si>
    <t>AWS ELB ALB 警报：[{#ALARM_NAME}] 处于 '数据不足' 状态</t>
  </si>
  <si>
    <t>(310/19)</t>
  </si>
  <si>
    <t>(16/1)</t>
  </si>
  <si>
    <t>(16/2)</t>
  </si>
  <si>
    <t>23345</t>
  </si>
  <si>
    <t>(16/3)</t>
  </si>
  <si>
    <t>23346</t>
  </si>
  <si>
    <t>(310/20)</t>
  </si>
  <si>
    <t>(12/4)</t>
  </si>
  <si>
    <t>(12/6)</t>
  </si>
  <si>
    <t>(12/9)</t>
  </si>
  <si>
    <t>(12/10)</t>
  </si>
  <si>
    <t>(12/11)</t>
  </si>
  <si>
    <t>(12/12)</t>
  </si>
  <si>
    <t>(310/21)</t>
  </si>
  <si>
    <t>(18/1)</t>
  </si>
  <si>
    <t>代理{#JMXBROKERNAME}: 消费者数量太少(少于{$ACTIVEMQ.BROKER.CONSUMERS.MIN.HIGH: "{#JMXBROKERNAME}"}达{$ACTIVEMQ.BROKER.CONSUMERS.MIN.TIME: "{#JMXBROKERNAME}"})</t>
  </si>
  <si>
    <t>(18/2)</t>
  </si>
  <si>
    <t>代理{#JMXBROKERNAME}: Memory使用率太高(超过{$ACTIVEMQ.MEM.MAX.HIGH: "{#JMXBROKERNAME}"}%)</t>
  </si>
  <si>
    <t>(18/3)</t>
  </si>
  <si>
    <t>代理{#JMXBROKERNAME}: Memory使用率太高(超过{$ACTIVEMQ.MEM.MAX.WARN: "{#JMXBROKERNAME}"}%)</t>
  </si>
  <si>
    <t>(18/4)</t>
  </si>
  <si>
    <t>代理{#JMXBROKERNAME}: 消息入队率高于出队率达{$ACTIVEMQ.MSG.RATE.WARN.TIME: "{#JMXBROKERNAME}"}</t>
  </si>
  <si>
    <t>(18/5)</t>
  </si>
  <si>
    <t>代理{#JMXBROKERNAME}: 生产者数量太少(少于{$ACTIVEMQ.BROKER.PRODUCERS.MIN.HIGH: "{#JMXBROKERNAME}"}达{$ACTIVEMQ.BROKER.PRODUCERS.MIN.TIME: "{#JMXBROKERNAME}"})</t>
  </si>
  <si>
    <t>(18/6)</t>
  </si>
  <si>
    <t>代理{#JMXBROKERNAME}: 存储使用率太高(超过{$ACTIVEMQ.STORE.MAX.HIGH: "{#JMXBROKERNAME}"}%)</t>
  </si>
  <si>
    <t>(18/7)</t>
  </si>
  <si>
    <t>代理{#JMXBROKERNAME}: 存储使用率太高(超过{$ACTIVEMQ.STORE.MAX.WARN: "{#JMXBROKERNAME}"}%)</t>
  </si>
  <si>
    <t>(18/8)</t>
  </si>
  <si>
    <t>代理{#JMXBROKERNAME}: Temp使用率太高(超过{$ACTIVEMQ.TEMP.MAX.WARN: "{#JMXBROKERNAME}"}%)</t>
  </si>
  <si>
    <t>(18/9)</t>
  </si>
  <si>
    <t>(18/10)</t>
  </si>
  <si>
    <t>代理{#JMXBROKERNAME}: 代理已重启(正常运行时间&lt;10分钟)</t>
  </si>
  <si>
    <t>(18/11)</t>
  </si>
  <si>
    <t>代理{#JMXBROKERNAME}: 版本已变更(新版本: {ITEM.VALUE})</t>
  </si>
  <si>
    <t>(18/12)</t>
  </si>
  <si>
    <t>(18/13)</t>
  </si>
  <si>
    <t>(18/14)</t>
  </si>
  <si>
    <t>(18/15)</t>
  </si>
  <si>
    <t>(18/16)</t>
  </si>
  <si>
    <t>(18/17)</t>
  </si>
  <si>
    <t>(18/18)</t>
  </si>
  <si>
    <t>(310/22)</t>
  </si>
  <si>
    <t>(310/23)</t>
  </si>
  <si>
    <t>Apache：无法获取状态页面（或30分钟内无数据）</t>
  </si>
  <si>
    <t>Apache：服务响应时间过高（5分钟内超过{$APACHE.RESPONSE_TIME.MAX.WARN}秒）</t>
  </si>
  <si>
    <t>(310/24)</t>
  </si>
  <si>
    <t>(7/1)</t>
  </si>
  <si>
    <t>(7/2)</t>
  </si>
  <si>
    <t>(7/3)</t>
  </si>
  <si>
    <t>(7/4)</t>
  </si>
  <si>
    <t>(7/5)</t>
  </si>
  <si>
    <t>(7/6)</t>
  </si>
  <si>
    <t>(7/7)</t>
  </si>
  <si>
    <t>(310/25)</t>
  </si>
  <si>
    <t>(23/1)</t>
  </si>
  <si>
    <t>(23/3)</t>
  </si>
  <si>
    <t>(23/6)</t>
  </si>
  <si>
    <t>(23/8)</t>
  </si>
  <si>
    <t>(23/9)</t>
  </si>
  <si>
    <t>(23/10)</t>
  </si>
  <si>
    <t>(23/11)</t>
  </si>
  <si>
    <t>(23/12)</t>
  </si>
  <si>
    <t>(23/13)</t>
  </si>
  <si>
    <t>(23/14)</t>
  </si>
  <si>
    <t>(23/16)</t>
  </si>
  <si>
    <t>(23/17)</t>
  </si>
  <si>
    <t>(23/18)</t>
  </si>
  <si>
    <t>(23/19)</t>
  </si>
  <si>
    <t>(23/20)</t>
  </si>
  <si>
    <t>(23/21)</t>
  </si>
  <si>
    <t>(23/22)</t>
  </si>
  <si>
    <t>(23/23)</t>
  </si>
  <si>
    <t>(310/26)</t>
  </si>
  <si>
    <t>(310/27)</t>
  </si>
  <si>
    <t>(3/1)</t>
  </si>
  <si>
    <t>Azure: 存储账户[{#NAME}]的可用性太低（低于{$AZURE.STORAGE.ACC.AVAILABILITY:"{#NAME}"}%）</t>
  </si>
  <si>
    <t>(3/2)</t>
  </si>
  <si>
    <t>(3/3)</t>
  </si>
  <si>
    <t>Azure: 存储账户[{#NAME}]的表可用性太低（低于{$AZURE.STORAGE.ACC.TABLE.AVAILABILITY:"{#NAME}"}%）</t>
  </si>
  <si>
    <t>(310/28)</t>
  </si>
  <si>
    <t>(11/1)</t>
  </si>
  <si>
    <t>(11/2)</t>
  </si>
  <si>
    <t>(11/9)</t>
  </si>
  <si>
    <t>(310/29)</t>
  </si>
  <si>
    <t>(14/1)</t>
  </si>
  <si>
    <t>(14/2)</t>
  </si>
  <si>
    <t>(14/3)</t>
  </si>
  <si>
    <t>(14/6)</t>
  </si>
  <si>
    <t>(14/7)</t>
  </si>
  <si>
    <t>(14/12)</t>
  </si>
  <si>
    <t>(14/13)</t>
  </si>
  <si>
    <t>(14/14)</t>
  </si>
  <si>
    <t>(310/30)</t>
  </si>
  <si>
    <t>(12/1)</t>
  </si>
  <si>
    <t>(12/2)</t>
  </si>
  <si>
    <t>(310/32)</t>
  </si>
  <si>
    <t>(310/33)</t>
  </si>
  <si>
    <t>(15/1)</t>
  </si>
  <si>
    <t>23590</t>
  </si>
  <si>
    <t>Check Point 防火墙：丢弃的数据包数量已增加：&gt;{$FW.DROPPED.PACKETS.TH}</t>
  </si>
  <si>
    <t>(15/3)</t>
  </si>
  <si>
    <t>23592</t>
  </si>
  <si>
    <t>接口 {#IFNAME}({#IFALIAS})：带宽使用率过高（&gt;{$NET.IF.UTIL.MAX:"{#IFNAME}"}%）</t>
  </si>
  <si>
    <t>(15/4)</t>
  </si>
  <si>
    <t>接口 {#IFNAME}({#IFALIAS})：错误率过高（&gt;{$NET.IF.ERRORS.WARN:"{#IFNAME}"} 达 5 分钟）</t>
  </si>
  <si>
    <t>(15/9)</t>
  </si>
  <si>
    <t>23601</t>
  </si>
  <si>
    <t>{#DISK.NAME}：磁盘空间严重不足（已使用 &gt; {$DISK.PUSED.MAX.CRIT:"{#DISK.NAME}"}%）</t>
  </si>
  <si>
    <t>(15/10)</t>
  </si>
  <si>
    <t>23602</t>
  </si>
  <si>
    <t>{#DISK.NAME}：磁盘空间不足（已使用 &gt; {$DISK.PUSED.MAX.WARN:"{#DISK.NAME}"}%）</t>
  </si>
  <si>
    <t>(15/11)</t>
  </si>
  <si>
    <t>{#SENSOR.NAME}：温度超过临界阈值：&gt;{$TEMP.VALUE.CRIT:"{#SENSOR.NAME}"}</t>
  </si>
  <si>
    <t>(15/12)</t>
  </si>
  <si>
    <t>23599</t>
  </si>
  <si>
    <t>{#SENSOR.NAME}：温度超过警告阈值：&gt;{$TEMP.VALUE.WARN:"{#SENSOR.NAME}"}</t>
  </si>
  <si>
    <t>(15/13)</t>
  </si>
  <si>
    <t>23600</t>
  </si>
  <si>
    <t>{#SENSOR.NAME}：温度过低：&lt;{$TEMP.VALUE.LOW:"{#SENSOR.NAME}"}</t>
  </si>
  <si>
    <t>(15/14)</t>
  </si>
  <si>
    <t>{#SW.NAME}：许可证即将到期（少于 {$LICENSE.EXPIRY.WARN:"{#SW.NAME}"} 天）</t>
  </si>
  <si>
    <t>(310/34)</t>
  </si>
  <si>
    <t>(4/2)</t>
  </si>
  <si>
    <t>(310/35)</t>
  </si>
  <si>
    <t>(19/1)</t>
  </si>
  <si>
    <t>(19/2)</t>
  </si>
  <si>
    <t>(19/3)</t>
  </si>
  <si>
    <t>(19/5)</t>
  </si>
  <si>
    <t>(19/8)</t>
  </si>
  <si>
    <t>(19/9)</t>
  </si>
  <si>
    <t>(19/12)</t>
  </si>
  <si>
    <t>(19/15)</t>
  </si>
  <si>
    <t>(19/16)</t>
  </si>
  <si>
    <t>(19/17)</t>
  </si>
  <si>
    <t>(310/36)</t>
  </si>
  <si>
    <t>(310/37)</t>
  </si>
  <si>
    <t>(310/38)</t>
  </si>
  <si>
    <t>(310/39)</t>
  </si>
  <si>
    <t>(310/40)</t>
  </si>
  <si>
    <t>(15/2)</t>
  </si>
  <si>
    <t>(15/7)</t>
  </si>
  <si>
    <t>(15/15)</t>
  </si>
  <si>
    <t>(310/41)</t>
  </si>
  <si>
    <t>(9/1)</t>
  </si>
  <si>
    <t>(9/6)</t>
  </si>
  <si>
    <t>(9/7)</t>
  </si>
  <si>
    <t>(9/8)</t>
  </si>
  <si>
    <t>(9/9)</t>
  </si>
  <si>
    <t>(310/42)</t>
  </si>
  <si>
    <t>(14/5)</t>
  </si>
  <si>
    <t>(14/10)</t>
  </si>
  <si>
    <t>(14/11)</t>
  </si>
  <si>
    <t>(310/44)</t>
  </si>
  <si>
    <t>23454</t>
  </si>
  <si>
    <t>VPN [{#NETWORK.NAME}][{#SENDER.UPLINK}]=&gt;[{#PEER.NETWORK.NAME}][{#RECEIVER.UPLINK}]:平均VPN连接丢失率高（超过&gt;= {$MERAKI.VPN.LOSS.PERCENTILE}%）</t>
  </si>
  <si>
    <t>(310/45)</t>
  </si>
  <si>
    <t>(21/1)</t>
  </si>
  <si>
    <t>(21/2)</t>
  </si>
  <si>
    <t>(21/3)</t>
  </si>
  <si>
    <t>(21/5)</t>
  </si>
  <si>
    <t>(21/8)</t>
  </si>
  <si>
    <t>(21/9)</t>
  </si>
  <si>
    <t>(21/13)</t>
  </si>
  <si>
    <t>(21/17)</t>
  </si>
  <si>
    <t>(21/18)</t>
  </si>
  <si>
    <t>(21/19)</t>
  </si>
  <si>
    <t>(310/46)</t>
  </si>
  <si>
    <t>(6/1)</t>
  </si>
  <si>
    <t>(6/2)</t>
  </si>
  <si>
    <t>23342</t>
  </si>
  <si>
    <t>(6/5)</t>
  </si>
  <si>
    <t>23338</t>
  </si>
  <si>
    <t>(6/6)</t>
  </si>
  <si>
    <t>(310/47)</t>
  </si>
  <si>
    <t>(28/1)</t>
  </si>
  <si>
    <t>(28/8)</t>
  </si>
  <si>
    <t>(28/15)</t>
  </si>
  <si>
    <t>(28/16)</t>
  </si>
  <si>
    <t>(28/17)</t>
  </si>
  <si>
    <t>(28/18)</t>
  </si>
  <si>
    <t>(28/19)</t>
  </si>
  <si>
    <t>(28/20)</t>
  </si>
  <si>
    <t>(28/21)</t>
  </si>
  <si>
    <t>(28/22)</t>
  </si>
  <si>
    <t>(28/23)</t>
  </si>
  <si>
    <t>(28/24)</t>
  </si>
  <si>
    <t>(28/25)</t>
  </si>
  <si>
    <t>(310/48)</t>
  </si>
  <si>
    <t>(30/12)</t>
  </si>
  <si>
    <t>(30/13)</t>
  </si>
  <si>
    <t>(30/14)</t>
  </si>
  <si>
    <t>(30/15)</t>
  </si>
  <si>
    <t>(30/16)</t>
  </si>
  <si>
    <t>(30/17)</t>
  </si>
  <si>
    <t>(30/18)</t>
  </si>
  <si>
    <t>(30/19)</t>
  </si>
  <si>
    <t>(30/20)</t>
  </si>
  <si>
    <t>(30/21)</t>
  </si>
  <si>
    <t>(30/22)</t>
  </si>
  <si>
    <t>(30/23)</t>
  </si>
  <si>
    <t>(30/24)</t>
  </si>
  <si>
    <t>(30/25)</t>
  </si>
  <si>
    <t>(30/26)</t>
  </si>
  <si>
    <t>(30/27)</t>
  </si>
  <si>
    <t>(310/49)</t>
  </si>
  <si>
    <t>(5/2)</t>
  </si>
  <si>
    <t>(5/3)</t>
  </si>
  <si>
    <t>(310/50)</t>
  </si>
  <si>
    <t>(310/53)</t>
  </si>
  <si>
    <t>(10/1)</t>
  </si>
  <si>
    <t>(10/2)</t>
  </si>
  <si>
    <t>(10/5)</t>
  </si>
  <si>
    <t>(10/8)</t>
  </si>
  <si>
    <t>(10/9)</t>
  </si>
  <si>
    <t>(10/10)</t>
  </si>
  <si>
    <t>(310/54)</t>
  </si>
  <si>
    <t>(11/4)</t>
  </si>
  <si>
    <t>(11/5)</t>
  </si>
  <si>
    <t>(11/6)</t>
  </si>
  <si>
    <t>(11/7)</t>
  </si>
  <si>
    <t>(310/55)</t>
  </si>
  <si>
    <t>(310/56)</t>
  </si>
  <si>
    <t>(310/57)</t>
  </si>
  <si>
    <t>(310/58)</t>
  </si>
  <si>
    <t>(310/59)</t>
  </si>
  <si>
    <t>(310/60)</t>
  </si>
  <si>
    <t>(310/61)</t>
  </si>
  <si>
    <t>(310/62)</t>
  </si>
  <si>
    <t>(310/63)</t>
  </si>
  <si>
    <t>(16/5)</t>
  </si>
  <si>
    <t>(16/6)</t>
  </si>
  <si>
    <t>(16/7)</t>
  </si>
  <si>
    <t>(16/10)</t>
  </si>
  <si>
    <t>(16/12)</t>
  </si>
  <si>
    <t>(310/64)</t>
  </si>
  <si>
    <t>(22/10)</t>
  </si>
  <si>
    <t>(22/17)</t>
  </si>
  <si>
    <t>(22/18)</t>
  </si>
  <si>
    <t>(22/19)</t>
  </si>
  <si>
    <t>(22/20)</t>
  </si>
  <si>
    <t>(22/21)</t>
  </si>
  <si>
    <t>(22/22)</t>
  </si>
  <si>
    <t>(310/65)</t>
  </si>
  <si>
    <t>(310/66)</t>
  </si>
  <si>
    <t>(10/3)</t>
  </si>
  <si>
    <t>(10/4)</t>
  </si>
  <si>
    <t>(10/6)</t>
  </si>
  <si>
    <t>(10/7)</t>
  </si>
  <si>
    <t>(310/68)</t>
  </si>
  <si>
    <t>(1/1)</t>
  </si>
  <si>
    <t>(310/69)</t>
  </si>
  <si>
    <t>(8/1)</t>
  </si>
  <si>
    <t>(8/3)</t>
  </si>
  <si>
    <t>(8/5)</t>
  </si>
  <si>
    <t>(310/70)</t>
  </si>
  <si>
    <t>(14/4)</t>
  </si>
  <si>
    <t>(14/8)</t>
  </si>
  <si>
    <t>(310/71)</t>
  </si>
  <si>
    <t>23431</t>
  </si>
  <si>
    <t>接口 [{#IFNAME}({#IFALIAS})]:带宽使用量过高(大于 {$NET.IF.UTIL.MAX:"{#IFNAME}"}%)</t>
  </si>
  <si>
    <t>接口 [{#IFNAME}({#IFALIAS})]:错误率高(过去 5 分钟大于 {$NET.IF.ERRORS.WARN:"{#IFKEY}"})</t>
  </si>
  <si>
    <t>23438</t>
  </si>
  <si>
    <t>服务 [{#NAME}]:许可证即将过期(少于 {$SERVICE.EXPIRY.WARN:"{#KEY}"} 天)</t>
  </si>
  <si>
    <t>服务[{#NAME}]：许可证状态为{ITEM.LASTVALUE1}</t>
  </si>
  <si>
    <t>(310/72)</t>
  </si>
  <si>
    <t>(13/1)</t>
  </si>
  <si>
    <t>(13/2)</t>
  </si>
  <si>
    <t>(13/11)</t>
  </si>
  <si>
    <t>WTP {#WC.NAME}：CPU利用率高了（超过{$WC.CPU.UTIL.CRIT:"{#WC.NAME}"}%达5分钟）</t>
  </si>
  <si>
    <t>(13/12)</t>
  </si>
  <si>
    <t>23645</t>
  </si>
  <si>
    <t>WTP {#WC.NAME}：内存利用率高了（超过{$WC.MEMORY.UTIL.MAX:"{#WC.NAME}"}%达5分钟）</t>
  </si>
  <si>
    <t>(13/13)</t>
  </si>
  <si>
    <t>23646</t>
  </si>
  <si>
    <t>WTP {#WC.NAME}：会话已重新启动（运行时间少于10分钟）</t>
  </si>
  <si>
    <t>(310/75)</t>
  </si>
  <si>
    <t>(310/76)</t>
  </si>
  <si>
    <t>(310/77)</t>
  </si>
  <si>
    <t>(25/5)</t>
  </si>
  <si>
    <t>(25/8)</t>
  </si>
  <si>
    <t>(25/9)</t>
  </si>
  <si>
    <t>(25/11)</t>
  </si>
  <si>
    <t>(25/12)</t>
  </si>
  <si>
    <t>(25/14)</t>
  </si>
  <si>
    <t>(25/15)</t>
  </si>
  <si>
    <t>(25/19)</t>
  </si>
  <si>
    <t>(25/20)</t>
  </si>
  <si>
    <t>(25/21)</t>
  </si>
  <si>
    <t>(25/22)</t>
  </si>
  <si>
    <t>(25/23)</t>
  </si>
  <si>
    <t>(25/24)</t>
  </si>
  <si>
    <t>(25/25)</t>
  </si>
  <si>
    <t>(310/78)</t>
  </si>
  <si>
    <t>(14/9)</t>
  </si>
  <si>
    <t>(310/79)</t>
  </si>
  <si>
    <t>(310/80)</t>
  </si>
  <si>
    <t>(15/8)</t>
  </si>
  <si>
    <t>(310/81)</t>
  </si>
  <si>
    <t>(13/4)</t>
  </si>
  <si>
    <t>(310/82)</t>
  </si>
  <si>
    <t>(38/33)</t>
  </si>
  <si>
    <t>(310/84)</t>
  </si>
  <si>
    <t>(60/1)</t>
  </si>
  <si>
    <t>(60/6)</t>
  </si>
  <si>
    <t>(60/10)</t>
  </si>
  <si>
    <t>(60/11)</t>
  </si>
  <si>
    <t>(60/47)</t>
  </si>
  <si>
    <t>(60/48)</t>
  </si>
  <si>
    <t>(310/85)</t>
  </si>
  <si>
    <t>(310/87)</t>
  </si>
  <si>
    <t>(40/35)</t>
  </si>
  <si>
    <t>(310/88)</t>
  </si>
  <si>
    <t>(310/89)</t>
  </si>
  <si>
    <t>(310/90)</t>
  </si>
  <si>
    <t>(310/92)</t>
  </si>
  <si>
    <t>(24/8)</t>
  </si>
  <si>
    <t>23456</t>
  </si>
  <si>
    <t>HPE iLO：计算机系统[{#SYSTEM_HOSTNAME}]: BIOS版本已更改（新版本：{ITEM.VALUE}）</t>
  </si>
  <si>
    <t>(24/22)</t>
  </si>
  <si>
    <t>23468</t>
  </si>
  <si>
    <t>HPE iLO：计算机系统[{#SYSTEM_HOSTNAME}]: 固件版本已更改（新版本：{ITEM.VALUE}）</t>
  </si>
  <si>
    <t>(310/93)</t>
  </si>
  <si>
    <t>(6/3)</t>
  </si>
  <si>
    <t>(6/4)</t>
  </si>
  <si>
    <t>(310/94)</t>
  </si>
  <si>
    <t>(310/95)</t>
  </si>
  <si>
    <t>(310/96)</t>
  </si>
  <si>
    <t>23383</t>
  </si>
  <si>
    <t>23384</t>
  </si>
  <si>
    <t>23385</t>
  </si>
  <si>
    <t>(310/97)</t>
  </si>
  <si>
    <t>(310/99)</t>
  </si>
  <si>
    <t>(22/3)</t>
  </si>
  <si>
    <t>(22/5)</t>
  </si>
  <si>
    <t>(22/13)</t>
  </si>
  <si>
    <t>(22/16)</t>
  </si>
  <si>
    <t>(310/100)</t>
  </si>
  <si>
    <t>(13/7)</t>
  </si>
  <si>
    <t>(13/8)</t>
  </si>
  <si>
    <t>(13/9)</t>
  </si>
  <si>
    <t>(310/101)</t>
  </si>
  <si>
    <t>(12/3)</t>
  </si>
  <si>
    <t>(12/5)</t>
  </si>
  <si>
    <t>(310/102)</t>
  </si>
  <si>
    <t>(310/103)</t>
  </si>
  <si>
    <t>(310/104)</t>
  </si>
  <si>
    <t>(310/105)</t>
  </si>
  <si>
    <t>(310/106)</t>
  </si>
  <si>
    <t>(11/8)</t>
  </si>
  <si>
    <t>(310/108)</t>
  </si>
  <si>
    <t>(12/7)</t>
  </si>
  <si>
    <t>(12/8)</t>
  </si>
  <si>
    <t>(310/109)</t>
  </si>
  <si>
    <t>22565</t>
  </si>
  <si>
    <t>(310/111)</t>
  </si>
  <si>
    <t>(17/1)</t>
  </si>
  <si>
    <t>23221</t>
  </si>
  <si>
    <t>(17/2)</t>
  </si>
  <si>
    <t>23222</t>
  </si>
  <si>
    <t>(17/3)</t>
  </si>
  <si>
    <t>23225</t>
  </si>
  <si>
    <t>(17/4)</t>
  </si>
  <si>
    <t>23226</t>
  </si>
  <si>
    <t>(17/5)</t>
  </si>
  <si>
    <t>23223</t>
  </si>
  <si>
    <t>(17/6)</t>
  </si>
  <si>
    <t>23224</t>
  </si>
  <si>
    <t>(17/7)</t>
  </si>
  <si>
    <t>23227</t>
  </si>
  <si>
    <t>(17/8)</t>
  </si>
  <si>
    <t>23228</t>
  </si>
  <si>
    <t>(17/9)</t>
  </si>
  <si>
    <t>23229</t>
  </si>
  <si>
    <t>(17/10)</t>
  </si>
  <si>
    <t>23230</t>
  </si>
  <si>
    <t>(17/11)</t>
  </si>
  <si>
    <t>23231</t>
  </si>
  <si>
    <t>(17/12)</t>
  </si>
  <si>
    <t>23232</t>
  </si>
  <si>
    <t>(17/13)</t>
  </si>
  <si>
    <t>23233</t>
  </si>
  <si>
    <t>(17/14)</t>
  </si>
  <si>
    <t>23234</t>
  </si>
  <si>
    <t>(17/15)</t>
  </si>
  <si>
    <t>(310/112)</t>
  </si>
  <si>
    <t>(310/113)</t>
  </si>
  <si>
    <t>(310/114)</t>
  </si>
  <si>
    <t>(310/115)</t>
  </si>
  <si>
    <t>(310/116)</t>
  </si>
  <si>
    <t>(32/17)</t>
  </si>
  <si>
    <t>(32/18)</t>
  </si>
  <si>
    <t>(32/19)</t>
  </si>
  <si>
    <t>(32/20)</t>
  </si>
  <si>
    <t>(32/21)</t>
  </si>
  <si>
    <t>(32/22)</t>
  </si>
  <si>
    <t>(32/23)</t>
  </si>
  <si>
    <t>(32/24)</t>
  </si>
  <si>
    <t>(32/25)</t>
  </si>
  <si>
    <t>MSSQL DB '{#DBNAME}': 日志使用率过高（超过 {$MSSQL.PERCENT_LOG_USED.MAX:"{#DBNAME}"}%，达5分钟）</t>
  </si>
  <si>
    <t>(32/27)</t>
  </si>
  <si>
    <t>(310/117)</t>
  </si>
  <si>
    <t>23553</t>
  </si>
  <si>
    <t>23554</t>
  </si>
  <si>
    <t>23555</t>
  </si>
  <si>
    <t>23556</t>
  </si>
  <si>
    <t>23558</t>
  </si>
  <si>
    <t>23557</t>
  </si>
  <si>
    <t>23559</t>
  </si>
  <si>
    <t>(310/118)</t>
  </si>
  <si>
    <t>(13/5)</t>
  </si>
  <si>
    <t>(310/119)</t>
  </si>
  <si>
    <t>(310/120)</t>
  </si>
  <si>
    <t>(310/122)</t>
  </si>
  <si>
    <t>(310/123)</t>
  </si>
  <si>
    <t>(310/124)</t>
  </si>
  <si>
    <t>(310/125)</t>
  </si>
  <si>
    <t>(310/126)</t>
  </si>
  <si>
    <t>(310/127)</t>
  </si>
  <si>
    <t>(310/128)</t>
  </si>
  <si>
    <t>(310/129)</t>
  </si>
  <si>
    <t>(310/130)</t>
  </si>
  <si>
    <t>(310/131)</t>
  </si>
  <si>
    <t>(310/132)</t>
  </si>
  <si>
    <t>(310/133)</t>
  </si>
  <si>
    <t>(310/134)</t>
  </si>
  <si>
    <t>(310/135)</t>
  </si>
  <si>
    <t>(310/136)</t>
  </si>
  <si>
    <t>(310/137)</t>
  </si>
  <si>
    <t>(310/138)</t>
  </si>
  <si>
    <t>(310/139)</t>
  </si>
  <si>
    <t>(310/140)</t>
  </si>
  <si>
    <t>(310/141)</t>
  </si>
  <si>
    <t>(310/142)</t>
  </si>
  <si>
    <t>(310/143)</t>
  </si>
  <si>
    <t>(310/144)</t>
  </si>
  <si>
    <t>(310/145)</t>
  </si>
  <si>
    <t>(310/146)</t>
  </si>
  <si>
    <t>(310/147)</t>
  </si>
  <si>
    <t>(310/148)</t>
  </si>
  <si>
    <t>(310/149)</t>
  </si>
  <si>
    <t>(310/150)</t>
  </si>
  <si>
    <t>(310/151)</t>
  </si>
  <si>
    <t>(310/152)</t>
  </si>
  <si>
    <t>(310/153)</t>
  </si>
  <si>
    <t>(310/154)</t>
  </si>
  <si>
    <t>(310/155)</t>
  </si>
  <si>
    <t>(310/156)</t>
  </si>
  <si>
    <t>(310/157)</t>
  </si>
  <si>
    <t>(310/158)</t>
  </si>
  <si>
    <t>(310/159)</t>
  </si>
  <si>
    <t>(310/160)</t>
  </si>
  <si>
    <t>(310/161)</t>
  </si>
  <si>
    <t>(310/162)</t>
  </si>
  <si>
    <t>(310/163)</t>
  </si>
  <si>
    <t>(310/164)</t>
  </si>
  <si>
    <t>(310/165)</t>
  </si>
  <si>
    <t>(310/166)</t>
  </si>
  <si>
    <t>(310/167)</t>
  </si>
  <si>
    <t>(310/168)</t>
  </si>
  <si>
    <t>(310/169)</t>
  </si>
  <si>
    <t>(310/170)</t>
  </si>
  <si>
    <t>(310/171)</t>
  </si>
  <si>
    <t>(310/172)</t>
  </si>
  <si>
    <t>(310/173)</t>
  </si>
  <si>
    <t>(310/174)</t>
  </si>
  <si>
    <t>(310/175)</t>
  </si>
  <si>
    <t>(310/176)</t>
  </si>
  <si>
    <t>(310/177)</t>
  </si>
  <si>
    <t>(5/1)</t>
  </si>
  <si>
    <t>(5/4)</t>
  </si>
  <si>
    <t>(5/5)</t>
  </si>
  <si>
    <t>(310/178)</t>
  </si>
  <si>
    <t>(310/179)</t>
  </si>
  <si>
    <t>(310/180)</t>
  </si>
  <si>
    <t>(310/181)</t>
  </si>
  <si>
    <t>(310/182)</t>
  </si>
  <si>
    <t>(310/183)</t>
  </si>
  <si>
    <t>(310/184)</t>
  </si>
  <si>
    <t>(8/4)</t>
  </si>
  <si>
    <t>(8/6)</t>
  </si>
  <si>
    <t>(310/185)</t>
  </si>
  <si>
    <t>(310/186)</t>
  </si>
  <si>
    <t>(310/187)</t>
  </si>
  <si>
    <t>(310/188)</t>
  </si>
  <si>
    <t>(310/189)</t>
  </si>
  <si>
    <t>(310/190)</t>
  </si>
  <si>
    <t>(310/191)</t>
  </si>
  <si>
    <t>(9/3)</t>
  </si>
  <si>
    <t>(9/4)</t>
  </si>
  <si>
    <t>(9/5)</t>
  </si>
  <si>
    <t>(310/192)</t>
  </si>
  <si>
    <t>Interface {#IFDESCR}: High bandwidth usage (&gt;{$IF.UTIL.MAX:"{#IFNAME}"}%)</t>
  </si>
  <si>
    <t>接口{#IFDESCR}: 带宽使用率高了(&gt;{$IF.UTIL.MAX: "{#IFNAME}"}%)</t>
  </si>
  <si>
    <t>Interface {#IFDESCR}: High error rate (&gt;{$IF.ERRORS.WARN:"{#IFNAME}"} for 5m)</t>
  </si>
  <si>
    <t>接口{#IFDESCR}: 错误率高了(&gt;{$IF.ERRORS.WARN: "{#IFNAME}"}达5分钟)</t>
  </si>
  <si>
    <t>(310/193)</t>
  </si>
  <si>
    <t>23403</t>
  </si>
  <si>
    <t>Nextcloud: 用户"{#NEXTCLOUD.USER}":已超过 {$NEXTCLOUD.USER.MAX.INACTIVE:"{#NEXTCLOUD.USER}"} 天未活跃</t>
  </si>
  <si>
    <t>23404</t>
  </si>
  <si>
    <t>Nextcloud:用户"{#NEXTCLOUD.USER}" 高配额使用率(过去 5 分钟超过 {$NEXTCLOUD.USER.QUOTA.PUSED.MAX:"{#NEXTCLOUD.USER}"}%)</t>
  </si>
  <si>
    <t>(310/194)</t>
  </si>
  <si>
    <t>Nginx：高连接丢弃率（5分钟内超过{$NGINX.DROP_RATE.MAX.WARN}）</t>
  </si>
  <si>
    <t>Nginx：无法获取stub状态页面（或30分钟内无数据）</t>
  </si>
  <si>
    <t>Nginx：服务响应时间过高（5分钟内超过{$NGINX.RESPONSE_TIME.MAX.WARN}秒）</t>
  </si>
  <si>
    <t>(310/195)</t>
  </si>
  <si>
    <t>(310/199)</t>
  </si>
  <si>
    <t>(310/200)</t>
  </si>
  <si>
    <t>23633</t>
  </si>
  <si>
    <t>VNIC [{#NAME}]：当前连接跟踪表利用率高了（利用率 &gt;= {$OCI.COMPUTE.VNIC.CONNTRACK.UTIL.WARN}%）</t>
  </si>
  <si>
    <t>23634</t>
  </si>
  <si>
    <t>VNIC [{#NAME}]：当前连接跟踪表利用率高了（利用率 &gt;= {$OCI.COMPUTE.VNIC.CONNTRACK.UTIL.HIGH}%）</t>
  </si>
  <si>
    <t>(310/202)</t>
  </si>
  <si>
    <t>Oracle '{#CON_NAME}' TBS '{#TABLESPACE}': Tablespace utilization is too high (over {$ORACLE.TBS.USED.PCT.MAX.WARN}% for 5m).</t>
  </si>
  <si>
    <t>Oracle '{#CON_NAME}' TBS '{#TABLESPACE}': 表空间利用率太高(超过{$ORACLE.TBS.USED.PCT.MAX.WARN}%达5分钟).</t>
  </si>
  <si>
    <t>23407</t>
  </si>
  <si>
    <t xml:space="preserve">Oracle '{#CON_NAME}' TBS '{#TABLESPACE}'：表空间使用率过高（超过{ORACLE.TBS.USED.PCT.FROM.MAX.HIGH}%达5分钟）. </t>
  </si>
  <si>
    <t>23408</t>
  </si>
  <si>
    <t>Oracle '{#CON_NAME}' TBS '{#TABLESPACE}'：表空间使用率过高（超过{ORACLE.TBS.USED.PCT.FROM.MAX.WARN}%达5分钟）.</t>
  </si>
  <si>
    <t>(17/16)</t>
  </si>
  <si>
    <t>(17/17)</t>
  </si>
  <si>
    <t>(310/203)</t>
  </si>
  <si>
    <t>Oracle TBS '{#TABLESPACE}': Tablespace utilization is too high (over {$ORACLE.TBS.USED.PCT.MAX.WARN}% for 5m).</t>
  </si>
  <si>
    <t>OracleTBS"{#TABLESPACE}": 表空间利用率太高(超过{$ORACLE.TBS.USED.PCT.MAX.WARN}%达5分钟).</t>
  </si>
  <si>
    <t>23405</t>
  </si>
  <si>
    <t xml:space="preserve">Oracle TBS '{#TABLESPACE}'：表空间利用率过高（超过{ORACLE.TBS.USED.PCT.FROM.MAX.WARN}%达5分钟）. </t>
  </si>
  <si>
    <t>23406</t>
  </si>
  <si>
    <t>Oracle TBS '{#TABLESPACE}'：表空间利用率过高（超过{ORACLE.TBS.USED.PCT.FROM.MAX.HIGH}%达5分钟）.</t>
  </si>
  <si>
    <t>(310/204)</t>
  </si>
  <si>
    <t>(310/205)</t>
  </si>
  <si>
    <t>PHP-FPM：无法获取信息数据（或30分钟内无数据）</t>
  </si>
  <si>
    <t>(310/206)</t>
  </si>
  <si>
    <t>DB [{#DBNAME}]:恢复冲突太多(5分钟内超过 {$PG.CONFLICTS.MAX.WARN:"{#DBNAME}"})</t>
  </si>
  <si>
    <t>DB [{#DBNAME}]:发生死锁(5分钟内超过 {$PG.DEADLOCKS.MAX.WARN:"{#DBNAME}"})</t>
  </si>
  <si>
    <t>23321</t>
  </si>
  <si>
    <t>DB [{#DBNAME}]:慢查询太多(5分钟内超过 {$PG.SLOW_QUERIES.MAX.WARN:"{#DBNAME}"})</t>
  </si>
  <si>
    <t>(310/207)</t>
  </si>
  <si>
    <t>DB [{#DBNAME}]:需要 VACUUM FREEZE 来防止环绕(冻结的 XID 小于 {$PG.FROZENXID_PCT_STOP.MIN.HIGH:"{#DBNAME}"} %)</t>
  </si>
  <si>
    <t>DB [{#DBNAME}]:锁数量过高(5分钟内超过 {$PG.LOCKS.MAX.WARN:"{#DBNAME}"})</t>
  </si>
  <si>
    <t>(310/208)</t>
  </si>
  <si>
    <t>(310/209)</t>
  </si>
  <si>
    <t>Proxmox：节点 [{#NODE.NAME}] swap 空间使用率过高（超过 {$PVE.SWAP.PUSE.MAX.WARN:"{#NODE.NAME}"}% 使用率）</t>
  </si>
  <si>
    <t>(310/210)</t>
  </si>
  <si>
    <t>(310/213)</t>
  </si>
  <si>
    <t>(310/214)</t>
  </si>
  <si>
    <t>RabbitMQ: Failed to fetch nodes data (or no data for 30m)</t>
  </si>
  <si>
    <t>RabbitMQ：无法获取节点数据（或30分钟内无数据）</t>
  </si>
  <si>
    <t>RabbitMQ: Service response time is too high (over {$RABBITMQ.RESPONSE_TIME.MAX.WARN}s for 5m)</t>
  </si>
  <si>
    <t>RabbitMQ：服务响应时间过高（5分钟内超过{$RABBITMQ.RESPONSE_TIME.MAX.WARN}秒）</t>
  </si>
  <si>
    <t>(310/215)</t>
  </si>
  <si>
    <t>(310/216)</t>
  </si>
  <si>
    <t>Proxy [{#PROXY.NAME}]: Zabbix proxy last seen more than {$PROXY.LAST_SEEN.MAX} seconds ago</t>
  </si>
  <si>
    <t>代理[{#PROXY.NAME}]: Zabbix代理最后出现时间超过{$PROXY.LAST_SEEN.MAX}秒前</t>
  </si>
  <si>
    <t>(310/217)</t>
  </si>
  <si>
    <t>(310/218)</t>
  </si>
  <si>
    <t>(310/220)</t>
  </si>
  <si>
    <t>(310/221)</t>
  </si>
  <si>
    <t>(310/222)</t>
  </si>
  <si>
    <t>(310/223)</t>
  </si>
  <si>
    <t>(310/224)</t>
  </si>
  <si>
    <t>(310/225)</t>
  </si>
  <si>
    <t>(310/226)</t>
  </si>
  <si>
    <t>(310/227)</t>
  </si>
  <si>
    <t>TrueNAS CORE：CPU使用率过高（超过 {$CPU.UTIL.CRIT}%，达5分钟）</t>
  </si>
  <si>
    <t>TrueNAS CORE：数据集 [{#DATASET_NAME}]：空间使用率过高（已使用超过 {$DATASET.PUSED.MAX.WARN:"{#DATASET_NAME}"}%）</t>
  </si>
  <si>
    <t>TrueNAS CORE：数据集 [{#DATASET_NAME}]：空间使用率非常高（已使用超过 {$DATASET.PUSED.MAX.CRIT:"{#DATASET_NAME}"}%）</t>
  </si>
  <si>
    <t>TrueNAS CORE：磁盘 [{#DISK_NAME}]：平均磁盘温度过高（超过 {$TEMPERATURE.MAX.CRIT:"{#DISK_NAME}"}°C，达5分钟）</t>
  </si>
  <si>
    <t>TrueNAS CORE：磁盘 [{#DISK_NAME}]：平均磁盘温度过高（超过 {$TEMPERATURE.MAX.WARN:"{#DISK_NAME}"}°C，达5分钟）</t>
  </si>
  <si>
    <t>22600</t>
  </si>
  <si>
    <t>TrueNAS CORE：接口 [{#IFNAME}({#IFALIAS})]：入站带宽使用率过高（&gt; {$IF.UTIL.MAX:"{#IFNAME}"}%）</t>
  </si>
  <si>
    <t>22601</t>
  </si>
  <si>
    <t>TrueNAS CORE：接口 [{#IFNAME}({#IFALIAS})]：出站带宽使用率过高（&gt; {$IF.UTIL.MAX:"{#IFNAME}"}%）</t>
  </si>
  <si>
    <t>22602</t>
  </si>
  <si>
    <t>TrueNAS CORE：接口 [{#IFNAME}({#IFALIAS})]：输入错误率过高（&gt; {$IF.ERRORS.WARN:"{#IFNAME}"}，达5分钟）</t>
  </si>
  <si>
    <t>TrueNAS CORE：接口 [{#IFNAME}({#IFALIAS})]：输出错误率过高（&gt; {$IF.ERRORS.WARN:"{#IFNAME}"}，达5分钟）</t>
  </si>
  <si>
    <t>TrueNAS CORE：存储池 [{#POOLNAME}]：空间使用率过高（已使用超过 {$ZPOOL.PUSED.MAX.WARN:"{#POOLNAME}"}%）</t>
  </si>
  <si>
    <t>TrueNAS CORE：存储池 [{#POOLNAME}]：空间使用率非常高（已使用超过 {$ZPOOL.PUSED.MAX.CRIT:"{#POOLNAME}"}%）</t>
  </si>
  <si>
    <t>(310/228)</t>
  </si>
  <si>
    <t>(310/229)</t>
  </si>
  <si>
    <t>(310/233)</t>
  </si>
  <si>
    <t>(310/234)</t>
  </si>
  <si>
    <t>(310/235)</t>
  </si>
  <si>
    <t>(310/236)</t>
  </si>
  <si>
    <t>(310/237)</t>
  </si>
  <si>
    <t>{#SERVICE.NAME}({#SERVICE.DISPLAYNAME})未运行(启动类型{#SERVICE.STARTUPNAME}): "{#SERVICE.NAME}"({#SERVICE.DISPLAYNAME})未运行(启动类型{#SERVICE.STARTUPNAME})</t>
  </si>
  <si>
    <t>{#DEVNAME}:磁盘读取请求响应太高(读取 &gt; {$VFS.DEV.READ.AWAIT.WARN:"{#DEVNAME}"} 秒达15分钟)</t>
  </si>
  <si>
    <t>(310/238)</t>
  </si>
  <si>
    <t>(310/239)</t>
  </si>
  <si>
    <t>YugabyteDB节点 [{#NODE.NAME}]：节点磁盘IOPS利用率过高（超过 {$YUGABYTEDB.IOPS.UTILIZATION.WARN}，达5分钟）</t>
  </si>
  <si>
    <t>23515</t>
  </si>
  <si>
    <t>YugabyteDB节点 [{#NODE.NAME}]：节点磁盘IOPS利用率过高（超过 {$YUGABYTEDB.IOPS.UTILIZATION.CRIT}，达5分钟）</t>
  </si>
  <si>
    <t>(310/240)</t>
  </si>
  <si>
    <t>(8/2)</t>
  </si>
  <si>
    <t>(310/241)</t>
  </si>
  <si>
    <t>(310/243)</t>
  </si>
  <si>
    <t>(19/4)</t>
  </si>
  <si>
    <t>(19/6)</t>
  </si>
  <si>
    <t>(19/14)</t>
  </si>
  <si>
    <t>(19/19)</t>
  </si>
  <si>
    <t>(310/244)</t>
  </si>
  <si>
    <t>(310/245)</t>
  </si>
  <si>
    <t>(310/246)</t>
  </si>
  <si>
    <t>(310/247)</t>
  </si>
  <si>
    <t>(310/248)</t>
  </si>
  <si>
    <t>(310/249)</t>
  </si>
  <si>
    <t>(310/250)</t>
  </si>
  <si>
    <t>(310/251)</t>
  </si>
  <si>
    <t>(310/252)</t>
  </si>
  <si>
    <t>(310/253)</t>
  </si>
  <si>
    <t>(8/7)</t>
  </si>
  <si>
    <t>(310/254)</t>
  </si>
  <si>
    <t>(310/255)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</si>
</sst>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3" fillId="2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9" fillId="12" borderId="3" applyNumberFormat="0" applyAlignment="0" applyProtection="0">
      <alignment vertical="center"/>
    </xf>
    <xf numFmtId="0" fontId="18" fillId="34" borderId="8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NumberFormat="1"/>
    <xf numFmtId="0" fontId="0" fillId="2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NumberFormat="1" applyFont="1" applyFill="1" applyAlignment="1"/>
    <xf numFmtId="0" fontId="0" fillId="0" borderId="0" xfId="0" applyFont="1" applyFill="1" applyAlignment="1">
      <alignment vertical="center"/>
    </xf>
    <xf numFmtId="0" fontId="0" fillId="3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1699"/>
  <sheetViews>
    <sheetView workbookViewId="0">
      <selection activeCell="N15" sqref="N15"/>
    </sheetView>
  </sheetViews>
  <sheetFormatPr defaultColWidth="9" defaultRowHeight="13.5"/>
  <cols>
    <col min="1" max="16384" width="9" style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S1" s="8"/>
    </row>
    <row r="2" spans="1:19">
      <c r="A2" s="1">
        <v>5</v>
      </c>
      <c r="B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tr">
        <f>IFERROR(IF(OR(MID(G2,FIND(":",G2)-1,1)="""",MID(G2,FIND(":",G2)-1,1)="}",MID(G2,FIND(":",G2)-1,1)=")",MID(G2,FIND(":",G2)-1,1)="]"),"",LEFT(F2,FIND(":",F2)-1)),"")</f>
        <v/>
      </c>
      <c r="I2" s="1" t="str">
        <f>IFERROR(IF(OR(MID(G2,FIND(":",G2)-1,1)="""",MID(G2,FIND(":",G2)-1,1)="}",MID(G2,FIND(":",G2)-1,1)=")",MID(G2,FIND(":",G2)-1,1)="]"),"",RIGHT(G2,LEN(G2)-FIND(":",G2)-1)),"")</f>
        <v/>
      </c>
      <c r="J2" s="1" t="str">
        <f>IF(AND(I2="",H2=""),G2,IF(H2="",I2,H2&amp;": "&amp;I2))</f>
        <v>{#BATTERY_PACK}.{#CARTRIDGE_INDEX}: 电池温度太高(超过{$BATTERY.TEMP.MAX.WARN}℃持续{$TIME.PERIOD})</v>
      </c>
      <c r="K2" s="1" t="str">
        <f>IFERROR(IF(OR(MID(F2,FIND(":",F2)-1,1)="""",MID(F2,FIND(":",F2)-1,1)="}",MID(F2,FIND(":",F2)-1,1)=")",MID(F2,FIND(":",F2)-1,1)="]"),"",RIGHT(F2,LEN(F2)-FIND(":",F2)-1)),"")</f>
        <v/>
      </c>
      <c r="L2" s="1">
        <f>LEN(F2)-LEN(SUBSTITUTE(F2,":",""))</f>
        <v>1</v>
      </c>
      <c r="M2" s="1">
        <f>LEN(G2)-LEN(SUBSTITUTE(G2,":",""))</f>
        <v>1</v>
      </c>
      <c r="N2" s="1">
        <f>LEN(G2)-LEN(SUBSTITUTE(G2,"：",""))</f>
        <v>0</v>
      </c>
      <c r="O2" s="1" t="b">
        <f>IF(M2&gt;=2,MID(G2,FIND(":",G2)+1,LEN(G2)))</f>
        <v>0</v>
      </c>
      <c r="P2" s="1" t="str">
        <f>INDEX(G:G,MATCH(G2,G:G,0))</f>
        <v>{#BATTERY_PACK}.{#CARTRIDGE_INDEX}: 电池温度太高(超过{$BATTERY.TEMP.MAX.WARN}℃持续{$TIME.PERIOD})</v>
      </c>
      <c r="Q2" s="1" t="str">
        <f>IF(P2&lt;&gt;G2,"校验","")</f>
        <v/>
      </c>
      <c r="R2" s="1" t="e">
        <f>INDEX('6.0.35'!I:I,MATCH(F2,'6.0.35'!K:K,0))</f>
        <v>#N/A</v>
      </c>
      <c r="S2" s="1" t="str">
        <f>INDEX('6.0.35'!J:J,MATCH(F2,'6.0.35'!F:F,0))</f>
        <v>{#BATTERY_PACK}.{#CARTRIDGE_INDEX}: 电池温度太高(超过{$BATTERY.TEMP.MAX.WARN}℃持续{$TIME.PERIOD})</v>
      </c>
    </row>
    <row r="3" spans="1:7">
      <c r="A3" s="1">
        <v>12</v>
      </c>
      <c r="B3" s="1" t="s">
        <v>13</v>
      </c>
      <c r="D3" s="1" t="s">
        <v>9</v>
      </c>
      <c r="E3" s="1" t="s">
        <v>14</v>
      </c>
      <c r="F3" s="1" t="s">
        <v>15</v>
      </c>
      <c r="G3" s="1" t="s">
        <v>16</v>
      </c>
    </row>
    <row r="4" spans="1:7">
      <c r="A4" s="1">
        <v>13</v>
      </c>
      <c r="B4" s="1" t="s">
        <v>17</v>
      </c>
      <c r="D4" s="1" t="s">
        <v>9</v>
      </c>
      <c r="E4" s="1" t="s">
        <v>18</v>
      </c>
      <c r="F4" s="1" t="s">
        <v>19</v>
      </c>
      <c r="G4" s="1" t="s">
        <v>20</v>
      </c>
    </row>
    <row r="5" spans="1:7">
      <c r="A5" s="1">
        <v>16</v>
      </c>
      <c r="B5" s="1" t="s">
        <v>21</v>
      </c>
      <c r="D5" s="1" t="s">
        <v>22</v>
      </c>
      <c r="E5" s="1" t="s">
        <v>23</v>
      </c>
      <c r="F5" s="1" t="s">
        <v>11</v>
      </c>
      <c r="G5" s="1" t="s">
        <v>12</v>
      </c>
    </row>
    <row r="6" spans="1:7">
      <c r="A6" s="1">
        <v>23</v>
      </c>
      <c r="B6" s="1" t="s">
        <v>24</v>
      </c>
      <c r="D6" s="1" t="s">
        <v>22</v>
      </c>
      <c r="E6" s="1" t="s">
        <v>25</v>
      </c>
      <c r="F6" s="1" t="s">
        <v>15</v>
      </c>
      <c r="G6" s="1" t="s">
        <v>16</v>
      </c>
    </row>
    <row r="7" spans="1:7">
      <c r="A7" s="1">
        <v>24</v>
      </c>
      <c r="B7" s="1" t="s">
        <v>26</v>
      </c>
      <c r="D7" s="1" t="s">
        <v>22</v>
      </c>
      <c r="E7" s="1" t="s">
        <v>27</v>
      </c>
      <c r="F7" s="1" t="s">
        <v>19</v>
      </c>
      <c r="G7" s="1" t="s">
        <v>20</v>
      </c>
    </row>
    <row r="8" spans="1:7">
      <c r="A8" s="1">
        <v>27</v>
      </c>
      <c r="B8" s="1" t="s">
        <v>28</v>
      </c>
      <c r="D8" s="1" t="s">
        <v>29</v>
      </c>
      <c r="E8" s="1" t="s">
        <v>30</v>
      </c>
      <c r="F8" s="1" t="s">
        <v>11</v>
      </c>
      <c r="G8" s="1" t="s">
        <v>12</v>
      </c>
    </row>
    <row r="9" spans="1:7">
      <c r="A9" s="1">
        <v>34</v>
      </c>
      <c r="B9" s="1" t="s">
        <v>31</v>
      </c>
      <c r="D9" s="1" t="s">
        <v>29</v>
      </c>
      <c r="E9" s="1" t="s">
        <v>32</v>
      </c>
      <c r="F9" s="1" t="s">
        <v>15</v>
      </c>
      <c r="G9" s="1" t="s">
        <v>16</v>
      </c>
    </row>
    <row r="10" spans="1:7">
      <c r="A10" s="1">
        <v>35</v>
      </c>
      <c r="B10" s="1" t="s">
        <v>33</v>
      </c>
      <c r="D10" s="1" t="s">
        <v>29</v>
      </c>
      <c r="E10" s="1" t="s">
        <v>34</v>
      </c>
      <c r="F10" s="1" t="s">
        <v>19</v>
      </c>
      <c r="G10" s="1" t="s">
        <v>20</v>
      </c>
    </row>
    <row r="11" spans="1:7">
      <c r="A11" s="1">
        <v>38</v>
      </c>
      <c r="B11" s="1" t="s">
        <v>35</v>
      </c>
      <c r="D11" s="1" t="s">
        <v>36</v>
      </c>
      <c r="E11" s="1" t="s">
        <v>37</v>
      </c>
      <c r="F11" s="1" t="s">
        <v>11</v>
      </c>
      <c r="G11" s="1" t="s">
        <v>12</v>
      </c>
    </row>
    <row r="12" spans="1:7">
      <c r="A12" s="1">
        <v>45</v>
      </c>
      <c r="B12" s="1" t="s">
        <v>38</v>
      </c>
      <c r="D12" s="1" t="s">
        <v>36</v>
      </c>
      <c r="E12" s="1" t="s">
        <v>39</v>
      </c>
      <c r="F12" s="1" t="s">
        <v>15</v>
      </c>
      <c r="G12" s="1" t="s">
        <v>16</v>
      </c>
    </row>
    <row r="13" spans="1:7">
      <c r="A13" s="1">
        <v>46</v>
      </c>
      <c r="B13" s="1" t="s">
        <v>40</v>
      </c>
      <c r="D13" s="1" t="s">
        <v>36</v>
      </c>
      <c r="E13" s="1" t="s">
        <v>41</v>
      </c>
      <c r="F13" s="1" t="s">
        <v>19</v>
      </c>
      <c r="G13" s="1" t="s">
        <v>20</v>
      </c>
    </row>
    <row r="14" spans="1:7">
      <c r="A14" s="1">
        <v>49</v>
      </c>
      <c r="B14" s="1" t="s">
        <v>42</v>
      </c>
      <c r="D14" s="1" t="s">
        <v>43</v>
      </c>
      <c r="E14" s="1" t="s">
        <v>44</v>
      </c>
      <c r="F14" s="1" t="s">
        <v>11</v>
      </c>
      <c r="G14" s="1" t="s">
        <v>12</v>
      </c>
    </row>
    <row r="15" spans="1:7">
      <c r="A15" s="1">
        <v>56</v>
      </c>
      <c r="B15" s="1" t="s">
        <v>45</v>
      </c>
      <c r="D15" s="1" t="s">
        <v>43</v>
      </c>
      <c r="E15" s="1" t="s">
        <v>46</v>
      </c>
      <c r="F15" s="1" t="s">
        <v>15</v>
      </c>
      <c r="G15" s="1" t="s">
        <v>16</v>
      </c>
    </row>
    <row r="16" spans="1:7">
      <c r="A16" s="1">
        <v>57</v>
      </c>
      <c r="B16" s="1" t="s">
        <v>47</v>
      </c>
      <c r="D16" s="1" t="s">
        <v>43</v>
      </c>
      <c r="E16" s="1" t="s">
        <v>48</v>
      </c>
      <c r="F16" s="1" t="s">
        <v>19</v>
      </c>
      <c r="G16" s="1" t="s">
        <v>20</v>
      </c>
    </row>
    <row r="17" spans="1:7">
      <c r="A17" s="1">
        <v>60</v>
      </c>
      <c r="B17" s="1" t="s">
        <v>49</v>
      </c>
      <c r="D17" s="1" t="s">
        <v>50</v>
      </c>
      <c r="E17" s="1" t="s">
        <v>51</v>
      </c>
      <c r="F17" s="1" t="s">
        <v>11</v>
      </c>
      <c r="G17" s="1" t="s">
        <v>12</v>
      </c>
    </row>
    <row r="18" spans="1:7">
      <c r="A18" s="1">
        <v>67</v>
      </c>
      <c r="B18" s="1" t="s">
        <v>52</v>
      </c>
      <c r="D18" s="1" t="s">
        <v>50</v>
      </c>
      <c r="E18" s="1" t="s">
        <v>53</v>
      </c>
      <c r="F18" s="1" t="s">
        <v>15</v>
      </c>
      <c r="G18" s="1" t="s">
        <v>16</v>
      </c>
    </row>
    <row r="19" spans="1:7">
      <c r="A19" s="1">
        <v>68</v>
      </c>
      <c r="B19" s="1" t="s">
        <v>54</v>
      </c>
      <c r="D19" s="1" t="s">
        <v>50</v>
      </c>
      <c r="E19" s="1" t="s">
        <v>55</v>
      </c>
      <c r="F19" s="1" t="s">
        <v>19</v>
      </c>
      <c r="G19" s="1" t="s">
        <v>20</v>
      </c>
    </row>
    <row r="20" spans="1:7">
      <c r="A20" s="1">
        <v>71</v>
      </c>
      <c r="B20" s="1" t="s">
        <v>56</v>
      </c>
      <c r="D20" s="1" t="s">
        <v>57</v>
      </c>
      <c r="E20" s="1" t="s">
        <v>58</v>
      </c>
      <c r="F20" s="1" t="s">
        <v>11</v>
      </c>
      <c r="G20" s="1" t="s">
        <v>12</v>
      </c>
    </row>
    <row r="21" spans="1:7">
      <c r="A21" s="1">
        <v>78</v>
      </c>
      <c r="B21" s="1" t="s">
        <v>59</v>
      </c>
      <c r="D21" s="1" t="s">
        <v>57</v>
      </c>
      <c r="E21" s="1" t="s">
        <v>60</v>
      </c>
      <c r="F21" s="1" t="s">
        <v>15</v>
      </c>
      <c r="G21" s="1" t="s">
        <v>16</v>
      </c>
    </row>
    <row r="22" spans="1:7">
      <c r="A22" s="1">
        <v>79</v>
      </c>
      <c r="B22" s="1" t="s">
        <v>61</v>
      </c>
      <c r="D22" s="1" t="s">
        <v>57</v>
      </c>
      <c r="E22" s="1" t="s">
        <v>62</v>
      </c>
      <c r="F22" s="1" t="s">
        <v>19</v>
      </c>
      <c r="G22" s="1" t="s">
        <v>20</v>
      </c>
    </row>
    <row r="23" spans="1:7">
      <c r="A23" s="1">
        <v>82</v>
      </c>
      <c r="B23" s="1" t="s">
        <v>63</v>
      </c>
      <c r="D23" s="1" t="s">
        <v>64</v>
      </c>
      <c r="E23" s="1" t="s">
        <v>65</v>
      </c>
      <c r="F23" s="1" t="s">
        <v>11</v>
      </c>
      <c r="G23" s="1" t="s">
        <v>12</v>
      </c>
    </row>
    <row r="24" spans="1:7">
      <c r="A24" s="1">
        <v>89</v>
      </c>
      <c r="B24" s="1" t="s">
        <v>66</v>
      </c>
      <c r="D24" s="1" t="s">
        <v>64</v>
      </c>
      <c r="E24" s="1" t="s">
        <v>67</v>
      </c>
      <c r="F24" s="1" t="s">
        <v>15</v>
      </c>
      <c r="G24" s="1" t="s">
        <v>16</v>
      </c>
    </row>
    <row r="25" spans="1:7">
      <c r="A25" s="1">
        <v>90</v>
      </c>
      <c r="B25" s="1" t="s">
        <v>68</v>
      </c>
      <c r="D25" s="1" t="s">
        <v>64</v>
      </c>
      <c r="E25" s="1" t="s">
        <v>69</v>
      </c>
      <c r="F25" s="1" t="s">
        <v>19</v>
      </c>
      <c r="G25" s="1" t="s">
        <v>20</v>
      </c>
    </row>
    <row r="26" spans="1:7">
      <c r="A26" s="1">
        <v>93</v>
      </c>
      <c r="B26" s="1" t="s">
        <v>70</v>
      </c>
      <c r="D26" s="1" t="s">
        <v>71</v>
      </c>
      <c r="E26" s="1" t="s">
        <v>72</v>
      </c>
      <c r="F26" s="1" t="s">
        <v>11</v>
      </c>
      <c r="G26" s="1" t="s">
        <v>12</v>
      </c>
    </row>
    <row r="27" spans="1:7">
      <c r="A27" s="1">
        <v>100</v>
      </c>
      <c r="B27" s="1" t="s">
        <v>73</v>
      </c>
      <c r="D27" s="1" t="s">
        <v>71</v>
      </c>
      <c r="E27" s="1" t="s">
        <v>74</v>
      </c>
      <c r="F27" s="1" t="s">
        <v>15</v>
      </c>
      <c r="G27" s="1" t="s">
        <v>16</v>
      </c>
    </row>
    <row r="28" spans="1:7">
      <c r="A28" s="1">
        <v>101</v>
      </c>
      <c r="B28" s="1" t="s">
        <v>75</v>
      </c>
      <c r="D28" s="1" t="s">
        <v>71</v>
      </c>
      <c r="E28" s="1" t="s">
        <v>76</v>
      </c>
      <c r="F28" s="1" t="s">
        <v>19</v>
      </c>
      <c r="G28" s="1" t="s">
        <v>20</v>
      </c>
    </row>
    <row r="29" spans="1:7">
      <c r="A29" s="1">
        <v>104</v>
      </c>
      <c r="B29" s="1" t="s">
        <v>77</v>
      </c>
      <c r="D29" s="1" t="s">
        <v>78</v>
      </c>
      <c r="E29" s="1" t="s">
        <v>79</v>
      </c>
      <c r="F29" s="1" t="s">
        <v>11</v>
      </c>
      <c r="G29" s="1" t="s">
        <v>12</v>
      </c>
    </row>
    <row r="30" spans="1:7">
      <c r="A30" s="1">
        <v>111</v>
      </c>
      <c r="B30" s="1" t="s">
        <v>80</v>
      </c>
      <c r="D30" s="1" t="s">
        <v>78</v>
      </c>
      <c r="E30" s="1" t="s">
        <v>81</v>
      </c>
      <c r="F30" s="1" t="s">
        <v>15</v>
      </c>
      <c r="G30" s="1" t="s">
        <v>16</v>
      </c>
    </row>
    <row r="31" spans="1:7">
      <c r="A31" s="1">
        <v>112</v>
      </c>
      <c r="B31" s="1" t="s">
        <v>82</v>
      </c>
      <c r="D31" s="1" t="s">
        <v>78</v>
      </c>
      <c r="E31" s="1" t="s">
        <v>83</v>
      </c>
      <c r="F31" s="1" t="s">
        <v>19</v>
      </c>
      <c r="G31" s="1" t="s">
        <v>20</v>
      </c>
    </row>
    <row r="32" spans="1:7">
      <c r="A32" s="1">
        <v>115</v>
      </c>
      <c r="B32" s="1" t="s">
        <v>84</v>
      </c>
      <c r="D32" s="1" t="s">
        <v>85</v>
      </c>
      <c r="E32" s="1" t="s">
        <v>86</v>
      </c>
      <c r="F32" s="1" t="s">
        <v>11</v>
      </c>
      <c r="G32" s="1" t="s">
        <v>12</v>
      </c>
    </row>
    <row r="33" spans="1:7">
      <c r="A33" s="1">
        <v>122</v>
      </c>
      <c r="B33" s="1" t="s">
        <v>87</v>
      </c>
      <c r="D33" s="1" t="s">
        <v>85</v>
      </c>
      <c r="E33" s="1" t="s">
        <v>88</v>
      </c>
      <c r="F33" s="1" t="s">
        <v>15</v>
      </c>
      <c r="G33" s="1" t="s">
        <v>16</v>
      </c>
    </row>
    <row r="34" spans="1:7">
      <c r="A34" s="1">
        <v>123</v>
      </c>
      <c r="B34" s="1" t="s">
        <v>89</v>
      </c>
      <c r="D34" s="1" t="s">
        <v>85</v>
      </c>
      <c r="E34" s="1" t="s">
        <v>90</v>
      </c>
      <c r="F34" s="1" t="s">
        <v>19</v>
      </c>
      <c r="G34" s="1" t="s">
        <v>20</v>
      </c>
    </row>
    <row r="35" spans="1:7">
      <c r="A35" s="1">
        <v>124</v>
      </c>
      <c r="B35" s="1" t="s">
        <v>91</v>
      </c>
      <c r="D35" s="1" t="s">
        <v>92</v>
      </c>
      <c r="E35" s="1" t="s">
        <v>93</v>
      </c>
      <c r="F35" s="1" t="s">
        <v>94</v>
      </c>
      <c r="G35" s="1" t="s">
        <v>95</v>
      </c>
    </row>
    <row r="36" spans="1:7">
      <c r="A36" s="1">
        <v>130</v>
      </c>
      <c r="B36" s="1" t="s">
        <v>96</v>
      </c>
      <c r="D36" s="1" t="s">
        <v>97</v>
      </c>
      <c r="E36" s="1" t="s">
        <v>98</v>
      </c>
      <c r="F36" s="1" t="s">
        <v>99</v>
      </c>
      <c r="G36" s="1" t="s">
        <v>100</v>
      </c>
    </row>
    <row r="37" spans="1:7">
      <c r="A37" s="1">
        <v>131</v>
      </c>
      <c r="B37" s="1" t="s">
        <v>101</v>
      </c>
      <c r="D37" s="1" t="s">
        <v>97</v>
      </c>
      <c r="E37" s="1" t="s">
        <v>102</v>
      </c>
      <c r="F37" s="1" t="s">
        <v>103</v>
      </c>
      <c r="G37" s="1" t="s">
        <v>104</v>
      </c>
    </row>
    <row r="38" spans="1:7">
      <c r="A38" s="1">
        <v>134</v>
      </c>
      <c r="B38" s="1" t="s">
        <v>105</v>
      </c>
      <c r="D38" s="1" t="s">
        <v>106</v>
      </c>
      <c r="E38" s="1" t="s">
        <v>107</v>
      </c>
      <c r="F38" s="1" t="s">
        <v>99</v>
      </c>
      <c r="G38" s="1" t="s">
        <v>100</v>
      </c>
    </row>
    <row r="39" spans="1:7">
      <c r="A39" s="1">
        <v>135</v>
      </c>
      <c r="B39" s="1" t="s">
        <v>108</v>
      </c>
      <c r="D39" s="1" t="s">
        <v>106</v>
      </c>
      <c r="E39" s="1" t="s">
        <v>109</v>
      </c>
      <c r="F39" s="1" t="s">
        <v>103</v>
      </c>
      <c r="G39" s="1" t="s">
        <v>104</v>
      </c>
    </row>
    <row r="40" spans="1:7">
      <c r="A40" s="1">
        <v>136</v>
      </c>
      <c r="B40" s="1" t="s">
        <v>110</v>
      </c>
      <c r="D40" s="1" t="s">
        <v>111</v>
      </c>
      <c r="E40" s="1" t="s">
        <v>112</v>
      </c>
      <c r="F40" s="1" t="s">
        <v>113</v>
      </c>
      <c r="G40" s="1" t="s">
        <v>114</v>
      </c>
    </row>
    <row r="41" spans="1:7">
      <c r="A41" s="1">
        <v>137</v>
      </c>
      <c r="B41" s="1" t="s">
        <v>115</v>
      </c>
      <c r="D41" s="1" t="s">
        <v>111</v>
      </c>
      <c r="E41" s="1" t="s">
        <v>116</v>
      </c>
      <c r="F41" s="1" t="s">
        <v>117</v>
      </c>
      <c r="G41" s="1" t="s">
        <v>118</v>
      </c>
    </row>
    <row r="42" spans="1:7">
      <c r="A42" s="1">
        <v>138</v>
      </c>
      <c r="B42" s="1" t="s">
        <v>119</v>
      </c>
      <c r="D42" s="1" t="s">
        <v>120</v>
      </c>
      <c r="E42" s="1" t="s">
        <v>121</v>
      </c>
      <c r="F42" s="1" t="s">
        <v>122</v>
      </c>
      <c r="G42" s="1" t="s">
        <v>123</v>
      </c>
    </row>
    <row r="43" spans="1:7">
      <c r="A43" s="1">
        <v>139</v>
      </c>
      <c r="B43" s="1" t="s">
        <v>124</v>
      </c>
      <c r="D43" s="1" t="s">
        <v>120</v>
      </c>
      <c r="E43" s="1" t="s">
        <v>125</v>
      </c>
      <c r="F43" s="1" t="s">
        <v>126</v>
      </c>
      <c r="G43" s="1" t="s">
        <v>127</v>
      </c>
    </row>
    <row r="44" spans="1:7">
      <c r="A44" s="1">
        <v>140</v>
      </c>
      <c r="B44" s="1" t="s">
        <v>128</v>
      </c>
      <c r="D44" s="1" t="s">
        <v>120</v>
      </c>
      <c r="E44" s="1" t="s">
        <v>129</v>
      </c>
      <c r="F44" s="1" t="s">
        <v>130</v>
      </c>
      <c r="G44" s="1" t="s">
        <v>131</v>
      </c>
    </row>
    <row r="45" spans="1:7">
      <c r="A45" s="1">
        <v>141</v>
      </c>
      <c r="B45" s="1" t="s">
        <v>132</v>
      </c>
      <c r="D45" s="1" t="s">
        <v>120</v>
      </c>
      <c r="E45" s="1" t="s">
        <v>133</v>
      </c>
      <c r="F45" s="1" t="s">
        <v>134</v>
      </c>
      <c r="G45" s="1" t="s">
        <v>135</v>
      </c>
    </row>
    <row r="46" spans="1:7">
      <c r="A46" s="1">
        <v>142</v>
      </c>
      <c r="B46" s="1" t="s">
        <v>136</v>
      </c>
      <c r="D46" s="1" t="s">
        <v>137</v>
      </c>
      <c r="E46" s="1" t="s">
        <v>138</v>
      </c>
      <c r="F46" s="1" t="s">
        <v>139</v>
      </c>
      <c r="G46" s="1" t="s">
        <v>140</v>
      </c>
    </row>
    <row r="47" spans="1:7">
      <c r="A47" s="1">
        <v>143</v>
      </c>
      <c r="B47" s="1" t="s">
        <v>141</v>
      </c>
      <c r="D47" s="1" t="s">
        <v>137</v>
      </c>
      <c r="E47" s="1" t="s">
        <v>142</v>
      </c>
      <c r="F47" s="1" t="s">
        <v>143</v>
      </c>
      <c r="G47" s="1" t="s">
        <v>144</v>
      </c>
    </row>
    <row r="48" spans="1:7">
      <c r="A48" s="1">
        <v>148</v>
      </c>
      <c r="B48" s="1" t="s">
        <v>145</v>
      </c>
      <c r="D48" s="1" t="s">
        <v>146</v>
      </c>
      <c r="E48" s="1" t="s">
        <v>147</v>
      </c>
      <c r="F48" s="1" t="s">
        <v>148</v>
      </c>
      <c r="G48" s="1" t="s">
        <v>149</v>
      </c>
    </row>
    <row r="49" spans="1:7">
      <c r="A49" s="1">
        <v>149</v>
      </c>
      <c r="B49" s="1" t="s">
        <v>150</v>
      </c>
      <c r="D49" s="1" t="s">
        <v>146</v>
      </c>
      <c r="E49" s="1" t="s">
        <v>151</v>
      </c>
      <c r="F49" s="1" t="s">
        <v>152</v>
      </c>
      <c r="G49" s="1" t="s">
        <v>153</v>
      </c>
    </row>
    <row r="50" spans="1:7">
      <c r="A50" s="1">
        <v>150</v>
      </c>
      <c r="B50" s="1" t="s">
        <v>154</v>
      </c>
      <c r="D50" s="1" t="s">
        <v>146</v>
      </c>
      <c r="E50" s="1" t="s">
        <v>155</v>
      </c>
      <c r="F50" s="1" t="s">
        <v>156</v>
      </c>
      <c r="G50" s="1" t="s">
        <v>157</v>
      </c>
    </row>
    <row r="51" spans="1:7">
      <c r="A51" s="1">
        <v>167</v>
      </c>
      <c r="B51" s="1" t="s">
        <v>158</v>
      </c>
      <c r="D51" s="1" t="s">
        <v>159</v>
      </c>
      <c r="E51" s="1" t="s">
        <v>160</v>
      </c>
      <c r="F51" s="1" t="s">
        <v>161</v>
      </c>
      <c r="G51" s="1" t="s">
        <v>162</v>
      </c>
    </row>
    <row r="52" spans="1:7">
      <c r="A52" s="1">
        <v>169</v>
      </c>
      <c r="B52" s="1" t="s">
        <v>163</v>
      </c>
      <c r="D52" s="1" t="s">
        <v>159</v>
      </c>
      <c r="E52" s="1" t="s">
        <v>164</v>
      </c>
      <c r="F52" s="1" t="s">
        <v>165</v>
      </c>
      <c r="G52" s="1" t="s">
        <v>166</v>
      </c>
    </row>
    <row r="53" spans="1:7">
      <c r="A53" s="1">
        <v>172</v>
      </c>
      <c r="B53" s="1" t="s">
        <v>167</v>
      </c>
      <c r="D53" s="1" t="s">
        <v>159</v>
      </c>
      <c r="E53" s="1" t="s">
        <v>168</v>
      </c>
      <c r="F53" s="1" t="s">
        <v>169</v>
      </c>
      <c r="G53" s="1" t="s">
        <v>170</v>
      </c>
    </row>
    <row r="54" spans="1:7">
      <c r="A54" s="1">
        <v>173</v>
      </c>
      <c r="B54" s="1" t="s">
        <v>171</v>
      </c>
      <c r="D54" s="1" t="s">
        <v>159</v>
      </c>
      <c r="E54" s="1" t="s">
        <v>172</v>
      </c>
      <c r="F54" s="1" t="s">
        <v>173</v>
      </c>
      <c r="G54" s="1" t="s">
        <v>174</v>
      </c>
    </row>
    <row r="55" spans="1:7">
      <c r="A55" s="1">
        <v>174</v>
      </c>
      <c r="B55" s="1" t="s">
        <v>175</v>
      </c>
      <c r="D55" s="1" t="s">
        <v>159</v>
      </c>
      <c r="E55" s="1" t="s">
        <v>176</v>
      </c>
      <c r="F55" s="1" t="s">
        <v>177</v>
      </c>
      <c r="G55" s="1" t="s">
        <v>178</v>
      </c>
    </row>
    <row r="56" spans="1:7">
      <c r="A56" s="1">
        <v>175</v>
      </c>
      <c r="B56" s="1" t="s">
        <v>179</v>
      </c>
      <c r="D56" s="1" t="s">
        <v>159</v>
      </c>
      <c r="E56" s="1" t="s">
        <v>180</v>
      </c>
      <c r="F56" s="1" t="s">
        <v>181</v>
      </c>
      <c r="G56" s="1" t="s">
        <v>182</v>
      </c>
    </row>
    <row r="57" spans="1:7">
      <c r="A57" s="1">
        <v>176</v>
      </c>
      <c r="B57" s="1" t="s">
        <v>183</v>
      </c>
      <c r="D57" s="1" t="s">
        <v>184</v>
      </c>
      <c r="E57" s="1" t="s">
        <v>185</v>
      </c>
      <c r="F57" s="1" t="s">
        <v>186</v>
      </c>
      <c r="G57" s="1" t="s">
        <v>187</v>
      </c>
    </row>
    <row r="58" spans="1:7">
      <c r="A58" s="1">
        <v>177</v>
      </c>
      <c r="B58" s="1" t="s">
        <v>188</v>
      </c>
      <c r="D58" s="1" t="s">
        <v>184</v>
      </c>
      <c r="E58" s="1" t="s">
        <v>189</v>
      </c>
      <c r="F58" s="1" t="s">
        <v>190</v>
      </c>
      <c r="G58" s="1" t="s">
        <v>191</v>
      </c>
    </row>
    <row r="59" spans="1:7">
      <c r="A59" s="1">
        <v>178</v>
      </c>
      <c r="B59" s="1" t="s">
        <v>192</v>
      </c>
      <c r="D59" s="1" t="s">
        <v>184</v>
      </c>
      <c r="E59" s="1" t="s">
        <v>193</v>
      </c>
      <c r="F59" s="1" t="s">
        <v>194</v>
      </c>
      <c r="G59" s="1" t="s">
        <v>195</v>
      </c>
    </row>
    <row r="60" spans="1:7">
      <c r="A60" s="1">
        <v>179</v>
      </c>
      <c r="B60" s="1" t="s">
        <v>196</v>
      </c>
      <c r="D60" s="1" t="s">
        <v>184</v>
      </c>
      <c r="E60" s="1" t="s">
        <v>197</v>
      </c>
      <c r="F60" s="1" t="s">
        <v>198</v>
      </c>
      <c r="G60" s="1" t="s">
        <v>199</v>
      </c>
    </row>
    <row r="61" spans="1:7">
      <c r="A61" s="1">
        <v>180</v>
      </c>
      <c r="B61" s="1" t="s">
        <v>200</v>
      </c>
      <c r="D61" s="1" t="s">
        <v>184</v>
      </c>
      <c r="E61" s="1" t="s">
        <v>201</v>
      </c>
      <c r="F61" s="1" t="s">
        <v>202</v>
      </c>
      <c r="G61" s="1" t="s">
        <v>203</v>
      </c>
    </row>
    <row r="62" spans="1:7">
      <c r="A62" s="1">
        <v>181</v>
      </c>
      <c r="B62" s="1" t="s">
        <v>204</v>
      </c>
      <c r="D62" s="1" t="s">
        <v>184</v>
      </c>
      <c r="E62" s="1" t="s">
        <v>205</v>
      </c>
      <c r="F62" s="1" t="s">
        <v>206</v>
      </c>
      <c r="G62" s="1" t="s">
        <v>207</v>
      </c>
    </row>
    <row r="63" spans="1:7">
      <c r="A63" s="1">
        <v>182</v>
      </c>
      <c r="B63" s="1" t="s">
        <v>208</v>
      </c>
      <c r="D63" s="1" t="s">
        <v>184</v>
      </c>
      <c r="E63" s="1" t="s">
        <v>209</v>
      </c>
      <c r="F63" s="1" t="s">
        <v>210</v>
      </c>
      <c r="G63" s="1" t="s">
        <v>211</v>
      </c>
    </row>
    <row r="64" spans="1:7">
      <c r="A64" s="1">
        <v>183</v>
      </c>
      <c r="B64" s="1" t="s">
        <v>212</v>
      </c>
      <c r="D64" s="1" t="s">
        <v>184</v>
      </c>
      <c r="E64" s="1" t="s">
        <v>213</v>
      </c>
      <c r="F64" s="1" t="s">
        <v>214</v>
      </c>
      <c r="G64" s="1" t="s">
        <v>215</v>
      </c>
    </row>
    <row r="65" spans="1:7">
      <c r="A65" s="1">
        <v>184</v>
      </c>
      <c r="B65" s="1" t="s">
        <v>216</v>
      </c>
      <c r="D65" s="1" t="s">
        <v>184</v>
      </c>
      <c r="E65" s="1" t="s">
        <v>217</v>
      </c>
      <c r="F65" s="1" t="s">
        <v>214</v>
      </c>
      <c r="G65" s="1" t="s">
        <v>215</v>
      </c>
    </row>
    <row r="66" spans="1:7">
      <c r="A66" s="1">
        <v>185</v>
      </c>
      <c r="B66" s="1" t="s">
        <v>218</v>
      </c>
      <c r="D66" s="1" t="s">
        <v>184</v>
      </c>
      <c r="E66" s="1" t="s">
        <v>219</v>
      </c>
      <c r="F66" s="1" t="s">
        <v>220</v>
      </c>
      <c r="G66" s="1" t="s">
        <v>221</v>
      </c>
    </row>
    <row r="67" spans="1:7">
      <c r="A67" s="1">
        <v>186</v>
      </c>
      <c r="B67" s="1" t="s">
        <v>222</v>
      </c>
      <c r="D67" s="1" t="s">
        <v>184</v>
      </c>
      <c r="E67" s="1" t="s">
        <v>223</v>
      </c>
      <c r="F67" s="1" t="s">
        <v>224</v>
      </c>
      <c r="G67" s="1" t="s">
        <v>225</v>
      </c>
    </row>
    <row r="68" spans="1:7">
      <c r="A68" s="1">
        <v>187</v>
      </c>
      <c r="B68" s="1" t="s">
        <v>226</v>
      </c>
      <c r="D68" s="1" t="s">
        <v>184</v>
      </c>
      <c r="E68" s="1" t="s">
        <v>227</v>
      </c>
      <c r="F68" s="1" t="s">
        <v>228</v>
      </c>
      <c r="G68" s="1" t="s">
        <v>229</v>
      </c>
    </row>
    <row r="69" spans="1:7">
      <c r="A69" s="1">
        <v>188</v>
      </c>
      <c r="B69" s="1" t="s">
        <v>230</v>
      </c>
      <c r="D69" s="1" t="s">
        <v>184</v>
      </c>
      <c r="E69" s="1" t="s">
        <v>231</v>
      </c>
      <c r="F69" s="1" t="s">
        <v>232</v>
      </c>
      <c r="G69" s="1" t="s">
        <v>233</v>
      </c>
    </row>
    <row r="70" spans="1:7">
      <c r="A70" s="1">
        <v>189</v>
      </c>
      <c r="B70" s="1" t="s">
        <v>234</v>
      </c>
      <c r="D70" s="1" t="s">
        <v>184</v>
      </c>
      <c r="E70" s="1" t="s">
        <v>235</v>
      </c>
      <c r="F70" s="1" t="s">
        <v>236</v>
      </c>
      <c r="G70" s="1" t="s">
        <v>237</v>
      </c>
    </row>
    <row r="71" spans="1:7">
      <c r="A71" s="1">
        <v>190</v>
      </c>
      <c r="B71" s="1" t="s">
        <v>238</v>
      </c>
      <c r="D71" s="1" t="s">
        <v>184</v>
      </c>
      <c r="E71" s="1" t="s">
        <v>239</v>
      </c>
      <c r="F71" s="1" t="s">
        <v>240</v>
      </c>
      <c r="G71" s="1" t="s">
        <v>241</v>
      </c>
    </row>
    <row r="72" spans="1:7">
      <c r="A72" s="1">
        <v>191</v>
      </c>
      <c r="B72" s="1" t="s">
        <v>242</v>
      </c>
      <c r="D72" s="1" t="s">
        <v>184</v>
      </c>
      <c r="E72" s="1" t="s">
        <v>243</v>
      </c>
      <c r="F72" s="1" t="s">
        <v>244</v>
      </c>
      <c r="G72" s="1" t="s">
        <v>245</v>
      </c>
    </row>
    <row r="73" spans="1:7">
      <c r="A73" s="1">
        <v>192</v>
      </c>
      <c r="B73" s="1" t="s">
        <v>246</v>
      </c>
      <c r="D73" s="1" t="s">
        <v>184</v>
      </c>
      <c r="E73" s="1" t="s">
        <v>247</v>
      </c>
      <c r="F73" s="1" t="s">
        <v>248</v>
      </c>
      <c r="G73" s="1" t="s">
        <v>249</v>
      </c>
    </row>
    <row r="74" spans="1:7">
      <c r="A74" s="1">
        <v>193</v>
      </c>
      <c r="B74" s="1" t="s">
        <v>250</v>
      </c>
      <c r="D74" s="1" t="s">
        <v>184</v>
      </c>
      <c r="E74" s="1" t="s">
        <v>251</v>
      </c>
      <c r="F74" s="1" t="s">
        <v>252</v>
      </c>
      <c r="G74" s="1" t="s">
        <v>253</v>
      </c>
    </row>
    <row r="75" spans="1:7">
      <c r="A75" s="1">
        <v>194</v>
      </c>
      <c r="B75" s="1" t="s">
        <v>254</v>
      </c>
      <c r="D75" s="1" t="s">
        <v>255</v>
      </c>
      <c r="E75" s="1" t="s">
        <v>256</v>
      </c>
      <c r="F75" s="1" t="s">
        <v>257</v>
      </c>
      <c r="G75" s="1" t="s">
        <v>258</v>
      </c>
    </row>
    <row r="76" spans="1:7">
      <c r="A76" s="1">
        <v>196</v>
      </c>
      <c r="B76" s="1" t="s">
        <v>259</v>
      </c>
      <c r="D76" s="1" t="s">
        <v>260</v>
      </c>
      <c r="E76" s="1" t="s">
        <v>261</v>
      </c>
      <c r="F76" s="1" t="s">
        <v>262</v>
      </c>
      <c r="G76" s="1" t="s">
        <v>263</v>
      </c>
    </row>
    <row r="77" spans="1:7">
      <c r="A77" s="1">
        <v>197</v>
      </c>
      <c r="B77" s="1" t="s">
        <v>264</v>
      </c>
      <c r="D77" s="1" t="s">
        <v>260</v>
      </c>
      <c r="E77" s="1" t="s">
        <v>265</v>
      </c>
      <c r="F77" s="1" t="s">
        <v>266</v>
      </c>
      <c r="G77" s="1" t="s">
        <v>267</v>
      </c>
    </row>
    <row r="78" spans="1:7">
      <c r="A78" s="1">
        <v>198</v>
      </c>
      <c r="B78" s="1" t="s">
        <v>268</v>
      </c>
      <c r="D78" s="1" t="s">
        <v>260</v>
      </c>
      <c r="E78" s="1" t="s">
        <v>269</v>
      </c>
      <c r="F78" s="1" t="s">
        <v>270</v>
      </c>
      <c r="G78" s="1" t="s">
        <v>271</v>
      </c>
    </row>
    <row r="79" spans="1:7">
      <c r="A79" s="1">
        <v>199</v>
      </c>
      <c r="B79" s="1" t="s">
        <v>272</v>
      </c>
      <c r="D79" s="1" t="s">
        <v>260</v>
      </c>
      <c r="E79" s="1" t="s">
        <v>273</v>
      </c>
      <c r="F79" s="1" t="s">
        <v>274</v>
      </c>
      <c r="G79" s="1" t="s">
        <v>275</v>
      </c>
    </row>
    <row r="80" spans="1:7">
      <c r="A80" s="1">
        <v>200</v>
      </c>
      <c r="B80" s="1" t="s">
        <v>276</v>
      </c>
      <c r="D80" s="1" t="s">
        <v>260</v>
      </c>
      <c r="E80" s="1" t="s">
        <v>277</v>
      </c>
      <c r="F80" s="1" t="s">
        <v>278</v>
      </c>
      <c r="G80" s="1" t="s">
        <v>279</v>
      </c>
    </row>
    <row r="81" spans="1:7">
      <c r="A81" s="1">
        <v>201</v>
      </c>
      <c r="B81" s="1" t="s">
        <v>280</v>
      </c>
      <c r="D81" s="1" t="s">
        <v>260</v>
      </c>
      <c r="E81" s="1" t="s">
        <v>281</v>
      </c>
      <c r="F81" s="1" t="s">
        <v>282</v>
      </c>
      <c r="G81" s="1" t="s">
        <v>283</v>
      </c>
    </row>
    <row r="82" spans="1:7">
      <c r="A82" s="1">
        <v>202</v>
      </c>
      <c r="B82" s="1" t="s">
        <v>284</v>
      </c>
      <c r="D82" s="1" t="s">
        <v>260</v>
      </c>
      <c r="E82" s="1" t="s">
        <v>285</v>
      </c>
      <c r="F82" s="1" t="s">
        <v>286</v>
      </c>
      <c r="G82" s="1" t="s">
        <v>287</v>
      </c>
    </row>
    <row r="83" spans="1:7">
      <c r="A83" s="1">
        <v>203</v>
      </c>
      <c r="B83" s="1" t="s">
        <v>288</v>
      </c>
      <c r="D83" s="1" t="s">
        <v>289</v>
      </c>
      <c r="E83" s="1" t="s">
        <v>290</v>
      </c>
      <c r="F83" s="1" t="s">
        <v>161</v>
      </c>
      <c r="G83" s="1" t="s">
        <v>162</v>
      </c>
    </row>
    <row r="84" spans="1:7">
      <c r="A84" s="1">
        <v>205</v>
      </c>
      <c r="B84" s="1" t="s">
        <v>291</v>
      </c>
      <c r="D84" s="1" t="s">
        <v>289</v>
      </c>
      <c r="E84" s="1" t="s">
        <v>292</v>
      </c>
      <c r="F84" s="1" t="s">
        <v>165</v>
      </c>
      <c r="G84" s="1" t="s">
        <v>166</v>
      </c>
    </row>
    <row r="85" spans="1:7">
      <c r="A85" s="1">
        <v>208</v>
      </c>
      <c r="B85" s="1" t="s">
        <v>293</v>
      </c>
      <c r="D85" s="1" t="s">
        <v>289</v>
      </c>
      <c r="E85" s="1" t="s">
        <v>294</v>
      </c>
      <c r="F85" s="1" t="s">
        <v>169</v>
      </c>
      <c r="G85" s="1" t="s">
        <v>170</v>
      </c>
    </row>
    <row r="86" spans="1:7">
      <c r="A86" s="1">
        <v>210</v>
      </c>
      <c r="B86" s="1" t="s">
        <v>295</v>
      </c>
      <c r="D86" s="1" t="s">
        <v>289</v>
      </c>
      <c r="E86" s="1" t="s">
        <v>296</v>
      </c>
      <c r="F86" s="1" t="s">
        <v>297</v>
      </c>
      <c r="G86" s="1" t="s">
        <v>298</v>
      </c>
    </row>
    <row r="87" spans="1:7">
      <c r="A87" s="1">
        <v>211</v>
      </c>
      <c r="B87" s="1" t="s">
        <v>299</v>
      </c>
      <c r="D87" s="1" t="s">
        <v>289</v>
      </c>
      <c r="E87" s="1" t="s">
        <v>300</v>
      </c>
      <c r="F87" s="1" t="s">
        <v>301</v>
      </c>
      <c r="G87" s="1" t="s">
        <v>302</v>
      </c>
    </row>
    <row r="88" spans="1:7">
      <c r="A88" s="1">
        <v>212</v>
      </c>
      <c r="B88" s="1" t="s">
        <v>303</v>
      </c>
      <c r="D88" s="1" t="s">
        <v>289</v>
      </c>
      <c r="E88" s="1" t="s">
        <v>304</v>
      </c>
      <c r="F88" s="1" t="s">
        <v>305</v>
      </c>
      <c r="G88" s="1" t="s">
        <v>306</v>
      </c>
    </row>
    <row r="89" spans="1:7">
      <c r="A89" s="1">
        <v>213</v>
      </c>
      <c r="B89" s="1" t="s">
        <v>307</v>
      </c>
      <c r="D89" s="1" t="s">
        <v>289</v>
      </c>
      <c r="E89" s="1" t="s">
        <v>308</v>
      </c>
      <c r="F89" s="1" t="s">
        <v>309</v>
      </c>
      <c r="G89" s="1" t="s">
        <v>310</v>
      </c>
    </row>
    <row r="90" spans="1:7">
      <c r="A90" s="1">
        <v>214</v>
      </c>
      <c r="B90" s="1" t="s">
        <v>311</v>
      </c>
      <c r="D90" s="1" t="s">
        <v>289</v>
      </c>
      <c r="E90" s="1" t="s">
        <v>312</v>
      </c>
      <c r="F90" s="1" t="s">
        <v>313</v>
      </c>
      <c r="G90" s="1" t="s">
        <v>314</v>
      </c>
    </row>
    <row r="91" spans="1:7">
      <c r="A91" s="1">
        <v>215</v>
      </c>
      <c r="B91" s="1" t="s">
        <v>315</v>
      </c>
      <c r="D91" s="1" t="s">
        <v>289</v>
      </c>
      <c r="E91" s="1" t="s">
        <v>316</v>
      </c>
      <c r="F91" s="1" t="s">
        <v>317</v>
      </c>
      <c r="G91" s="1" t="s">
        <v>318</v>
      </c>
    </row>
    <row r="92" spans="1:7">
      <c r="A92" s="1">
        <v>216</v>
      </c>
      <c r="B92" s="1" t="s">
        <v>319</v>
      </c>
      <c r="D92" s="1" t="s">
        <v>289</v>
      </c>
      <c r="E92" s="1" t="s">
        <v>320</v>
      </c>
      <c r="F92" s="1" t="s">
        <v>321</v>
      </c>
      <c r="G92" s="1" t="s">
        <v>322</v>
      </c>
    </row>
    <row r="93" spans="1:7">
      <c r="A93" s="1">
        <v>218</v>
      </c>
      <c r="B93" s="1" t="s">
        <v>323</v>
      </c>
      <c r="D93" s="1" t="s">
        <v>289</v>
      </c>
      <c r="E93" s="1" t="s">
        <v>324</v>
      </c>
      <c r="F93" s="1" t="s">
        <v>325</v>
      </c>
      <c r="G93" s="1" t="s">
        <v>326</v>
      </c>
    </row>
    <row r="94" spans="1:7">
      <c r="A94" s="1">
        <v>219</v>
      </c>
      <c r="B94" s="1" t="s">
        <v>327</v>
      </c>
      <c r="D94" s="1" t="s">
        <v>289</v>
      </c>
      <c r="E94" s="1" t="s">
        <v>328</v>
      </c>
      <c r="F94" s="1" t="s">
        <v>329</v>
      </c>
      <c r="G94" s="1" t="s">
        <v>330</v>
      </c>
    </row>
    <row r="95" spans="1:7">
      <c r="A95" s="1">
        <v>220</v>
      </c>
      <c r="B95" s="1" t="s">
        <v>331</v>
      </c>
      <c r="D95" s="1" t="s">
        <v>289</v>
      </c>
      <c r="E95" s="1" t="s">
        <v>332</v>
      </c>
      <c r="F95" s="1" t="s">
        <v>333</v>
      </c>
      <c r="G95" s="1" t="s">
        <v>334</v>
      </c>
    </row>
    <row r="96" spans="1:7">
      <c r="A96" s="1">
        <v>221</v>
      </c>
      <c r="B96" s="1" t="s">
        <v>335</v>
      </c>
      <c r="D96" s="1" t="s">
        <v>289</v>
      </c>
      <c r="E96" s="1" t="s">
        <v>336</v>
      </c>
      <c r="F96" s="1" t="s">
        <v>337</v>
      </c>
      <c r="G96" s="1" t="s">
        <v>338</v>
      </c>
    </row>
    <row r="97" spans="1:7">
      <c r="A97" s="1">
        <v>222</v>
      </c>
      <c r="B97" s="1" t="s">
        <v>339</v>
      </c>
      <c r="D97" s="1" t="s">
        <v>289</v>
      </c>
      <c r="E97" s="1" t="s">
        <v>340</v>
      </c>
      <c r="F97" s="1" t="s">
        <v>341</v>
      </c>
      <c r="G97" s="1" t="s">
        <v>342</v>
      </c>
    </row>
    <row r="98" spans="1:7">
      <c r="A98" s="1">
        <v>223</v>
      </c>
      <c r="B98" s="1" t="s">
        <v>343</v>
      </c>
      <c r="D98" s="1" t="s">
        <v>289</v>
      </c>
      <c r="E98" s="1" t="s">
        <v>344</v>
      </c>
      <c r="F98" s="1" t="s">
        <v>345</v>
      </c>
      <c r="G98" s="1" t="s">
        <v>346</v>
      </c>
    </row>
    <row r="99" spans="1:7">
      <c r="A99" s="1">
        <v>224</v>
      </c>
      <c r="B99" s="1" t="s">
        <v>347</v>
      </c>
      <c r="D99" s="1" t="s">
        <v>289</v>
      </c>
      <c r="E99" s="1" t="s">
        <v>348</v>
      </c>
      <c r="F99" s="1" t="s">
        <v>349</v>
      </c>
      <c r="G99" s="1" t="s">
        <v>350</v>
      </c>
    </row>
    <row r="100" spans="1:7">
      <c r="A100" s="1">
        <v>225</v>
      </c>
      <c r="B100" s="1" t="s">
        <v>351</v>
      </c>
      <c r="D100" s="1" t="s">
        <v>289</v>
      </c>
      <c r="E100" s="1" t="s">
        <v>352</v>
      </c>
      <c r="F100" s="1" t="s">
        <v>353</v>
      </c>
      <c r="G100" s="1" t="s">
        <v>354</v>
      </c>
    </row>
    <row r="101" spans="1:7">
      <c r="A101" s="1">
        <v>226</v>
      </c>
      <c r="B101" s="1" t="s">
        <v>355</v>
      </c>
      <c r="D101" s="1" t="s">
        <v>356</v>
      </c>
      <c r="E101" s="1" t="s">
        <v>357</v>
      </c>
      <c r="F101" s="1" t="s">
        <v>358</v>
      </c>
      <c r="G101" s="1" t="s">
        <v>359</v>
      </c>
    </row>
    <row r="102" spans="1:7">
      <c r="A102" s="1">
        <v>227</v>
      </c>
      <c r="B102" s="1" t="s">
        <v>360</v>
      </c>
      <c r="D102" s="1" t="s">
        <v>356</v>
      </c>
      <c r="E102" s="1" t="s">
        <v>361</v>
      </c>
      <c r="F102" s="1" t="s">
        <v>362</v>
      </c>
      <c r="G102" s="1" t="s">
        <v>363</v>
      </c>
    </row>
    <row r="103" spans="1:7">
      <c r="A103" s="1">
        <v>229</v>
      </c>
      <c r="B103" s="1" t="s">
        <v>364</v>
      </c>
      <c r="D103" s="1" t="s">
        <v>356</v>
      </c>
      <c r="E103" s="1" t="s">
        <v>365</v>
      </c>
      <c r="F103" s="1" t="s">
        <v>366</v>
      </c>
      <c r="G103" s="1" t="s">
        <v>367</v>
      </c>
    </row>
    <row r="104" spans="1:7">
      <c r="A104" s="1">
        <v>231</v>
      </c>
      <c r="B104" s="1" t="s">
        <v>368</v>
      </c>
      <c r="D104" s="1" t="s">
        <v>356</v>
      </c>
      <c r="E104" s="1" t="s">
        <v>369</v>
      </c>
      <c r="F104" s="1" t="s">
        <v>370</v>
      </c>
      <c r="G104" s="1" t="s">
        <v>371</v>
      </c>
    </row>
    <row r="105" spans="1:7">
      <c r="A105" s="1">
        <v>233</v>
      </c>
      <c r="B105" s="1" t="s">
        <v>372</v>
      </c>
      <c r="D105" s="1" t="s">
        <v>373</v>
      </c>
      <c r="E105" s="1" t="s">
        <v>374</v>
      </c>
      <c r="F105" s="1" t="s">
        <v>375</v>
      </c>
      <c r="G105" s="1" t="s">
        <v>376</v>
      </c>
    </row>
    <row r="106" spans="1:7">
      <c r="A106" s="1">
        <v>234</v>
      </c>
      <c r="B106" s="1" t="s">
        <v>377</v>
      </c>
      <c r="D106" s="1" t="s">
        <v>373</v>
      </c>
      <c r="E106" s="1" t="s">
        <v>378</v>
      </c>
      <c r="F106" s="1" t="s">
        <v>379</v>
      </c>
      <c r="G106" s="1" t="s">
        <v>380</v>
      </c>
    </row>
    <row r="107" spans="1:7">
      <c r="A107" s="1">
        <v>235</v>
      </c>
      <c r="B107" s="1" t="s">
        <v>381</v>
      </c>
      <c r="D107" s="1" t="s">
        <v>373</v>
      </c>
      <c r="E107" s="1" t="s">
        <v>382</v>
      </c>
      <c r="F107" s="1" t="s">
        <v>383</v>
      </c>
      <c r="G107" s="1" t="s">
        <v>384</v>
      </c>
    </row>
    <row r="108" spans="1:7">
      <c r="A108" s="1">
        <v>236</v>
      </c>
      <c r="B108" s="1" t="s">
        <v>385</v>
      </c>
      <c r="D108" s="1" t="s">
        <v>386</v>
      </c>
      <c r="E108" s="1" t="s">
        <v>387</v>
      </c>
      <c r="F108" s="1" t="s">
        <v>161</v>
      </c>
      <c r="G108" s="1" t="s">
        <v>162</v>
      </c>
    </row>
    <row r="109" spans="1:7">
      <c r="A109" s="1">
        <v>237</v>
      </c>
      <c r="B109" s="1" t="s">
        <v>388</v>
      </c>
      <c r="D109" s="1" t="s">
        <v>386</v>
      </c>
      <c r="E109" s="1" t="s">
        <v>389</v>
      </c>
      <c r="F109" s="1" t="s">
        <v>165</v>
      </c>
      <c r="G109" s="1" t="s">
        <v>166</v>
      </c>
    </row>
    <row r="110" spans="1:7">
      <c r="A110" s="1">
        <v>244</v>
      </c>
      <c r="B110" s="1" t="s">
        <v>390</v>
      </c>
      <c r="D110" s="1" t="s">
        <v>386</v>
      </c>
      <c r="E110" s="1" t="s">
        <v>391</v>
      </c>
      <c r="F110" s="1" t="s">
        <v>392</v>
      </c>
      <c r="G110" s="1" t="s">
        <v>393</v>
      </c>
    </row>
    <row r="111" spans="1:7">
      <c r="A111" s="1">
        <v>245</v>
      </c>
      <c r="B111" s="1" t="s">
        <v>394</v>
      </c>
      <c r="D111" s="1" t="s">
        <v>386</v>
      </c>
      <c r="E111" s="1" t="s">
        <v>395</v>
      </c>
      <c r="F111" s="1" t="s">
        <v>396</v>
      </c>
      <c r="G111" s="1" t="s">
        <v>397</v>
      </c>
    </row>
    <row r="112" spans="1:7">
      <c r="A112" s="1">
        <v>246</v>
      </c>
      <c r="B112" s="1" t="s">
        <v>398</v>
      </c>
      <c r="D112" s="1" t="s">
        <v>386</v>
      </c>
      <c r="E112" s="1" t="s">
        <v>399</v>
      </c>
      <c r="F112" s="1" t="s">
        <v>400</v>
      </c>
      <c r="G112" s="1" t="s">
        <v>401</v>
      </c>
    </row>
    <row r="113" spans="1:7">
      <c r="A113" s="1">
        <v>247</v>
      </c>
      <c r="B113" s="1" t="s">
        <v>402</v>
      </c>
      <c r="D113" s="1" t="s">
        <v>403</v>
      </c>
      <c r="E113" s="1" t="s">
        <v>404</v>
      </c>
      <c r="F113" s="1" t="s">
        <v>405</v>
      </c>
      <c r="G113" s="1" t="s">
        <v>406</v>
      </c>
    </row>
    <row r="114" spans="1:7">
      <c r="A114" s="1">
        <v>248</v>
      </c>
      <c r="B114" s="1" t="s">
        <v>407</v>
      </c>
      <c r="D114" s="1" t="s">
        <v>403</v>
      </c>
      <c r="E114" s="1" t="s">
        <v>408</v>
      </c>
      <c r="F114" s="1" t="s">
        <v>409</v>
      </c>
      <c r="G114" s="1" t="s">
        <v>410</v>
      </c>
    </row>
    <row r="115" spans="1:7">
      <c r="A115" s="1">
        <v>249</v>
      </c>
      <c r="B115" s="1" t="s">
        <v>411</v>
      </c>
      <c r="D115" s="1" t="s">
        <v>403</v>
      </c>
      <c r="E115" s="1" t="s">
        <v>412</v>
      </c>
      <c r="F115" s="1" t="s">
        <v>413</v>
      </c>
      <c r="G115" s="1" t="s">
        <v>414</v>
      </c>
    </row>
    <row r="116" spans="1:7">
      <c r="A116" s="1">
        <v>252</v>
      </c>
      <c r="B116" s="1" t="s">
        <v>415</v>
      </c>
      <c r="D116" s="1" t="s">
        <v>403</v>
      </c>
      <c r="E116" s="1" t="s">
        <v>416</v>
      </c>
      <c r="F116" s="1" t="s">
        <v>161</v>
      </c>
      <c r="G116" s="1" t="s">
        <v>162</v>
      </c>
    </row>
    <row r="117" spans="1:7">
      <c r="A117" s="1">
        <v>253</v>
      </c>
      <c r="B117" s="1" t="s">
        <v>417</v>
      </c>
      <c r="D117" s="1" t="s">
        <v>403</v>
      </c>
      <c r="E117" s="1" t="s">
        <v>418</v>
      </c>
      <c r="F117" s="1" t="s">
        <v>165</v>
      </c>
      <c r="G117" s="1" t="s">
        <v>166</v>
      </c>
    </row>
    <row r="118" spans="1:7">
      <c r="A118" s="1">
        <v>258</v>
      </c>
      <c r="B118" s="1" t="s">
        <v>419</v>
      </c>
      <c r="D118" s="1" t="s">
        <v>403</v>
      </c>
      <c r="E118" s="1" t="s">
        <v>420</v>
      </c>
      <c r="F118" s="1" t="s">
        <v>421</v>
      </c>
      <c r="G118" s="1" t="s">
        <v>422</v>
      </c>
    </row>
    <row r="119" spans="1:7">
      <c r="A119" s="1">
        <v>259</v>
      </c>
      <c r="B119" s="1" t="s">
        <v>423</v>
      </c>
      <c r="D119" s="1" t="s">
        <v>403</v>
      </c>
      <c r="E119" s="1" t="s">
        <v>424</v>
      </c>
      <c r="F119" s="1" t="s">
        <v>425</v>
      </c>
      <c r="G119" s="1" t="s">
        <v>426</v>
      </c>
    </row>
    <row r="120" spans="1:7">
      <c r="A120" s="1">
        <v>260</v>
      </c>
      <c r="B120" s="1" t="s">
        <v>427</v>
      </c>
      <c r="D120" s="1" t="s">
        <v>403</v>
      </c>
      <c r="E120" s="1" t="s">
        <v>428</v>
      </c>
      <c r="F120" s="1" t="s">
        <v>429</v>
      </c>
      <c r="G120" s="1" t="s">
        <v>430</v>
      </c>
    </row>
    <row r="121" spans="1:7">
      <c r="A121" s="1">
        <v>261</v>
      </c>
      <c r="B121" s="1" t="s">
        <v>431</v>
      </c>
      <c r="D121" s="1" t="s">
        <v>432</v>
      </c>
      <c r="E121" s="1" t="s">
        <v>433</v>
      </c>
      <c r="F121" s="1" t="s">
        <v>161</v>
      </c>
      <c r="G121" s="1" t="s">
        <v>162</v>
      </c>
    </row>
    <row r="122" spans="1:7">
      <c r="A122" s="1">
        <v>262</v>
      </c>
      <c r="B122" s="1" t="s">
        <v>434</v>
      </c>
      <c r="D122" s="1" t="s">
        <v>432</v>
      </c>
      <c r="E122" s="1" t="s">
        <v>435</v>
      </c>
      <c r="F122" s="1" t="s">
        <v>165</v>
      </c>
      <c r="G122" s="1" t="s">
        <v>166</v>
      </c>
    </row>
    <row r="123" spans="1:7">
      <c r="A123" s="1">
        <v>269</v>
      </c>
      <c r="B123" s="1" t="s">
        <v>436</v>
      </c>
      <c r="D123" s="1" t="s">
        <v>432</v>
      </c>
      <c r="E123" s="1" t="s">
        <v>437</v>
      </c>
      <c r="F123" s="1" t="s">
        <v>438</v>
      </c>
      <c r="G123" s="1" t="s">
        <v>439</v>
      </c>
    </row>
    <row r="124" spans="1:7">
      <c r="A124" s="1">
        <v>270</v>
      </c>
      <c r="B124" s="1" t="s">
        <v>440</v>
      </c>
      <c r="D124" s="1" t="s">
        <v>432</v>
      </c>
      <c r="E124" s="1" t="s">
        <v>441</v>
      </c>
      <c r="F124" s="1" t="s">
        <v>421</v>
      </c>
      <c r="G124" s="1" t="s">
        <v>422</v>
      </c>
    </row>
    <row r="125" spans="1:7">
      <c r="A125" s="1">
        <v>271</v>
      </c>
      <c r="B125" s="1" t="s">
        <v>442</v>
      </c>
      <c r="D125" s="1" t="s">
        <v>432</v>
      </c>
      <c r="E125" s="1" t="s">
        <v>443</v>
      </c>
      <c r="F125" s="1" t="s">
        <v>425</v>
      </c>
      <c r="G125" s="1" t="s">
        <v>426</v>
      </c>
    </row>
    <row r="126" spans="1:7">
      <c r="A126" s="1">
        <v>272</v>
      </c>
      <c r="B126" s="1" t="s">
        <v>444</v>
      </c>
      <c r="D126" s="1" t="s">
        <v>432</v>
      </c>
      <c r="E126" s="1" t="s">
        <v>445</v>
      </c>
      <c r="F126" s="1" t="s">
        <v>429</v>
      </c>
      <c r="G126" s="1" t="s">
        <v>430</v>
      </c>
    </row>
    <row r="127" spans="1:7">
      <c r="A127" s="1">
        <v>277</v>
      </c>
      <c r="B127" s="1" t="s">
        <v>446</v>
      </c>
      <c r="D127" s="1" t="s">
        <v>447</v>
      </c>
      <c r="E127" s="1" t="s">
        <v>448</v>
      </c>
      <c r="F127" s="1" t="s">
        <v>449</v>
      </c>
      <c r="G127" s="1" t="s">
        <v>450</v>
      </c>
    </row>
    <row r="128" spans="1:7">
      <c r="A128" s="1">
        <v>278</v>
      </c>
      <c r="B128" s="1" t="s">
        <v>451</v>
      </c>
      <c r="D128" s="1" t="s">
        <v>447</v>
      </c>
      <c r="E128" s="1" t="s">
        <v>452</v>
      </c>
      <c r="F128" s="1" t="s">
        <v>453</v>
      </c>
      <c r="G128" s="1" t="s">
        <v>454</v>
      </c>
    </row>
    <row r="129" spans="1:7">
      <c r="A129" s="1">
        <v>279</v>
      </c>
      <c r="B129" s="1" t="s">
        <v>455</v>
      </c>
      <c r="D129" s="1" t="s">
        <v>447</v>
      </c>
      <c r="E129" s="1" t="s">
        <v>456</v>
      </c>
      <c r="F129" s="1" t="s">
        <v>457</v>
      </c>
      <c r="G129" s="1" t="s">
        <v>458</v>
      </c>
    </row>
    <row r="130" spans="1:7">
      <c r="A130" s="1">
        <v>280</v>
      </c>
      <c r="B130" s="1" t="s">
        <v>459</v>
      </c>
      <c r="D130" s="1" t="s">
        <v>447</v>
      </c>
      <c r="E130" s="1" t="s">
        <v>460</v>
      </c>
      <c r="F130" s="1" t="s">
        <v>461</v>
      </c>
      <c r="G130" s="1" t="s">
        <v>462</v>
      </c>
    </row>
    <row r="131" spans="1:7">
      <c r="A131" s="1">
        <v>281</v>
      </c>
      <c r="B131" s="1" t="s">
        <v>463</v>
      </c>
      <c r="D131" s="1" t="s">
        <v>447</v>
      </c>
      <c r="E131" s="1" t="s">
        <v>464</v>
      </c>
      <c r="F131" s="1" t="s">
        <v>465</v>
      </c>
      <c r="G131" s="1" t="s">
        <v>466</v>
      </c>
    </row>
    <row r="132" spans="1:7">
      <c r="A132" s="1">
        <v>282</v>
      </c>
      <c r="B132" s="1" t="s">
        <v>467</v>
      </c>
      <c r="D132" s="1" t="s">
        <v>447</v>
      </c>
      <c r="E132" s="1" t="s">
        <v>468</v>
      </c>
      <c r="F132" s="1" t="s">
        <v>469</v>
      </c>
      <c r="G132" s="1" t="s">
        <v>470</v>
      </c>
    </row>
    <row r="133" spans="1:7">
      <c r="A133" s="1">
        <v>283</v>
      </c>
      <c r="B133" s="1" t="s">
        <v>471</v>
      </c>
      <c r="D133" s="1" t="s">
        <v>472</v>
      </c>
      <c r="E133" s="1" t="s">
        <v>473</v>
      </c>
      <c r="F133" s="1" t="s">
        <v>474</v>
      </c>
      <c r="G133" s="1" t="s">
        <v>475</v>
      </c>
    </row>
    <row r="134" spans="1:7">
      <c r="A134" s="1">
        <v>285</v>
      </c>
      <c r="B134" s="1" t="s">
        <v>476</v>
      </c>
      <c r="D134" s="1" t="s">
        <v>472</v>
      </c>
      <c r="E134" s="1" t="s">
        <v>477</v>
      </c>
      <c r="F134" s="1" t="s">
        <v>478</v>
      </c>
      <c r="G134" s="1" t="s">
        <v>479</v>
      </c>
    </row>
    <row r="135" spans="1:7">
      <c r="A135" s="1">
        <v>286</v>
      </c>
      <c r="B135" s="1" t="s">
        <v>480</v>
      </c>
      <c r="D135" s="1" t="s">
        <v>472</v>
      </c>
      <c r="E135" s="1" t="s">
        <v>481</v>
      </c>
      <c r="F135" s="1" t="s">
        <v>482</v>
      </c>
      <c r="G135" s="1" t="s">
        <v>483</v>
      </c>
    </row>
    <row r="136" spans="1:7">
      <c r="A136" s="1">
        <v>291</v>
      </c>
      <c r="B136" s="1" t="s">
        <v>484</v>
      </c>
      <c r="D136" s="1" t="s">
        <v>472</v>
      </c>
      <c r="E136" s="1" t="s">
        <v>485</v>
      </c>
      <c r="F136" s="1" t="s">
        <v>486</v>
      </c>
      <c r="G136" s="1" t="s">
        <v>487</v>
      </c>
    </row>
    <row r="137" spans="1:7">
      <c r="A137" s="1">
        <v>292</v>
      </c>
      <c r="B137" s="1" t="s">
        <v>488</v>
      </c>
      <c r="D137" s="1" t="s">
        <v>472</v>
      </c>
      <c r="E137" s="1" t="s">
        <v>489</v>
      </c>
      <c r="F137" s="1" t="s">
        <v>490</v>
      </c>
      <c r="G137" s="1" t="s">
        <v>491</v>
      </c>
    </row>
    <row r="138" spans="1:7">
      <c r="A138" s="1">
        <v>293</v>
      </c>
      <c r="B138" s="1" t="s">
        <v>492</v>
      </c>
      <c r="D138" s="1" t="s">
        <v>472</v>
      </c>
      <c r="E138" s="1" t="s">
        <v>493</v>
      </c>
      <c r="F138" s="1" t="s">
        <v>494</v>
      </c>
      <c r="G138" s="1" t="s">
        <v>495</v>
      </c>
    </row>
    <row r="139" spans="1:7">
      <c r="A139" s="1">
        <v>294</v>
      </c>
      <c r="B139" s="1" t="s">
        <v>496</v>
      </c>
      <c r="D139" s="1" t="s">
        <v>472</v>
      </c>
      <c r="E139" s="1" t="s">
        <v>497</v>
      </c>
      <c r="F139" s="1" t="s">
        <v>498</v>
      </c>
      <c r="G139" s="1" t="s">
        <v>499</v>
      </c>
    </row>
    <row r="140" spans="1:7">
      <c r="A140" s="1">
        <v>295</v>
      </c>
      <c r="B140" s="1" t="s">
        <v>500</v>
      </c>
      <c r="D140" s="1" t="s">
        <v>472</v>
      </c>
      <c r="E140" s="1" t="s">
        <v>501</v>
      </c>
      <c r="F140" s="1" t="s">
        <v>502</v>
      </c>
      <c r="G140" s="1" t="s">
        <v>503</v>
      </c>
    </row>
    <row r="141" spans="1:7">
      <c r="A141" s="1">
        <v>296</v>
      </c>
      <c r="B141" s="1" t="s">
        <v>504</v>
      </c>
      <c r="D141" s="1" t="s">
        <v>472</v>
      </c>
      <c r="E141" s="1" t="s">
        <v>505</v>
      </c>
      <c r="F141" s="1" t="s">
        <v>506</v>
      </c>
      <c r="G141" s="1" t="s">
        <v>507</v>
      </c>
    </row>
    <row r="142" spans="1:7">
      <c r="A142" s="1">
        <v>298</v>
      </c>
      <c r="B142" s="1" t="s">
        <v>508</v>
      </c>
      <c r="D142" s="1" t="s">
        <v>509</v>
      </c>
      <c r="E142" s="1" t="s">
        <v>510</v>
      </c>
      <c r="F142" s="1" t="s">
        <v>511</v>
      </c>
      <c r="G142" s="1" t="s">
        <v>512</v>
      </c>
    </row>
    <row r="143" spans="1:7">
      <c r="A143" s="1">
        <v>299</v>
      </c>
      <c r="B143" s="1" t="s">
        <v>513</v>
      </c>
      <c r="D143" s="1" t="s">
        <v>509</v>
      </c>
      <c r="E143" s="1" t="s">
        <v>514</v>
      </c>
      <c r="F143" s="1" t="s">
        <v>515</v>
      </c>
      <c r="G143" s="1" t="s">
        <v>516</v>
      </c>
    </row>
    <row r="144" spans="1:7">
      <c r="A144" s="1">
        <v>301</v>
      </c>
      <c r="B144" s="1" t="s">
        <v>517</v>
      </c>
      <c r="D144" s="1" t="s">
        <v>509</v>
      </c>
      <c r="E144" s="1" t="s">
        <v>518</v>
      </c>
      <c r="F144" s="1" t="s">
        <v>519</v>
      </c>
      <c r="G144" s="1" t="s">
        <v>520</v>
      </c>
    </row>
    <row r="145" spans="1:7">
      <c r="A145" s="1">
        <v>306</v>
      </c>
      <c r="B145" s="1" t="s">
        <v>521</v>
      </c>
      <c r="D145" s="1" t="s">
        <v>522</v>
      </c>
      <c r="E145" s="1" t="s">
        <v>523</v>
      </c>
      <c r="F145" s="1" t="s">
        <v>181</v>
      </c>
      <c r="G145" s="1" t="s">
        <v>182</v>
      </c>
    </row>
    <row r="146" spans="1:7">
      <c r="A146" s="1">
        <v>307</v>
      </c>
      <c r="B146" s="1" t="s">
        <v>524</v>
      </c>
      <c r="D146" s="1" t="s">
        <v>522</v>
      </c>
      <c r="E146" s="1" t="s">
        <v>525</v>
      </c>
      <c r="F146" s="1" t="s">
        <v>173</v>
      </c>
      <c r="G146" s="1" t="s">
        <v>174</v>
      </c>
    </row>
    <row r="147" spans="1:7">
      <c r="A147" s="1">
        <v>308</v>
      </c>
      <c r="B147" s="1" t="s">
        <v>526</v>
      </c>
      <c r="D147" s="1" t="s">
        <v>522</v>
      </c>
      <c r="E147" s="1" t="s">
        <v>527</v>
      </c>
      <c r="F147" s="1" t="s">
        <v>177</v>
      </c>
      <c r="G147" s="1" t="s">
        <v>178</v>
      </c>
    </row>
    <row r="148" spans="1:7">
      <c r="A148" s="1">
        <v>309</v>
      </c>
      <c r="B148" s="1" t="s">
        <v>528</v>
      </c>
      <c r="D148" s="1" t="s">
        <v>529</v>
      </c>
      <c r="E148" s="1" t="s">
        <v>530</v>
      </c>
      <c r="F148" s="1" t="s">
        <v>531</v>
      </c>
      <c r="G148" s="1" t="s">
        <v>532</v>
      </c>
    </row>
    <row r="149" spans="1:7">
      <c r="A149" s="1">
        <v>310</v>
      </c>
      <c r="B149" s="1" t="s">
        <v>533</v>
      </c>
      <c r="D149" s="1" t="s">
        <v>534</v>
      </c>
      <c r="E149" s="1" t="s">
        <v>535</v>
      </c>
      <c r="F149" s="1" t="s">
        <v>536</v>
      </c>
      <c r="G149" s="1" t="s">
        <v>537</v>
      </c>
    </row>
    <row r="150" spans="1:7">
      <c r="A150" s="1">
        <v>311</v>
      </c>
      <c r="B150" s="1" t="s">
        <v>538</v>
      </c>
      <c r="D150" s="1" t="s">
        <v>539</v>
      </c>
      <c r="E150" s="1" t="s">
        <v>540</v>
      </c>
      <c r="F150" s="1" t="s">
        <v>541</v>
      </c>
      <c r="G150" s="1" t="s">
        <v>542</v>
      </c>
    </row>
    <row r="151" spans="1:7">
      <c r="A151" s="1">
        <v>312</v>
      </c>
      <c r="B151" s="1" t="s">
        <v>543</v>
      </c>
      <c r="D151" s="1" t="s">
        <v>544</v>
      </c>
      <c r="E151" s="1" t="s">
        <v>545</v>
      </c>
      <c r="F151" s="1" t="s">
        <v>541</v>
      </c>
      <c r="G151" s="1" t="s">
        <v>542</v>
      </c>
    </row>
    <row r="152" spans="1:7">
      <c r="A152" s="1">
        <v>313</v>
      </c>
      <c r="B152" s="1" t="s">
        <v>546</v>
      </c>
      <c r="D152" s="1" t="s">
        <v>544</v>
      </c>
      <c r="E152" s="1" t="s">
        <v>547</v>
      </c>
      <c r="F152" s="1" t="s">
        <v>548</v>
      </c>
      <c r="G152" s="1" t="s">
        <v>549</v>
      </c>
    </row>
    <row r="153" spans="1:7">
      <c r="A153" s="1">
        <v>314</v>
      </c>
      <c r="B153" s="1" t="s">
        <v>550</v>
      </c>
      <c r="D153" s="1" t="s">
        <v>544</v>
      </c>
      <c r="E153" s="1" t="s">
        <v>551</v>
      </c>
      <c r="F153" s="1" t="s">
        <v>552</v>
      </c>
      <c r="G153" s="1" t="s">
        <v>553</v>
      </c>
    </row>
    <row r="154" spans="1:7">
      <c r="A154" s="1">
        <v>316</v>
      </c>
      <c r="B154" s="1" t="s">
        <v>554</v>
      </c>
      <c r="D154" s="1" t="s">
        <v>544</v>
      </c>
      <c r="E154" s="1" t="s">
        <v>555</v>
      </c>
      <c r="F154" s="1" t="s">
        <v>556</v>
      </c>
      <c r="G154" s="1" t="s">
        <v>557</v>
      </c>
    </row>
    <row r="155" spans="1:7">
      <c r="A155" s="1">
        <v>319</v>
      </c>
      <c r="B155" s="1" t="s">
        <v>558</v>
      </c>
      <c r="D155" s="1" t="s">
        <v>544</v>
      </c>
      <c r="E155" s="1" t="s">
        <v>559</v>
      </c>
      <c r="F155" s="1" t="s">
        <v>560</v>
      </c>
      <c r="G155" s="1" t="s">
        <v>561</v>
      </c>
    </row>
    <row r="156" spans="1:7">
      <c r="A156" s="1">
        <v>320</v>
      </c>
      <c r="B156" s="1" t="s">
        <v>562</v>
      </c>
      <c r="D156" s="1" t="s">
        <v>544</v>
      </c>
      <c r="E156" s="1" t="s">
        <v>563</v>
      </c>
      <c r="F156" s="1" t="s">
        <v>169</v>
      </c>
      <c r="G156" s="1" t="s">
        <v>170</v>
      </c>
    </row>
    <row r="157" spans="1:7">
      <c r="A157" s="1">
        <v>323</v>
      </c>
      <c r="B157" s="1" t="s">
        <v>564</v>
      </c>
      <c r="D157" s="1" t="s">
        <v>544</v>
      </c>
      <c r="E157" s="1" t="s">
        <v>565</v>
      </c>
      <c r="F157" s="1" t="s">
        <v>566</v>
      </c>
      <c r="G157" s="1" t="s">
        <v>532</v>
      </c>
    </row>
    <row r="158" spans="1:7">
      <c r="A158" s="1">
        <v>326</v>
      </c>
      <c r="B158" s="1" t="s">
        <v>567</v>
      </c>
      <c r="D158" s="1" t="s">
        <v>544</v>
      </c>
      <c r="E158" s="1" t="s">
        <v>568</v>
      </c>
      <c r="F158" s="1" t="s">
        <v>173</v>
      </c>
      <c r="G158" s="1" t="s">
        <v>174</v>
      </c>
    </row>
    <row r="159" spans="1:7">
      <c r="A159" s="1">
        <v>327</v>
      </c>
      <c r="B159" s="1" t="s">
        <v>569</v>
      </c>
      <c r="D159" s="1" t="s">
        <v>544</v>
      </c>
      <c r="E159" s="1" t="s">
        <v>570</v>
      </c>
      <c r="F159" s="1" t="s">
        <v>177</v>
      </c>
      <c r="G159" s="1" t="s">
        <v>178</v>
      </c>
    </row>
    <row r="160" spans="1:7">
      <c r="A160" s="1">
        <v>328</v>
      </c>
      <c r="B160" s="1" t="s">
        <v>571</v>
      </c>
      <c r="D160" s="1" t="s">
        <v>544</v>
      </c>
      <c r="E160" s="1" t="s">
        <v>572</v>
      </c>
      <c r="F160" s="1" t="s">
        <v>181</v>
      </c>
      <c r="G160" s="1" t="s">
        <v>182</v>
      </c>
    </row>
    <row r="161" spans="1:7">
      <c r="A161" s="1">
        <v>331</v>
      </c>
      <c r="B161" s="1" t="s">
        <v>573</v>
      </c>
      <c r="D161" s="1" t="s">
        <v>574</v>
      </c>
      <c r="E161" s="1" t="s">
        <v>575</v>
      </c>
      <c r="F161" s="1" t="s">
        <v>541</v>
      </c>
      <c r="G161" s="1" t="s">
        <v>542</v>
      </c>
    </row>
    <row r="162" spans="1:7">
      <c r="A162" s="1">
        <v>332</v>
      </c>
      <c r="B162" s="1" t="s">
        <v>576</v>
      </c>
      <c r="D162" s="1" t="s">
        <v>574</v>
      </c>
      <c r="E162" s="1" t="s">
        <v>577</v>
      </c>
      <c r="F162" s="1" t="s">
        <v>548</v>
      </c>
      <c r="G162" s="1" t="s">
        <v>549</v>
      </c>
    </row>
    <row r="163" spans="1:7">
      <c r="A163" s="1">
        <v>333</v>
      </c>
      <c r="B163" s="1" t="s">
        <v>578</v>
      </c>
      <c r="D163" s="1" t="s">
        <v>574</v>
      </c>
      <c r="E163" s="1" t="s">
        <v>579</v>
      </c>
      <c r="F163" s="1" t="s">
        <v>552</v>
      </c>
      <c r="G163" s="1" t="s">
        <v>553</v>
      </c>
    </row>
    <row r="164" spans="1:7">
      <c r="A164" s="1">
        <v>335</v>
      </c>
      <c r="B164" s="1" t="s">
        <v>580</v>
      </c>
      <c r="D164" s="1" t="s">
        <v>574</v>
      </c>
      <c r="E164" s="1" t="s">
        <v>581</v>
      </c>
      <c r="F164" s="1" t="s">
        <v>556</v>
      </c>
      <c r="G164" s="1" t="s">
        <v>557</v>
      </c>
    </row>
    <row r="165" spans="1:7">
      <c r="A165" s="1">
        <v>338</v>
      </c>
      <c r="B165" s="1" t="s">
        <v>582</v>
      </c>
      <c r="D165" s="1" t="s">
        <v>574</v>
      </c>
      <c r="E165" s="1" t="s">
        <v>583</v>
      </c>
      <c r="F165" s="1" t="s">
        <v>560</v>
      </c>
      <c r="G165" s="1" t="s">
        <v>561</v>
      </c>
    </row>
    <row r="166" spans="1:7">
      <c r="A166" s="1">
        <v>339</v>
      </c>
      <c r="B166" s="1" t="s">
        <v>584</v>
      </c>
      <c r="D166" s="1" t="s">
        <v>574</v>
      </c>
      <c r="E166" s="1" t="s">
        <v>585</v>
      </c>
      <c r="F166" s="1" t="s">
        <v>169</v>
      </c>
      <c r="G166" s="1" t="s">
        <v>170</v>
      </c>
    </row>
    <row r="167" spans="1:7">
      <c r="A167" s="1">
        <v>342</v>
      </c>
      <c r="B167" s="1" t="s">
        <v>586</v>
      </c>
      <c r="D167" s="1" t="s">
        <v>574</v>
      </c>
      <c r="E167" s="1" t="s">
        <v>587</v>
      </c>
      <c r="F167" s="1" t="s">
        <v>566</v>
      </c>
      <c r="G167" s="1" t="s">
        <v>532</v>
      </c>
    </row>
    <row r="168" spans="1:7">
      <c r="A168" s="1">
        <v>345</v>
      </c>
      <c r="B168" s="1" t="s">
        <v>588</v>
      </c>
      <c r="D168" s="1" t="s">
        <v>574</v>
      </c>
      <c r="E168" s="1" t="s">
        <v>589</v>
      </c>
      <c r="F168" s="1" t="s">
        <v>173</v>
      </c>
      <c r="G168" s="1" t="s">
        <v>174</v>
      </c>
    </row>
    <row r="169" spans="1:7">
      <c r="A169" s="1">
        <v>346</v>
      </c>
      <c r="B169" s="1" t="s">
        <v>590</v>
      </c>
      <c r="D169" s="1" t="s">
        <v>574</v>
      </c>
      <c r="E169" s="1" t="s">
        <v>591</v>
      </c>
      <c r="F169" s="1" t="s">
        <v>177</v>
      </c>
      <c r="G169" s="1" t="s">
        <v>178</v>
      </c>
    </row>
    <row r="170" spans="1:7">
      <c r="A170" s="1">
        <v>347</v>
      </c>
      <c r="B170" s="1" t="s">
        <v>592</v>
      </c>
      <c r="D170" s="1" t="s">
        <v>574</v>
      </c>
      <c r="E170" s="1" t="s">
        <v>593</v>
      </c>
      <c r="F170" s="1" t="s">
        <v>181</v>
      </c>
      <c r="G170" s="1" t="s">
        <v>182</v>
      </c>
    </row>
    <row r="171" spans="1:7">
      <c r="A171" s="1">
        <v>350</v>
      </c>
      <c r="B171" s="1" t="s">
        <v>594</v>
      </c>
      <c r="D171" s="1" t="s">
        <v>595</v>
      </c>
      <c r="E171" s="1" t="s">
        <v>596</v>
      </c>
      <c r="F171" s="1" t="s">
        <v>541</v>
      </c>
      <c r="G171" s="1" t="s">
        <v>542</v>
      </c>
    </row>
    <row r="172" spans="1:7">
      <c r="A172" s="1">
        <v>351</v>
      </c>
      <c r="B172" s="1" t="s">
        <v>597</v>
      </c>
      <c r="D172" s="1" t="s">
        <v>595</v>
      </c>
      <c r="E172" s="1" t="s">
        <v>598</v>
      </c>
      <c r="F172" s="1" t="s">
        <v>548</v>
      </c>
      <c r="G172" s="1" t="s">
        <v>549</v>
      </c>
    </row>
    <row r="173" spans="1:7">
      <c r="A173" s="1">
        <v>352</v>
      </c>
      <c r="B173" s="1" t="s">
        <v>599</v>
      </c>
      <c r="D173" s="1" t="s">
        <v>595</v>
      </c>
      <c r="E173" s="1" t="s">
        <v>600</v>
      </c>
      <c r="F173" s="1" t="s">
        <v>552</v>
      </c>
      <c r="G173" s="1" t="s">
        <v>553</v>
      </c>
    </row>
    <row r="174" spans="1:7">
      <c r="A174" s="1">
        <v>354</v>
      </c>
      <c r="B174" s="1" t="s">
        <v>601</v>
      </c>
      <c r="D174" s="1" t="s">
        <v>595</v>
      </c>
      <c r="E174" s="1" t="s">
        <v>602</v>
      </c>
      <c r="F174" s="1" t="s">
        <v>556</v>
      </c>
      <c r="G174" s="1" t="s">
        <v>557</v>
      </c>
    </row>
    <row r="175" spans="1:7">
      <c r="A175" s="1">
        <v>357</v>
      </c>
      <c r="B175" s="1" t="s">
        <v>603</v>
      </c>
      <c r="D175" s="1" t="s">
        <v>595</v>
      </c>
      <c r="E175" s="1" t="s">
        <v>604</v>
      </c>
      <c r="F175" s="1" t="s">
        <v>560</v>
      </c>
      <c r="G175" s="1" t="s">
        <v>561</v>
      </c>
    </row>
    <row r="176" spans="1:7">
      <c r="A176" s="1">
        <v>358</v>
      </c>
      <c r="B176" s="1" t="s">
        <v>605</v>
      </c>
      <c r="D176" s="1" t="s">
        <v>595</v>
      </c>
      <c r="E176" s="1" t="s">
        <v>606</v>
      </c>
      <c r="F176" s="1" t="s">
        <v>169</v>
      </c>
      <c r="G176" s="1" t="s">
        <v>170</v>
      </c>
    </row>
    <row r="177" spans="1:7">
      <c r="A177" s="1">
        <v>361</v>
      </c>
      <c r="B177" s="1" t="s">
        <v>607</v>
      </c>
      <c r="D177" s="1" t="s">
        <v>595</v>
      </c>
      <c r="E177" s="1" t="s">
        <v>608</v>
      </c>
      <c r="F177" s="1" t="s">
        <v>566</v>
      </c>
      <c r="G177" s="1" t="s">
        <v>532</v>
      </c>
    </row>
    <row r="178" spans="1:7">
      <c r="A178" s="1">
        <v>364</v>
      </c>
      <c r="B178" s="1" t="s">
        <v>609</v>
      </c>
      <c r="D178" s="1" t="s">
        <v>595</v>
      </c>
      <c r="E178" s="1" t="s">
        <v>610</v>
      </c>
      <c r="F178" s="1" t="s">
        <v>173</v>
      </c>
      <c r="G178" s="1" t="s">
        <v>174</v>
      </c>
    </row>
    <row r="179" spans="1:7">
      <c r="A179" s="1">
        <v>365</v>
      </c>
      <c r="B179" s="1" t="s">
        <v>611</v>
      </c>
      <c r="D179" s="1" t="s">
        <v>595</v>
      </c>
      <c r="E179" s="1" t="s">
        <v>612</v>
      </c>
      <c r="F179" s="1" t="s">
        <v>177</v>
      </c>
      <c r="G179" s="1" t="s">
        <v>178</v>
      </c>
    </row>
    <row r="180" spans="1:7">
      <c r="A180" s="1">
        <v>366</v>
      </c>
      <c r="B180" s="1" t="s">
        <v>613</v>
      </c>
      <c r="D180" s="1" t="s">
        <v>595</v>
      </c>
      <c r="E180" s="1" t="s">
        <v>614</v>
      </c>
      <c r="F180" s="1" t="s">
        <v>181</v>
      </c>
      <c r="G180" s="1" t="s">
        <v>182</v>
      </c>
    </row>
    <row r="181" spans="1:7">
      <c r="A181" s="1">
        <v>369</v>
      </c>
      <c r="B181" s="1" t="s">
        <v>615</v>
      </c>
      <c r="D181" s="1" t="s">
        <v>616</v>
      </c>
      <c r="E181" s="1" t="s">
        <v>617</v>
      </c>
      <c r="F181" s="1" t="s">
        <v>541</v>
      </c>
      <c r="G181" s="1" t="s">
        <v>542</v>
      </c>
    </row>
    <row r="182" spans="1:7">
      <c r="A182" s="1">
        <v>370</v>
      </c>
      <c r="B182" s="1" t="s">
        <v>618</v>
      </c>
      <c r="D182" s="1" t="s">
        <v>616</v>
      </c>
      <c r="E182" s="1" t="s">
        <v>619</v>
      </c>
      <c r="F182" s="1" t="s">
        <v>548</v>
      </c>
      <c r="G182" s="1" t="s">
        <v>549</v>
      </c>
    </row>
    <row r="183" spans="1:7">
      <c r="A183" s="1">
        <v>371</v>
      </c>
      <c r="B183" s="1" t="s">
        <v>620</v>
      </c>
      <c r="D183" s="1" t="s">
        <v>616</v>
      </c>
      <c r="E183" s="1" t="s">
        <v>621</v>
      </c>
      <c r="F183" s="1" t="s">
        <v>552</v>
      </c>
      <c r="G183" s="1" t="s">
        <v>553</v>
      </c>
    </row>
    <row r="184" spans="1:7">
      <c r="A184" s="1">
        <v>373</v>
      </c>
      <c r="B184" s="1" t="s">
        <v>622</v>
      </c>
      <c r="D184" s="1" t="s">
        <v>616</v>
      </c>
      <c r="E184" s="1" t="s">
        <v>623</v>
      </c>
      <c r="F184" s="1" t="s">
        <v>556</v>
      </c>
      <c r="G184" s="1" t="s">
        <v>557</v>
      </c>
    </row>
    <row r="185" spans="1:7">
      <c r="A185" s="1">
        <v>376</v>
      </c>
      <c r="B185" s="1" t="s">
        <v>624</v>
      </c>
      <c r="D185" s="1" t="s">
        <v>616</v>
      </c>
      <c r="E185" s="1" t="s">
        <v>625</v>
      </c>
      <c r="F185" s="1" t="s">
        <v>560</v>
      </c>
      <c r="G185" s="1" t="s">
        <v>561</v>
      </c>
    </row>
    <row r="186" spans="1:7">
      <c r="A186" s="1">
        <v>377</v>
      </c>
      <c r="B186" s="1" t="s">
        <v>626</v>
      </c>
      <c r="D186" s="1" t="s">
        <v>616</v>
      </c>
      <c r="E186" s="1" t="s">
        <v>627</v>
      </c>
      <c r="F186" s="1" t="s">
        <v>169</v>
      </c>
      <c r="G186" s="1" t="s">
        <v>170</v>
      </c>
    </row>
    <row r="187" spans="1:7">
      <c r="A187" s="1">
        <v>380</v>
      </c>
      <c r="B187" s="1" t="s">
        <v>628</v>
      </c>
      <c r="D187" s="1" t="s">
        <v>616</v>
      </c>
      <c r="E187" s="1" t="s">
        <v>629</v>
      </c>
      <c r="F187" s="1" t="s">
        <v>566</v>
      </c>
      <c r="G187" s="1" t="s">
        <v>532</v>
      </c>
    </row>
    <row r="188" spans="1:7">
      <c r="A188" s="1">
        <v>383</v>
      </c>
      <c r="B188" s="1" t="s">
        <v>630</v>
      </c>
      <c r="D188" s="1" t="s">
        <v>616</v>
      </c>
      <c r="E188" s="1" t="s">
        <v>631</v>
      </c>
      <c r="F188" s="1" t="s">
        <v>173</v>
      </c>
      <c r="G188" s="1" t="s">
        <v>174</v>
      </c>
    </row>
    <row r="189" spans="1:7">
      <c r="A189" s="1">
        <v>384</v>
      </c>
      <c r="B189" s="1" t="s">
        <v>632</v>
      </c>
      <c r="D189" s="1" t="s">
        <v>616</v>
      </c>
      <c r="E189" s="1" t="s">
        <v>633</v>
      </c>
      <c r="F189" s="1" t="s">
        <v>177</v>
      </c>
      <c r="G189" s="1" t="s">
        <v>178</v>
      </c>
    </row>
    <row r="190" spans="1:7">
      <c r="A190" s="1">
        <v>385</v>
      </c>
      <c r="B190" s="1" t="s">
        <v>634</v>
      </c>
      <c r="D190" s="1" t="s">
        <v>616</v>
      </c>
      <c r="E190" s="1" t="s">
        <v>635</v>
      </c>
      <c r="F190" s="1" t="s">
        <v>181</v>
      </c>
      <c r="G190" s="1" t="s">
        <v>182</v>
      </c>
    </row>
    <row r="191" spans="1:7">
      <c r="A191" s="1">
        <v>388</v>
      </c>
      <c r="B191" s="1" t="s">
        <v>636</v>
      </c>
      <c r="D191" s="1" t="s">
        <v>637</v>
      </c>
      <c r="E191" s="1" t="s">
        <v>638</v>
      </c>
      <c r="F191" s="1" t="s">
        <v>541</v>
      </c>
      <c r="G191" s="1" t="s">
        <v>542</v>
      </c>
    </row>
    <row r="192" spans="1:7">
      <c r="A192" s="1">
        <v>389</v>
      </c>
      <c r="B192" s="1" t="s">
        <v>639</v>
      </c>
      <c r="D192" s="1" t="s">
        <v>637</v>
      </c>
      <c r="E192" s="1" t="s">
        <v>640</v>
      </c>
      <c r="F192" s="1" t="s">
        <v>548</v>
      </c>
      <c r="G192" s="1" t="s">
        <v>549</v>
      </c>
    </row>
    <row r="193" spans="1:7">
      <c r="A193" s="1">
        <v>390</v>
      </c>
      <c r="B193" s="1" t="s">
        <v>641</v>
      </c>
      <c r="D193" s="1" t="s">
        <v>637</v>
      </c>
      <c r="E193" s="1" t="s">
        <v>642</v>
      </c>
      <c r="F193" s="1" t="s">
        <v>552</v>
      </c>
      <c r="G193" s="1" t="s">
        <v>553</v>
      </c>
    </row>
    <row r="194" spans="1:7">
      <c r="A194" s="1">
        <v>392</v>
      </c>
      <c r="B194" s="1" t="s">
        <v>643</v>
      </c>
      <c r="D194" s="1" t="s">
        <v>637</v>
      </c>
      <c r="E194" s="1" t="s">
        <v>644</v>
      </c>
      <c r="F194" s="1" t="s">
        <v>556</v>
      </c>
      <c r="G194" s="1" t="s">
        <v>557</v>
      </c>
    </row>
    <row r="195" spans="1:7">
      <c r="A195" s="1">
        <v>395</v>
      </c>
      <c r="B195" s="1" t="s">
        <v>645</v>
      </c>
      <c r="D195" s="1" t="s">
        <v>637</v>
      </c>
      <c r="E195" s="1" t="s">
        <v>646</v>
      </c>
      <c r="F195" s="1" t="s">
        <v>560</v>
      </c>
      <c r="G195" s="1" t="s">
        <v>561</v>
      </c>
    </row>
    <row r="196" spans="1:7">
      <c r="A196" s="1">
        <v>396</v>
      </c>
      <c r="B196" s="1" t="s">
        <v>647</v>
      </c>
      <c r="D196" s="1" t="s">
        <v>637</v>
      </c>
      <c r="E196" s="1" t="s">
        <v>648</v>
      </c>
      <c r="F196" s="1" t="s">
        <v>169</v>
      </c>
      <c r="G196" s="1" t="s">
        <v>170</v>
      </c>
    </row>
    <row r="197" spans="1:7">
      <c r="A197" s="1">
        <v>399</v>
      </c>
      <c r="B197" s="1" t="s">
        <v>649</v>
      </c>
      <c r="D197" s="1" t="s">
        <v>637</v>
      </c>
      <c r="E197" s="1" t="s">
        <v>650</v>
      </c>
      <c r="F197" s="1" t="s">
        <v>566</v>
      </c>
      <c r="G197" s="1" t="s">
        <v>532</v>
      </c>
    </row>
    <row r="198" spans="1:7">
      <c r="A198" s="1">
        <v>402</v>
      </c>
      <c r="B198" s="1" t="s">
        <v>651</v>
      </c>
      <c r="D198" s="1" t="s">
        <v>637</v>
      </c>
      <c r="E198" s="1" t="s">
        <v>652</v>
      </c>
      <c r="F198" s="1" t="s">
        <v>173</v>
      </c>
      <c r="G198" s="1" t="s">
        <v>174</v>
      </c>
    </row>
    <row r="199" spans="1:7">
      <c r="A199" s="1">
        <v>403</v>
      </c>
      <c r="B199" s="1" t="s">
        <v>653</v>
      </c>
      <c r="D199" s="1" t="s">
        <v>637</v>
      </c>
      <c r="E199" s="1" t="s">
        <v>654</v>
      </c>
      <c r="F199" s="1" t="s">
        <v>177</v>
      </c>
      <c r="G199" s="1" t="s">
        <v>178</v>
      </c>
    </row>
    <row r="200" spans="1:7">
      <c r="A200" s="1">
        <v>404</v>
      </c>
      <c r="B200" s="1" t="s">
        <v>655</v>
      </c>
      <c r="D200" s="1" t="s">
        <v>637</v>
      </c>
      <c r="E200" s="1" t="s">
        <v>656</v>
      </c>
      <c r="F200" s="1" t="s">
        <v>181</v>
      </c>
      <c r="G200" s="1" t="s">
        <v>182</v>
      </c>
    </row>
    <row r="201" spans="1:7">
      <c r="A201" s="1">
        <v>407</v>
      </c>
      <c r="B201" s="1" t="s">
        <v>657</v>
      </c>
      <c r="D201" s="1" t="s">
        <v>658</v>
      </c>
      <c r="E201" s="1" t="s">
        <v>659</v>
      </c>
      <c r="F201" s="1" t="s">
        <v>541</v>
      </c>
      <c r="G201" s="1" t="s">
        <v>542</v>
      </c>
    </row>
    <row r="202" spans="1:7">
      <c r="A202" s="1">
        <v>408</v>
      </c>
      <c r="B202" s="1" t="s">
        <v>660</v>
      </c>
      <c r="D202" s="1" t="s">
        <v>658</v>
      </c>
      <c r="E202" s="1" t="s">
        <v>661</v>
      </c>
      <c r="F202" s="1" t="s">
        <v>161</v>
      </c>
      <c r="G202" s="1" t="s">
        <v>162</v>
      </c>
    </row>
    <row r="203" spans="1:7">
      <c r="A203" s="1">
        <v>410</v>
      </c>
      <c r="B203" s="1" t="s">
        <v>662</v>
      </c>
      <c r="D203" s="1" t="s">
        <v>658</v>
      </c>
      <c r="E203" s="1" t="s">
        <v>663</v>
      </c>
      <c r="F203" s="1" t="s">
        <v>165</v>
      </c>
      <c r="G203" s="1" t="s">
        <v>166</v>
      </c>
    </row>
    <row r="204" spans="1:7">
      <c r="A204" s="1">
        <v>413</v>
      </c>
      <c r="B204" s="1" t="s">
        <v>664</v>
      </c>
      <c r="D204" s="1" t="s">
        <v>658</v>
      </c>
      <c r="E204" s="1" t="s">
        <v>665</v>
      </c>
      <c r="F204" s="1" t="s">
        <v>169</v>
      </c>
      <c r="G204" s="1" t="s">
        <v>170</v>
      </c>
    </row>
    <row r="205" spans="1:7">
      <c r="A205" s="1">
        <v>418</v>
      </c>
      <c r="B205" s="1" t="s">
        <v>666</v>
      </c>
      <c r="D205" s="1" t="s">
        <v>658</v>
      </c>
      <c r="E205" s="1" t="s">
        <v>667</v>
      </c>
      <c r="F205" s="1" t="s">
        <v>531</v>
      </c>
      <c r="G205" s="1" t="s">
        <v>532</v>
      </c>
    </row>
    <row r="206" spans="1:7">
      <c r="A206" s="1">
        <v>419</v>
      </c>
      <c r="B206" s="1" t="s">
        <v>668</v>
      </c>
      <c r="D206" s="1" t="s">
        <v>658</v>
      </c>
      <c r="E206" s="1" t="s">
        <v>669</v>
      </c>
      <c r="F206" s="1" t="s">
        <v>173</v>
      </c>
      <c r="G206" s="1" t="s">
        <v>174</v>
      </c>
    </row>
    <row r="207" spans="1:7">
      <c r="A207" s="1">
        <v>420</v>
      </c>
      <c r="B207" s="1" t="s">
        <v>670</v>
      </c>
      <c r="D207" s="1" t="s">
        <v>658</v>
      </c>
      <c r="E207" s="1" t="s">
        <v>671</v>
      </c>
      <c r="F207" s="1" t="s">
        <v>177</v>
      </c>
      <c r="G207" s="1" t="s">
        <v>178</v>
      </c>
    </row>
    <row r="208" spans="1:7">
      <c r="A208" s="1">
        <v>421</v>
      </c>
      <c r="B208" s="1" t="s">
        <v>672</v>
      </c>
      <c r="D208" s="1" t="s">
        <v>658</v>
      </c>
      <c r="E208" s="1" t="s">
        <v>673</v>
      </c>
      <c r="F208" s="1" t="s">
        <v>181</v>
      </c>
      <c r="G208" s="1" t="s">
        <v>182</v>
      </c>
    </row>
    <row r="209" spans="1:7">
      <c r="A209" s="1">
        <v>422</v>
      </c>
      <c r="B209" s="1" t="s">
        <v>674</v>
      </c>
      <c r="D209" s="1" t="s">
        <v>675</v>
      </c>
      <c r="E209" s="1" t="s">
        <v>676</v>
      </c>
      <c r="F209" s="1" t="s">
        <v>169</v>
      </c>
      <c r="G209" s="1" t="s">
        <v>170</v>
      </c>
    </row>
    <row r="210" spans="1:7">
      <c r="A210" s="1">
        <v>427</v>
      </c>
      <c r="B210" s="1" t="s">
        <v>677</v>
      </c>
      <c r="D210" s="1" t="s">
        <v>675</v>
      </c>
      <c r="E210" s="1" t="s">
        <v>678</v>
      </c>
      <c r="F210" s="1" t="s">
        <v>531</v>
      </c>
      <c r="G210" s="1" t="s">
        <v>532</v>
      </c>
    </row>
    <row r="211" spans="1:7">
      <c r="A211" s="1">
        <v>428</v>
      </c>
      <c r="B211" s="1" t="s">
        <v>679</v>
      </c>
      <c r="D211" s="1" t="s">
        <v>675</v>
      </c>
      <c r="E211" s="1" t="s">
        <v>680</v>
      </c>
      <c r="F211" s="1" t="s">
        <v>173</v>
      </c>
      <c r="G211" s="1" t="s">
        <v>174</v>
      </c>
    </row>
    <row r="212" spans="1:7">
      <c r="A212" s="1">
        <v>429</v>
      </c>
      <c r="B212" s="1" t="s">
        <v>681</v>
      </c>
      <c r="D212" s="1" t="s">
        <v>675</v>
      </c>
      <c r="E212" s="1" t="s">
        <v>682</v>
      </c>
      <c r="F212" s="1" t="s">
        <v>177</v>
      </c>
      <c r="G212" s="1" t="s">
        <v>178</v>
      </c>
    </row>
    <row r="213" spans="1:7">
      <c r="A213" s="1">
        <v>430</v>
      </c>
      <c r="B213" s="1" t="s">
        <v>683</v>
      </c>
      <c r="D213" s="1" t="s">
        <v>675</v>
      </c>
      <c r="E213" s="1" t="s">
        <v>684</v>
      </c>
      <c r="F213" s="1" t="s">
        <v>181</v>
      </c>
      <c r="G213" s="1" t="s">
        <v>182</v>
      </c>
    </row>
    <row r="214" spans="1:7">
      <c r="A214" s="1">
        <v>431</v>
      </c>
      <c r="B214" s="1" t="s">
        <v>685</v>
      </c>
      <c r="D214" s="1" t="s">
        <v>686</v>
      </c>
      <c r="E214" s="1" t="s">
        <v>687</v>
      </c>
      <c r="F214" s="1" t="s">
        <v>161</v>
      </c>
      <c r="G214" s="1" t="s">
        <v>162</v>
      </c>
    </row>
    <row r="215" spans="1:7">
      <c r="A215" s="1">
        <v>432</v>
      </c>
      <c r="B215" s="1" t="s">
        <v>688</v>
      </c>
      <c r="D215" s="1" t="s">
        <v>686</v>
      </c>
      <c r="E215" s="1" t="s">
        <v>689</v>
      </c>
      <c r="F215" s="1" t="s">
        <v>165</v>
      </c>
      <c r="G215" s="1" t="s">
        <v>166</v>
      </c>
    </row>
    <row r="216" spans="1:7">
      <c r="A216" s="1">
        <v>435</v>
      </c>
      <c r="B216" s="1" t="s">
        <v>690</v>
      </c>
      <c r="D216" s="1" t="s">
        <v>686</v>
      </c>
      <c r="E216" s="1" t="s">
        <v>691</v>
      </c>
      <c r="F216" s="1" t="s">
        <v>169</v>
      </c>
      <c r="G216" s="1" t="s">
        <v>170</v>
      </c>
    </row>
    <row r="217" spans="1:7">
      <c r="A217" s="1">
        <v>440</v>
      </c>
      <c r="B217" s="1" t="s">
        <v>692</v>
      </c>
      <c r="D217" s="1" t="s">
        <v>686</v>
      </c>
      <c r="E217" s="1" t="s">
        <v>693</v>
      </c>
      <c r="F217" s="1" t="s">
        <v>536</v>
      </c>
      <c r="G217" s="1" t="s">
        <v>537</v>
      </c>
    </row>
    <row r="218" spans="1:7">
      <c r="A218" s="1">
        <v>441</v>
      </c>
      <c r="B218" s="1" t="s">
        <v>694</v>
      </c>
      <c r="D218" s="1" t="s">
        <v>686</v>
      </c>
      <c r="E218" s="1" t="s">
        <v>695</v>
      </c>
      <c r="F218" s="1" t="s">
        <v>531</v>
      </c>
      <c r="G218" s="1" t="s">
        <v>532</v>
      </c>
    </row>
    <row r="219" spans="1:7">
      <c r="A219" s="1">
        <v>442</v>
      </c>
      <c r="B219" s="1" t="s">
        <v>696</v>
      </c>
      <c r="D219" s="1" t="s">
        <v>686</v>
      </c>
      <c r="E219" s="1" t="s">
        <v>697</v>
      </c>
      <c r="F219" s="1" t="s">
        <v>173</v>
      </c>
      <c r="G219" s="1" t="s">
        <v>174</v>
      </c>
    </row>
    <row r="220" spans="1:7">
      <c r="A220" s="1">
        <v>443</v>
      </c>
      <c r="B220" s="1" t="s">
        <v>698</v>
      </c>
      <c r="D220" s="1" t="s">
        <v>686</v>
      </c>
      <c r="E220" s="1" t="s">
        <v>699</v>
      </c>
      <c r="F220" s="1" t="s">
        <v>177</v>
      </c>
      <c r="G220" s="1" t="s">
        <v>178</v>
      </c>
    </row>
    <row r="221" spans="1:7">
      <c r="A221" s="1">
        <v>444</v>
      </c>
      <c r="B221" s="1" t="s">
        <v>700</v>
      </c>
      <c r="D221" s="1" t="s">
        <v>686</v>
      </c>
      <c r="E221" s="1" t="s">
        <v>701</v>
      </c>
      <c r="F221" s="1" t="s">
        <v>181</v>
      </c>
      <c r="G221" s="1" t="s">
        <v>182</v>
      </c>
    </row>
    <row r="222" spans="1:7">
      <c r="A222" s="1">
        <v>445</v>
      </c>
      <c r="B222" s="1" t="s">
        <v>702</v>
      </c>
      <c r="D222" s="1" t="s">
        <v>703</v>
      </c>
      <c r="E222" s="1" t="s">
        <v>704</v>
      </c>
      <c r="F222" s="1" t="s">
        <v>169</v>
      </c>
      <c r="G222" s="1" t="s">
        <v>170</v>
      </c>
    </row>
    <row r="223" spans="1:7">
      <c r="A223" s="1">
        <v>449</v>
      </c>
      <c r="B223" s="1" t="s">
        <v>705</v>
      </c>
      <c r="D223" s="1" t="s">
        <v>706</v>
      </c>
      <c r="E223" s="1" t="s">
        <v>707</v>
      </c>
      <c r="F223" s="1" t="s">
        <v>708</v>
      </c>
      <c r="G223" s="1" t="s">
        <v>709</v>
      </c>
    </row>
    <row r="224" spans="1:7">
      <c r="A224" s="1">
        <v>450</v>
      </c>
      <c r="B224" s="1" t="s">
        <v>710</v>
      </c>
      <c r="D224" s="1" t="s">
        <v>711</v>
      </c>
      <c r="E224" s="1" t="s">
        <v>712</v>
      </c>
      <c r="F224" s="1" t="s">
        <v>541</v>
      </c>
      <c r="G224" s="1" t="s">
        <v>542</v>
      </c>
    </row>
    <row r="225" spans="1:7">
      <c r="A225" s="1">
        <v>451</v>
      </c>
      <c r="B225" s="1" t="s">
        <v>713</v>
      </c>
      <c r="D225" s="1" t="s">
        <v>711</v>
      </c>
      <c r="E225" s="1" t="s">
        <v>714</v>
      </c>
      <c r="F225" s="1" t="s">
        <v>548</v>
      </c>
      <c r="G225" s="1" t="s">
        <v>549</v>
      </c>
    </row>
    <row r="226" spans="1:7">
      <c r="A226" s="1">
        <v>452</v>
      </c>
      <c r="B226" s="1" t="s">
        <v>715</v>
      </c>
      <c r="D226" s="1" t="s">
        <v>711</v>
      </c>
      <c r="E226" s="1" t="s">
        <v>716</v>
      </c>
      <c r="F226" s="1" t="s">
        <v>552</v>
      </c>
      <c r="G226" s="1" t="s">
        <v>553</v>
      </c>
    </row>
    <row r="227" spans="1:7">
      <c r="A227" s="1">
        <v>454</v>
      </c>
      <c r="B227" s="1" t="s">
        <v>717</v>
      </c>
      <c r="D227" s="1" t="s">
        <v>711</v>
      </c>
      <c r="E227" s="1" t="s">
        <v>718</v>
      </c>
      <c r="F227" s="1" t="s">
        <v>556</v>
      </c>
      <c r="G227" s="1" t="s">
        <v>557</v>
      </c>
    </row>
    <row r="228" spans="1:7">
      <c r="A228" s="1">
        <v>457</v>
      </c>
      <c r="B228" s="1" t="s">
        <v>719</v>
      </c>
      <c r="D228" s="1" t="s">
        <v>711</v>
      </c>
      <c r="E228" s="1" t="s">
        <v>720</v>
      </c>
      <c r="F228" s="1" t="s">
        <v>560</v>
      </c>
      <c r="G228" s="1" t="s">
        <v>561</v>
      </c>
    </row>
    <row r="229" spans="1:7">
      <c r="A229" s="1">
        <v>458</v>
      </c>
      <c r="B229" s="1" t="s">
        <v>721</v>
      </c>
      <c r="D229" s="1" t="s">
        <v>711</v>
      </c>
      <c r="E229" s="1" t="s">
        <v>722</v>
      </c>
      <c r="F229" s="1" t="s">
        <v>169</v>
      </c>
      <c r="G229" s="1" t="s">
        <v>170</v>
      </c>
    </row>
    <row r="230" spans="1:7">
      <c r="A230" s="1">
        <v>462</v>
      </c>
      <c r="B230" s="1" t="s">
        <v>723</v>
      </c>
      <c r="D230" s="1" t="s">
        <v>711</v>
      </c>
      <c r="E230" s="1" t="s">
        <v>724</v>
      </c>
      <c r="F230" s="1" t="s">
        <v>566</v>
      </c>
      <c r="G230" s="1" t="s">
        <v>532</v>
      </c>
    </row>
    <row r="231" spans="1:7">
      <c r="A231" s="1">
        <v>466</v>
      </c>
      <c r="B231" s="1" t="s">
        <v>725</v>
      </c>
      <c r="D231" s="1" t="s">
        <v>711</v>
      </c>
      <c r="E231" s="1" t="s">
        <v>726</v>
      </c>
      <c r="F231" s="1" t="s">
        <v>727</v>
      </c>
      <c r="G231" s="1" t="s">
        <v>728</v>
      </c>
    </row>
    <row r="232" spans="1:7">
      <c r="A232" s="1">
        <v>467</v>
      </c>
      <c r="B232" s="1" t="s">
        <v>729</v>
      </c>
      <c r="D232" s="1" t="s">
        <v>711</v>
      </c>
      <c r="E232" s="1" t="s">
        <v>730</v>
      </c>
      <c r="F232" s="1" t="s">
        <v>731</v>
      </c>
      <c r="G232" s="1" t="s">
        <v>732</v>
      </c>
    </row>
    <row r="233" spans="1:7">
      <c r="A233" s="1">
        <v>468</v>
      </c>
      <c r="B233" s="1" t="s">
        <v>733</v>
      </c>
      <c r="D233" s="1" t="s">
        <v>711</v>
      </c>
      <c r="E233" s="1" t="s">
        <v>734</v>
      </c>
      <c r="F233" s="1" t="s">
        <v>735</v>
      </c>
      <c r="G233" s="1" t="s">
        <v>736</v>
      </c>
    </row>
    <row r="234" spans="1:7">
      <c r="A234" s="1">
        <v>471</v>
      </c>
      <c r="B234" s="1" t="s">
        <v>737</v>
      </c>
      <c r="D234" s="1" t="s">
        <v>738</v>
      </c>
      <c r="E234" s="1" t="s">
        <v>739</v>
      </c>
      <c r="F234" s="1" t="s">
        <v>740</v>
      </c>
      <c r="G234" s="1" t="s">
        <v>741</v>
      </c>
    </row>
    <row r="235" spans="1:7">
      <c r="A235" s="1">
        <v>472</v>
      </c>
      <c r="B235" s="1" t="s">
        <v>742</v>
      </c>
      <c r="D235" s="1" t="s">
        <v>738</v>
      </c>
      <c r="E235" s="1" t="s">
        <v>743</v>
      </c>
      <c r="F235" s="1" t="s">
        <v>744</v>
      </c>
      <c r="G235" s="1" t="s">
        <v>745</v>
      </c>
    </row>
    <row r="236" spans="1:7">
      <c r="A236" s="1">
        <v>475</v>
      </c>
      <c r="B236" s="1" t="s">
        <v>746</v>
      </c>
      <c r="D236" s="1" t="s">
        <v>738</v>
      </c>
      <c r="E236" s="1" t="s">
        <v>747</v>
      </c>
      <c r="F236" s="1" t="s">
        <v>748</v>
      </c>
      <c r="G236" s="1" t="s">
        <v>749</v>
      </c>
    </row>
    <row r="237" spans="1:7">
      <c r="A237" s="1">
        <v>476</v>
      </c>
      <c r="B237" s="1" t="s">
        <v>750</v>
      </c>
      <c r="D237" s="1" t="s">
        <v>738</v>
      </c>
      <c r="E237" s="1" t="s">
        <v>751</v>
      </c>
      <c r="F237" s="1" t="s">
        <v>752</v>
      </c>
      <c r="G237" s="1" t="s">
        <v>753</v>
      </c>
    </row>
    <row r="238" spans="1:7">
      <c r="A238" s="1">
        <v>477</v>
      </c>
      <c r="B238" s="1" t="s">
        <v>754</v>
      </c>
      <c r="D238" s="1" t="s">
        <v>755</v>
      </c>
      <c r="E238" s="1" t="s">
        <v>756</v>
      </c>
      <c r="F238" s="1" t="s">
        <v>757</v>
      </c>
      <c r="G238" s="1" t="s">
        <v>758</v>
      </c>
    </row>
    <row r="239" spans="1:7">
      <c r="A239" s="1">
        <v>484</v>
      </c>
      <c r="B239" s="1" t="s">
        <v>759</v>
      </c>
      <c r="D239" s="1" t="s">
        <v>755</v>
      </c>
      <c r="E239" s="1" t="s">
        <v>760</v>
      </c>
      <c r="F239" s="1" t="s">
        <v>761</v>
      </c>
      <c r="G239" s="1" t="s">
        <v>762</v>
      </c>
    </row>
    <row r="240" spans="1:7">
      <c r="A240" s="1">
        <v>491</v>
      </c>
      <c r="B240" s="1" t="s">
        <v>763</v>
      </c>
      <c r="D240" s="1" t="s">
        <v>755</v>
      </c>
      <c r="E240" s="1" t="s">
        <v>764</v>
      </c>
      <c r="F240" s="1" t="s">
        <v>765</v>
      </c>
      <c r="G240" s="1" t="s">
        <v>766</v>
      </c>
    </row>
    <row r="241" spans="1:7">
      <c r="A241" s="1">
        <v>492</v>
      </c>
      <c r="B241" s="1" t="s">
        <v>767</v>
      </c>
      <c r="D241" s="1" t="s">
        <v>755</v>
      </c>
      <c r="E241" s="1" t="s">
        <v>768</v>
      </c>
      <c r="F241" s="1" t="s">
        <v>769</v>
      </c>
      <c r="G241" s="1" t="s">
        <v>770</v>
      </c>
    </row>
    <row r="242" spans="1:7">
      <c r="A242" s="1">
        <v>493</v>
      </c>
      <c r="B242" s="1" t="s">
        <v>771</v>
      </c>
      <c r="D242" s="1" t="s">
        <v>755</v>
      </c>
      <c r="E242" s="1" t="s">
        <v>772</v>
      </c>
      <c r="F242" s="1" t="s">
        <v>773</v>
      </c>
      <c r="G242" s="1" t="s">
        <v>774</v>
      </c>
    </row>
    <row r="243" spans="1:7">
      <c r="A243" s="1">
        <v>494</v>
      </c>
      <c r="B243" s="1" t="s">
        <v>775</v>
      </c>
      <c r="D243" s="1" t="s">
        <v>755</v>
      </c>
      <c r="E243" s="1" t="s">
        <v>776</v>
      </c>
      <c r="F243" s="1" t="s">
        <v>777</v>
      </c>
      <c r="G243" s="1" t="s">
        <v>778</v>
      </c>
    </row>
    <row r="244" spans="1:7">
      <c r="A244" s="1">
        <v>495</v>
      </c>
      <c r="B244" s="1" t="s">
        <v>779</v>
      </c>
      <c r="D244" s="1" t="s">
        <v>755</v>
      </c>
      <c r="E244" s="1" t="s">
        <v>780</v>
      </c>
      <c r="F244" s="1" t="s">
        <v>781</v>
      </c>
      <c r="G244" s="1" t="s">
        <v>782</v>
      </c>
    </row>
    <row r="245" spans="1:7">
      <c r="A245" s="1">
        <v>496</v>
      </c>
      <c r="B245" s="1" t="s">
        <v>783</v>
      </c>
      <c r="D245" s="1" t="s">
        <v>755</v>
      </c>
      <c r="E245" s="1" t="s">
        <v>784</v>
      </c>
      <c r="F245" s="1" t="s">
        <v>785</v>
      </c>
      <c r="G245" s="1" t="s">
        <v>786</v>
      </c>
    </row>
    <row r="246" spans="1:7">
      <c r="A246" s="1">
        <v>497</v>
      </c>
      <c r="B246" s="1" t="s">
        <v>787</v>
      </c>
      <c r="D246" s="1" t="s">
        <v>755</v>
      </c>
      <c r="E246" s="1" t="s">
        <v>788</v>
      </c>
      <c r="F246" s="1" t="s">
        <v>789</v>
      </c>
      <c r="G246" s="1" t="s">
        <v>790</v>
      </c>
    </row>
    <row r="247" spans="1:7">
      <c r="A247" s="1">
        <v>498</v>
      </c>
      <c r="B247" s="1" t="s">
        <v>791</v>
      </c>
      <c r="D247" s="1" t="s">
        <v>755</v>
      </c>
      <c r="E247" s="1" t="s">
        <v>792</v>
      </c>
      <c r="F247" s="1" t="s">
        <v>793</v>
      </c>
      <c r="G247" s="1" t="s">
        <v>794</v>
      </c>
    </row>
    <row r="248" spans="1:7">
      <c r="A248" s="1">
        <v>499</v>
      </c>
      <c r="B248" s="1" t="s">
        <v>795</v>
      </c>
      <c r="D248" s="1" t="s">
        <v>755</v>
      </c>
      <c r="E248" s="1" t="s">
        <v>796</v>
      </c>
      <c r="F248" s="1" t="s">
        <v>797</v>
      </c>
      <c r="G248" s="1" t="s">
        <v>798</v>
      </c>
    </row>
    <row r="249" spans="1:7">
      <c r="A249" s="1">
        <v>500</v>
      </c>
      <c r="B249" s="1" t="s">
        <v>799</v>
      </c>
      <c r="D249" s="1" t="s">
        <v>755</v>
      </c>
      <c r="E249" s="1" t="s">
        <v>800</v>
      </c>
      <c r="F249" s="1" t="s">
        <v>801</v>
      </c>
      <c r="G249" s="1" t="s">
        <v>802</v>
      </c>
    </row>
    <row r="250" spans="1:7">
      <c r="A250" s="1">
        <v>501</v>
      </c>
      <c r="B250" s="1" t="s">
        <v>803</v>
      </c>
      <c r="D250" s="1" t="s">
        <v>755</v>
      </c>
      <c r="E250" s="1" t="s">
        <v>804</v>
      </c>
      <c r="F250" s="1" t="s">
        <v>805</v>
      </c>
      <c r="G250" s="1" t="s">
        <v>806</v>
      </c>
    </row>
    <row r="251" spans="1:7">
      <c r="A251" s="1">
        <v>516</v>
      </c>
      <c r="B251" s="1" t="s">
        <v>807</v>
      </c>
      <c r="D251" s="1" t="s">
        <v>808</v>
      </c>
      <c r="E251" s="1" t="s">
        <v>809</v>
      </c>
      <c r="F251" s="1" t="s">
        <v>810</v>
      </c>
      <c r="G251" s="1" t="s">
        <v>811</v>
      </c>
    </row>
    <row r="252" spans="1:7">
      <c r="A252" s="1">
        <v>517</v>
      </c>
      <c r="B252" s="1" t="s">
        <v>812</v>
      </c>
      <c r="D252" s="1" t="s">
        <v>808</v>
      </c>
      <c r="E252" s="1" t="s">
        <v>813</v>
      </c>
      <c r="F252" s="1" t="s">
        <v>814</v>
      </c>
      <c r="G252" s="1" t="s">
        <v>815</v>
      </c>
    </row>
    <row r="253" spans="1:7">
      <c r="A253" s="1">
        <v>518</v>
      </c>
      <c r="B253" s="1" t="s">
        <v>816</v>
      </c>
      <c r="D253" s="1" t="s">
        <v>808</v>
      </c>
      <c r="E253" s="1" t="s">
        <v>817</v>
      </c>
      <c r="F253" s="1" t="s">
        <v>818</v>
      </c>
      <c r="G253" s="1" t="s">
        <v>819</v>
      </c>
    </row>
    <row r="254" spans="1:7">
      <c r="A254" s="1">
        <v>519</v>
      </c>
      <c r="B254" s="1" t="s">
        <v>820</v>
      </c>
      <c r="D254" s="1" t="s">
        <v>808</v>
      </c>
      <c r="E254" s="1" t="s">
        <v>821</v>
      </c>
      <c r="F254" s="1" t="s">
        <v>822</v>
      </c>
      <c r="G254" s="1" t="s">
        <v>823</v>
      </c>
    </row>
    <row r="255" spans="1:7">
      <c r="A255" s="1">
        <v>520</v>
      </c>
      <c r="B255" s="1" t="s">
        <v>824</v>
      </c>
      <c r="D255" s="1" t="s">
        <v>808</v>
      </c>
      <c r="E255" s="1" t="s">
        <v>825</v>
      </c>
      <c r="F255" s="1" t="s">
        <v>826</v>
      </c>
      <c r="G255" s="1" t="s">
        <v>827</v>
      </c>
    </row>
    <row r="256" spans="1:7">
      <c r="A256" s="1">
        <v>521</v>
      </c>
      <c r="B256" s="1" t="s">
        <v>828</v>
      </c>
      <c r="D256" s="1" t="s">
        <v>808</v>
      </c>
      <c r="E256" s="1" t="s">
        <v>829</v>
      </c>
      <c r="F256" s="1" t="s">
        <v>830</v>
      </c>
      <c r="G256" s="1" t="s">
        <v>831</v>
      </c>
    </row>
    <row r="257" spans="1:7">
      <c r="A257" s="1">
        <v>522</v>
      </c>
      <c r="B257" s="1" t="s">
        <v>832</v>
      </c>
      <c r="D257" s="1" t="s">
        <v>808</v>
      </c>
      <c r="E257" s="1" t="s">
        <v>833</v>
      </c>
      <c r="F257" s="1" t="s">
        <v>834</v>
      </c>
      <c r="G257" s="1" t="s">
        <v>835</v>
      </c>
    </row>
    <row r="258" spans="1:7">
      <c r="A258" s="1">
        <v>523</v>
      </c>
      <c r="B258" s="1" t="s">
        <v>836</v>
      </c>
      <c r="D258" s="1" t="s">
        <v>808</v>
      </c>
      <c r="E258" s="1" t="s">
        <v>837</v>
      </c>
      <c r="F258" s="1" t="s">
        <v>838</v>
      </c>
      <c r="G258" s="1" t="s">
        <v>839</v>
      </c>
    </row>
    <row r="259" spans="1:7">
      <c r="A259" s="1">
        <v>524</v>
      </c>
      <c r="B259" s="1" t="s">
        <v>840</v>
      </c>
      <c r="D259" s="1" t="s">
        <v>808</v>
      </c>
      <c r="E259" s="1" t="s">
        <v>841</v>
      </c>
      <c r="F259" s="1" t="s">
        <v>842</v>
      </c>
      <c r="G259" s="1" t="s">
        <v>843</v>
      </c>
    </row>
    <row r="260" spans="1:7">
      <c r="A260" s="1">
        <v>525</v>
      </c>
      <c r="B260" s="1" t="s">
        <v>844</v>
      </c>
      <c r="D260" s="1" t="s">
        <v>808</v>
      </c>
      <c r="E260" s="1" t="s">
        <v>845</v>
      </c>
      <c r="F260" s="1" t="s">
        <v>846</v>
      </c>
      <c r="G260" s="1" t="s">
        <v>847</v>
      </c>
    </row>
    <row r="261" spans="1:7">
      <c r="A261" s="1">
        <v>526</v>
      </c>
      <c r="B261" s="1" t="s">
        <v>848</v>
      </c>
      <c r="D261" s="1" t="s">
        <v>808</v>
      </c>
      <c r="E261" s="1" t="s">
        <v>849</v>
      </c>
      <c r="F261" s="1" t="s">
        <v>850</v>
      </c>
      <c r="G261" s="1" t="s">
        <v>851</v>
      </c>
    </row>
    <row r="262" spans="1:7">
      <c r="A262" s="1">
        <v>527</v>
      </c>
      <c r="B262" s="1" t="s">
        <v>852</v>
      </c>
      <c r="D262" s="1" t="s">
        <v>808</v>
      </c>
      <c r="E262" s="1" t="s">
        <v>853</v>
      </c>
      <c r="F262" s="1" t="s">
        <v>854</v>
      </c>
      <c r="G262" s="1" t="s">
        <v>855</v>
      </c>
    </row>
    <row r="263" spans="1:7">
      <c r="A263" s="1">
        <v>528</v>
      </c>
      <c r="B263" s="1" t="s">
        <v>856</v>
      </c>
      <c r="D263" s="1" t="s">
        <v>808</v>
      </c>
      <c r="E263" s="1" t="s">
        <v>857</v>
      </c>
      <c r="F263" s="1" t="s">
        <v>858</v>
      </c>
      <c r="G263" s="1" t="s">
        <v>859</v>
      </c>
    </row>
    <row r="264" spans="1:7">
      <c r="A264" s="1">
        <v>529</v>
      </c>
      <c r="B264" s="1" t="s">
        <v>860</v>
      </c>
      <c r="D264" s="1" t="s">
        <v>808</v>
      </c>
      <c r="E264" s="1" t="s">
        <v>861</v>
      </c>
      <c r="F264" s="1" t="s">
        <v>862</v>
      </c>
      <c r="G264" s="1" t="s">
        <v>863</v>
      </c>
    </row>
    <row r="265" spans="1:7">
      <c r="A265" s="1">
        <v>530</v>
      </c>
      <c r="B265" s="1" t="s">
        <v>864</v>
      </c>
      <c r="D265" s="1" t="s">
        <v>808</v>
      </c>
      <c r="E265" s="1" t="s">
        <v>865</v>
      </c>
      <c r="F265" s="1" t="s">
        <v>866</v>
      </c>
      <c r="G265" s="1" t="s">
        <v>867</v>
      </c>
    </row>
    <row r="266" spans="1:7">
      <c r="A266" s="1">
        <v>531</v>
      </c>
      <c r="B266" s="1" t="s">
        <v>868</v>
      </c>
      <c r="D266" s="1" t="s">
        <v>808</v>
      </c>
      <c r="E266" s="1" t="s">
        <v>869</v>
      </c>
      <c r="F266" s="1" t="s">
        <v>805</v>
      </c>
      <c r="G266" s="1" t="s">
        <v>806</v>
      </c>
    </row>
    <row r="267" spans="1:7">
      <c r="A267" s="1">
        <v>536</v>
      </c>
      <c r="B267" s="1" t="s">
        <v>870</v>
      </c>
      <c r="D267" s="1" t="s">
        <v>871</v>
      </c>
      <c r="E267" s="1" t="s">
        <v>872</v>
      </c>
      <c r="F267" s="1" t="s">
        <v>873</v>
      </c>
      <c r="G267" s="1" t="s">
        <v>874</v>
      </c>
    </row>
    <row r="268" spans="1:7">
      <c r="A268" s="1">
        <v>537</v>
      </c>
      <c r="B268" s="1" t="s">
        <v>875</v>
      </c>
      <c r="D268" s="1" t="s">
        <v>871</v>
      </c>
      <c r="E268" s="1" t="s">
        <v>876</v>
      </c>
      <c r="F268" s="1" t="s">
        <v>877</v>
      </c>
      <c r="G268" s="1" t="s">
        <v>878</v>
      </c>
    </row>
    <row r="269" spans="1:7">
      <c r="A269" s="1">
        <v>540</v>
      </c>
      <c r="B269" s="1" t="s">
        <v>879</v>
      </c>
      <c r="D269" s="1" t="s">
        <v>880</v>
      </c>
      <c r="E269" s="1" t="s">
        <v>881</v>
      </c>
      <c r="F269" s="1" t="s">
        <v>882</v>
      </c>
      <c r="G269" s="1" t="s">
        <v>883</v>
      </c>
    </row>
    <row r="270" spans="1:7">
      <c r="A270" s="1">
        <v>541</v>
      </c>
      <c r="B270" s="1" t="s">
        <v>884</v>
      </c>
      <c r="D270" s="1" t="s">
        <v>880</v>
      </c>
      <c r="E270" s="1" t="s">
        <v>885</v>
      </c>
      <c r="F270" s="1" t="s">
        <v>886</v>
      </c>
      <c r="G270" s="1" t="s">
        <v>887</v>
      </c>
    </row>
    <row r="271" spans="1:7">
      <c r="A271" s="1">
        <v>550</v>
      </c>
      <c r="B271" s="1" t="s">
        <v>888</v>
      </c>
      <c r="D271" s="1" t="s">
        <v>889</v>
      </c>
      <c r="E271" s="1" t="s">
        <v>890</v>
      </c>
      <c r="F271" s="1" t="s">
        <v>161</v>
      </c>
      <c r="G271" s="1" t="s">
        <v>162</v>
      </c>
    </row>
    <row r="272" spans="1:7">
      <c r="A272" s="1">
        <v>551</v>
      </c>
      <c r="B272" s="1" t="s">
        <v>891</v>
      </c>
      <c r="D272" s="1" t="s">
        <v>889</v>
      </c>
      <c r="E272" s="1" t="s">
        <v>892</v>
      </c>
      <c r="F272" s="1" t="s">
        <v>165</v>
      </c>
      <c r="G272" s="1" t="s">
        <v>166</v>
      </c>
    </row>
    <row r="273" spans="1:7">
      <c r="A273" s="1">
        <v>554</v>
      </c>
      <c r="B273" s="1" t="s">
        <v>893</v>
      </c>
      <c r="D273" s="1" t="s">
        <v>889</v>
      </c>
      <c r="E273" s="1" t="s">
        <v>894</v>
      </c>
      <c r="F273" s="1" t="s">
        <v>895</v>
      </c>
      <c r="G273" s="1" t="s">
        <v>896</v>
      </c>
    </row>
    <row r="274" spans="1:7">
      <c r="A274" s="1">
        <v>557</v>
      </c>
      <c r="B274" s="1" t="s">
        <v>897</v>
      </c>
      <c r="D274" s="1" t="s">
        <v>889</v>
      </c>
      <c r="E274" s="1" t="s">
        <v>898</v>
      </c>
      <c r="F274" s="1" t="s">
        <v>173</v>
      </c>
      <c r="G274" s="1" t="s">
        <v>174</v>
      </c>
    </row>
    <row r="275" spans="1:7">
      <c r="A275" s="1">
        <v>558</v>
      </c>
      <c r="B275" s="1" t="s">
        <v>899</v>
      </c>
      <c r="D275" s="1" t="s">
        <v>889</v>
      </c>
      <c r="E275" s="1" t="s">
        <v>900</v>
      </c>
      <c r="F275" s="1" t="s">
        <v>177</v>
      </c>
      <c r="G275" s="1" t="s">
        <v>178</v>
      </c>
    </row>
    <row r="276" spans="1:7">
      <c r="A276" s="1">
        <v>559</v>
      </c>
      <c r="B276" s="1" t="s">
        <v>901</v>
      </c>
      <c r="D276" s="1" t="s">
        <v>889</v>
      </c>
      <c r="E276" s="1" t="s">
        <v>902</v>
      </c>
      <c r="F276" s="1" t="s">
        <v>181</v>
      </c>
      <c r="G276" s="1" t="s">
        <v>182</v>
      </c>
    </row>
    <row r="277" spans="1:7">
      <c r="A277" s="1">
        <v>561</v>
      </c>
      <c r="B277" s="1" t="s">
        <v>903</v>
      </c>
      <c r="D277" s="1" t="s">
        <v>904</v>
      </c>
      <c r="E277" s="1" t="s">
        <v>905</v>
      </c>
      <c r="F277" s="1" t="s">
        <v>906</v>
      </c>
      <c r="G277" s="1" t="s">
        <v>907</v>
      </c>
    </row>
    <row r="278" spans="1:7">
      <c r="A278" s="1">
        <v>563</v>
      </c>
      <c r="B278" s="1" t="s">
        <v>908</v>
      </c>
      <c r="D278" s="1" t="s">
        <v>904</v>
      </c>
      <c r="E278" s="1" t="s">
        <v>909</v>
      </c>
      <c r="F278" s="1" t="s">
        <v>910</v>
      </c>
      <c r="G278" s="1" t="s">
        <v>911</v>
      </c>
    </row>
    <row r="279" spans="1:7">
      <c r="A279" s="1">
        <v>564</v>
      </c>
      <c r="B279" s="1" t="s">
        <v>912</v>
      </c>
      <c r="D279" s="1" t="s">
        <v>904</v>
      </c>
      <c r="E279" s="1" t="s">
        <v>913</v>
      </c>
      <c r="F279" s="1" t="s">
        <v>914</v>
      </c>
      <c r="G279" s="1" t="s">
        <v>915</v>
      </c>
    </row>
    <row r="280" spans="1:7">
      <c r="A280" s="1">
        <v>565</v>
      </c>
      <c r="B280" s="1" t="s">
        <v>916</v>
      </c>
      <c r="D280" s="1" t="s">
        <v>904</v>
      </c>
      <c r="E280" s="1" t="s">
        <v>917</v>
      </c>
      <c r="F280" s="1" t="s">
        <v>918</v>
      </c>
      <c r="G280" s="1" t="s">
        <v>919</v>
      </c>
    </row>
    <row r="281" spans="1:7">
      <c r="A281" s="1">
        <v>566</v>
      </c>
      <c r="B281" s="1" t="s">
        <v>920</v>
      </c>
      <c r="D281" s="1" t="s">
        <v>904</v>
      </c>
      <c r="E281" s="1" t="s">
        <v>921</v>
      </c>
      <c r="F281" s="1" t="s">
        <v>161</v>
      </c>
      <c r="G281" s="1" t="s">
        <v>162</v>
      </c>
    </row>
    <row r="282" spans="1:7">
      <c r="A282" s="1">
        <v>568</v>
      </c>
      <c r="B282" s="1" t="s">
        <v>922</v>
      </c>
      <c r="D282" s="1" t="s">
        <v>904</v>
      </c>
      <c r="E282" s="1" t="s">
        <v>923</v>
      </c>
      <c r="F282" s="1" t="s">
        <v>165</v>
      </c>
      <c r="G282" s="1" t="s">
        <v>166</v>
      </c>
    </row>
    <row r="283" spans="1:7">
      <c r="A283" s="1">
        <v>575</v>
      </c>
      <c r="B283" s="1" t="s">
        <v>924</v>
      </c>
      <c r="D283" s="1" t="s">
        <v>925</v>
      </c>
      <c r="E283" s="1" t="s">
        <v>926</v>
      </c>
      <c r="F283" s="1" t="s">
        <v>927</v>
      </c>
      <c r="G283" s="1" t="s">
        <v>928</v>
      </c>
    </row>
    <row r="284" spans="1:7">
      <c r="A284" s="1">
        <v>596</v>
      </c>
      <c r="B284" s="1" t="s">
        <v>929</v>
      </c>
      <c r="D284" s="1" t="s">
        <v>930</v>
      </c>
      <c r="E284" s="1" t="s">
        <v>931</v>
      </c>
      <c r="F284" s="1" t="s">
        <v>927</v>
      </c>
      <c r="G284" s="1" t="s">
        <v>928</v>
      </c>
    </row>
    <row r="285" spans="1:7">
      <c r="A285" s="1">
        <v>612</v>
      </c>
      <c r="B285" s="1" t="s">
        <v>932</v>
      </c>
      <c r="D285" s="1" t="s">
        <v>933</v>
      </c>
      <c r="E285" s="1" t="s">
        <v>934</v>
      </c>
      <c r="F285" s="1" t="s">
        <v>935</v>
      </c>
      <c r="G285" s="1" t="s">
        <v>936</v>
      </c>
    </row>
    <row r="286" spans="1:7">
      <c r="A286" s="1">
        <v>633</v>
      </c>
      <c r="B286" s="1" t="s">
        <v>937</v>
      </c>
      <c r="D286" s="1" t="s">
        <v>938</v>
      </c>
      <c r="E286" s="1" t="s">
        <v>939</v>
      </c>
      <c r="F286" s="1" t="s">
        <v>935</v>
      </c>
      <c r="G286" s="1" t="s">
        <v>936</v>
      </c>
    </row>
    <row r="287" spans="1:7">
      <c r="A287" s="1">
        <v>649</v>
      </c>
      <c r="B287" s="1" t="s">
        <v>940</v>
      </c>
      <c r="D287" s="1" t="s">
        <v>941</v>
      </c>
      <c r="E287" s="1" t="s">
        <v>942</v>
      </c>
      <c r="F287" s="1" t="s">
        <v>943</v>
      </c>
      <c r="G287" s="1" t="s">
        <v>944</v>
      </c>
    </row>
    <row r="288" spans="1:7">
      <c r="A288" s="1">
        <v>670</v>
      </c>
      <c r="B288" s="1" t="s">
        <v>945</v>
      </c>
      <c r="D288" s="1" t="s">
        <v>946</v>
      </c>
      <c r="E288" s="1" t="s">
        <v>947</v>
      </c>
      <c r="F288" s="1" t="s">
        <v>943</v>
      </c>
      <c r="G288" s="1" t="s">
        <v>944</v>
      </c>
    </row>
    <row r="289" spans="1:7">
      <c r="A289" s="1">
        <v>686</v>
      </c>
      <c r="B289" s="1" t="s">
        <v>948</v>
      </c>
      <c r="D289" s="1" t="s">
        <v>949</v>
      </c>
      <c r="E289" s="1" t="s">
        <v>950</v>
      </c>
      <c r="F289" s="1" t="s">
        <v>951</v>
      </c>
      <c r="G289" s="1" t="s">
        <v>952</v>
      </c>
    </row>
    <row r="290" spans="1:7">
      <c r="A290" s="1">
        <v>707</v>
      </c>
      <c r="B290" s="1" t="s">
        <v>953</v>
      </c>
      <c r="D290" s="1" t="s">
        <v>954</v>
      </c>
      <c r="E290" s="1" t="s">
        <v>955</v>
      </c>
      <c r="F290" s="1" t="s">
        <v>951</v>
      </c>
      <c r="G290" s="1" t="s">
        <v>952</v>
      </c>
    </row>
    <row r="291" spans="1:7">
      <c r="A291" s="1">
        <v>719</v>
      </c>
      <c r="B291" s="1" t="s">
        <v>956</v>
      </c>
      <c r="D291" s="1" t="s">
        <v>957</v>
      </c>
      <c r="E291" s="1" t="s">
        <v>958</v>
      </c>
      <c r="F291" s="1" t="s">
        <v>541</v>
      </c>
      <c r="G291" s="1" t="s">
        <v>542</v>
      </c>
    </row>
    <row r="292" spans="1:7">
      <c r="A292" s="1">
        <v>720</v>
      </c>
      <c r="B292" s="1" t="s">
        <v>959</v>
      </c>
      <c r="D292" s="1" t="s">
        <v>957</v>
      </c>
      <c r="E292" s="1" t="s">
        <v>960</v>
      </c>
      <c r="F292" s="1" t="s">
        <v>961</v>
      </c>
      <c r="G292" s="1" t="s">
        <v>962</v>
      </c>
    </row>
    <row r="293" spans="1:7">
      <c r="A293" s="1">
        <v>721</v>
      </c>
      <c r="B293" s="1" t="s">
        <v>963</v>
      </c>
      <c r="D293" s="1" t="s">
        <v>957</v>
      </c>
      <c r="E293" s="1" t="s">
        <v>964</v>
      </c>
      <c r="F293" s="1" t="s">
        <v>965</v>
      </c>
      <c r="G293" s="1" t="s">
        <v>966</v>
      </c>
    </row>
    <row r="294" spans="1:7">
      <c r="A294" s="1">
        <v>723</v>
      </c>
      <c r="B294" s="1" t="s">
        <v>967</v>
      </c>
      <c r="D294" s="1" t="s">
        <v>957</v>
      </c>
      <c r="E294" s="1" t="s">
        <v>968</v>
      </c>
      <c r="F294" s="1" t="s">
        <v>969</v>
      </c>
      <c r="G294" s="1" t="s">
        <v>970</v>
      </c>
    </row>
    <row r="295" spans="1:7">
      <c r="A295" s="1">
        <v>724</v>
      </c>
      <c r="B295" s="1" t="s">
        <v>971</v>
      </c>
      <c r="D295" s="1" t="s">
        <v>957</v>
      </c>
      <c r="E295" s="1" t="s">
        <v>972</v>
      </c>
      <c r="F295" s="1" t="s">
        <v>973</v>
      </c>
      <c r="G295" s="1" t="s">
        <v>974</v>
      </c>
    </row>
    <row r="296" spans="1:7">
      <c r="A296" s="1">
        <v>725</v>
      </c>
      <c r="B296" s="1" t="s">
        <v>975</v>
      </c>
      <c r="D296" s="1" t="s">
        <v>957</v>
      </c>
      <c r="E296" s="1" t="s">
        <v>976</v>
      </c>
      <c r="F296" s="1" t="s">
        <v>977</v>
      </c>
      <c r="G296" s="1" t="s">
        <v>978</v>
      </c>
    </row>
    <row r="297" spans="1:7">
      <c r="A297" s="1">
        <v>728</v>
      </c>
      <c r="B297" s="1" t="s">
        <v>979</v>
      </c>
      <c r="D297" s="1" t="s">
        <v>957</v>
      </c>
      <c r="E297" s="1" t="s">
        <v>980</v>
      </c>
      <c r="F297" s="1" t="s">
        <v>161</v>
      </c>
      <c r="G297" s="1" t="s">
        <v>162</v>
      </c>
    </row>
    <row r="298" spans="1:7">
      <c r="A298" s="1">
        <v>730</v>
      </c>
      <c r="B298" s="1" t="s">
        <v>981</v>
      </c>
      <c r="D298" s="1" t="s">
        <v>957</v>
      </c>
      <c r="E298" s="1" t="s">
        <v>982</v>
      </c>
      <c r="F298" s="1" t="s">
        <v>165</v>
      </c>
      <c r="G298" s="1" t="s">
        <v>166</v>
      </c>
    </row>
    <row r="299" spans="1:7">
      <c r="A299" s="1">
        <v>744</v>
      </c>
      <c r="B299" s="1" t="s">
        <v>983</v>
      </c>
      <c r="D299" s="1" t="s">
        <v>984</v>
      </c>
      <c r="E299" s="1" t="s">
        <v>985</v>
      </c>
      <c r="F299" s="1" t="s">
        <v>986</v>
      </c>
      <c r="G299" s="1" t="s">
        <v>987</v>
      </c>
    </row>
    <row r="300" spans="1:7">
      <c r="A300" s="1">
        <v>751</v>
      </c>
      <c r="B300" s="1" t="s">
        <v>988</v>
      </c>
      <c r="D300" s="1" t="s">
        <v>984</v>
      </c>
      <c r="E300" s="1" t="s">
        <v>989</v>
      </c>
      <c r="F300" s="1" t="s">
        <v>990</v>
      </c>
      <c r="G300" s="1" t="s">
        <v>991</v>
      </c>
    </row>
    <row r="301" spans="1:7">
      <c r="A301" s="1">
        <v>752</v>
      </c>
      <c r="B301" s="1" t="s">
        <v>992</v>
      </c>
      <c r="D301" s="1" t="s">
        <v>984</v>
      </c>
      <c r="E301" s="1" t="s">
        <v>993</v>
      </c>
      <c r="F301" s="1" t="s">
        <v>994</v>
      </c>
      <c r="G301" s="1" t="s">
        <v>995</v>
      </c>
    </row>
    <row r="302" spans="1:7">
      <c r="A302" s="1">
        <v>753</v>
      </c>
      <c r="B302" s="1" t="s">
        <v>996</v>
      </c>
      <c r="D302" s="1" t="s">
        <v>984</v>
      </c>
      <c r="E302" s="1" t="s">
        <v>997</v>
      </c>
      <c r="F302" s="1" t="s">
        <v>998</v>
      </c>
      <c r="G302" s="1" t="s">
        <v>999</v>
      </c>
    </row>
    <row r="303" spans="1:7">
      <c r="A303" s="1">
        <v>754</v>
      </c>
      <c r="B303" s="1" t="s">
        <v>1000</v>
      </c>
      <c r="D303" s="1" t="s">
        <v>984</v>
      </c>
      <c r="E303" s="1" t="s">
        <v>1001</v>
      </c>
      <c r="F303" s="1" t="s">
        <v>1002</v>
      </c>
      <c r="G303" s="1" t="s">
        <v>1003</v>
      </c>
    </row>
    <row r="304" spans="1:7">
      <c r="A304" s="1">
        <v>755</v>
      </c>
      <c r="B304" s="1" t="s">
        <v>1004</v>
      </c>
      <c r="D304" s="1" t="s">
        <v>984</v>
      </c>
      <c r="E304" s="1" t="s">
        <v>1005</v>
      </c>
      <c r="F304" s="1" t="s">
        <v>1006</v>
      </c>
      <c r="G304" s="1" t="s">
        <v>1007</v>
      </c>
    </row>
    <row r="305" spans="1:7">
      <c r="A305" s="1">
        <v>756</v>
      </c>
      <c r="B305" s="1" t="s">
        <v>1008</v>
      </c>
      <c r="D305" s="1" t="s">
        <v>984</v>
      </c>
      <c r="E305" s="1" t="s">
        <v>1009</v>
      </c>
      <c r="F305" s="1" t="s">
        <v>1010</v>
      </c>
      <c r="G305" s="1" t="s">
        <v>1011</v>
      </c>
    </row>
    <row r="306" spans="1:7">
      <c r="A306" s="1">
        <v>757</v>
      </c>
      <c r="B306" s="1" t="s">
        <v>1012</v>
      </c>
      <c r="D306" s="1" t="s">
        <v>1013</v>
      </c>
      <c r="E306" s="1" t="s">
        <v>1014</v>
      </c>
      <c r="F306" s="1" t="s">
        <v>1015</v>
      </c>
      <c r="G306" s="1" t="s">
        <v>1016</v>
      </c>
    </row>
    <row r="307" spans="1:7">
      <c r="A307" s="1">
        <v>760</v>
      </c>
      <c r="B307" s="1" t="s">
        <v>1017</v>
      </c>
      <c r="D307" s="1" t="s">
        <v>1018</v>
      </c>
      <c r="E307" s="1" t="s">
        <v>1019</v>
      </c>
      <c r="F307" s="1" t="s">
        <v>1020</v>
      </c>
      <c r="G307" s="1" t="s">
        <v>1021</v>
      </c>
    </row>
    <row r="308" spans="1:7">
      <c r="A308" s="1">
        <v>761</v>
      </c>
      <c r="B308" s="1" t="s">
        <v>1022</v>
      </c>
      <c r="D308" s="1" t="s">
        <v>1018</v>
      </c>
      <c r="E308" s="1" t="s">
        <v>1023</v>
      </c>
      <c r="F308" s="1" t="s">
        <v>1024</v>
      </c>
      <c r="G308" s="1" t="s">
        <v>1025</v>
      </c>
    </row>
    <row r="309" spans="1:7">
      <c r="A309" s="1">
        <v>762</v>
      </c>
      <c r="B309" s="1" t="s">
        <v>1026</v>
      </c>
      <c r="D309" s="1" t="s">
        <v>1018</v>
      </c>
      <c r="E309" s="1" t="s">
        <v>1027</v>
      </c>
      <c r="F309" s="1" t="s">
        <v>1028</v>
      </c>
      <c r="G309" s="1" t="s">
        <v>1029</v>
      </c>
    </row>
    <row r="310" spans="1:7">
      <c r="A310" s="1">
        <v>763</v>
      </c>
      <c r="B310" s="1" t="s">
        <v>1030</v>
      </c>
      <c r="D310" s="1" t="s">
        <v>1018</v>
      </c>
      <c r="E310" s="1" t="s">
        <v>1031</v>
      </c>
      <c r="F310" s="1" t="s">
        <v>1032</v>
      </c>
      <c r="G310" s="1" t="s">
        <v>1033</v>
      </c>
    </row>
    <row r="311" spans="1:7">
      <c r="A311" s="1">
        <v>764</v>
      </c>
      <c r="B311" s="1" t="s">
        <v>1034</v>
      </c>
      <c r="D311" s="1" t="s">
        <v>1018</v>
      </c>
      <c r="E311" s="1" t="s">
        <v>1035</v>
      </c>
      <c r="F311" s="1" t="s">
        <v>1036</v>
      </c>
      <c r="G311" s="1" t="s">
        <v>1037</v>
      </c>
    </row>
    <row r="312" spans="1:7">
      <c r="A312" s="1">
        <v>765</v>
      </c>
      <c r="B312" s="1" t="s">
        <v>1038</v>
      </c>
      <c r="D312" s="1" t="s">
        <v>1018</v>
      </c>
      <c r="E312" s="1" t="s">
        <v>1039</v>
      </c>
      <c r="F312" s="1" t="s">
        <v>1040</v>
      </c>
      <c r="G312" s="1" t="s">
        <v>1041</v>
      </c>
    </row>
    <row r="313" spans="1:7">
      <c r="A313" s="1">
        <v>766</v>
      </c>
      <c r="B313" s="1" t="s">
        <v>1042</v>
      </c>
      <c r="D313" s="1" t="s">
        <v>1018</v>
      </c>
      <c r="E313" s="1" t="s">
        <v>1043</v>
      </c>
      <c r="F313" s="1" t="s">
        <v>1044</v>
      </c>
      <c r="G313" s="1" t="s">
        <v>1045</v>
      </c>
    </row>
    <row r="314" spans="1:7">
      <c r="A314" s="1">
        <v>767</v>
      </c>
      <c r="B314" s="1" t="s">
        <v>1046</v>
      </c>
      <c r="D314" s="1" t="s">
        <v>1018</v>
      </c>
      <c r="E314" s="1" t="s">
        <v>1047</v>
      </c>
      <c r="F314" s="1" t="s">
        <v>1048</v>
      </c>
      <c r="G314" s="1" t="s">
        <v>1049</v>
      </c>
    </row>
    <row r="315" spans="1:7">
      <c r="A315" s="1">
        <v>768</v>
      </c>
      <c r="B315" s="1" t="s">
        <v>1050</v>
      </c>
      <c r="D315" s="1" t="s">
        <v>1018</v>
      </c>
      <c r="E315" s="1" t="s">
        <v>1051</v>
      </c>
      <c r="F315" s="1" t="s">
        <v>1052</v>
      </c>
      <c r="G315" s="1" t="s">
        <v>1053</v>
      </c>
    </row>
    <row r="316" spans="1:7">
      <c r="A316" s="1">
        <v>769</v>
      </c>
      <c r="B316" s="1" t="s">
        <v>1054</v>
      </c>
      <c r="D316" s="1" t="s">
        <v>1018</v>
      </c>
      <c r="E316" s="1" t="s">
        <v>1055</v>
      </c>
      <c r="F316" s="1" t="s">
        <v>1056</v>
      </c>
      <c r="G316" s="1" t="s">
        <v>1057</v>
      </c>
    </row>
    <row r="317" spans="1:7">
      <c r="A317" s="1">
        <v>771</v>
      </c>
      <c r="B317" s="1" t="s">
        <v>1058</v>
      </c>
      <c r="D317" s="1" t="s">
        <v>1059</v>
      </c>
      <c r="E317" s="1" t="s">
        <v>1060</v>
      </c>
      <c r="F317" s="1" t="s">
        <v>1061</v>
      </c>
      <c r="G317" s="1" t="s">
        <v>1062</v>
      </c>
    </row>
    <row r="318" spans="1:7">
      <c r="A318" s="1">
        <v>773</v>
      </c>
      <c r="B318" s="1" t="s">
        <v>1063</v>
      </c>
      <c r="D318" s="1" t="s">
        <v>1064</v>
      </c>
      <c r="E318" s="1" t="s">
        <v>1065</v>
      </c>
      <c r="F318" s="1" t="s">
        <v>906</v>
      </c>
      <c r="G318" s="1" t="s">
        <v>907</v>
      </c>
    </row>
    <row r="319" spans="1:7">
      <c r="A319" s="1">
        <v>775</v>
      </c>
      <c r="B319" s="1" t="s">
        <v>1066</v>
      </c>
      <c r="D319" s="1" t="s">
        <v>1064</v>
      </c>
      <c r="E319" s="1" t="s">
        <v>1067</v>
      </c>
      <c r="F319" s="1" t="s">
        <v>161</v>
      </c>
      <c r="G319" s="1" t="s">
        <v>162</v>
      </c>
    </row>
    <row r="320" spans="1:7">
      <c r="A320" s="1">
        <v>777</v>
      </c>
      <c r="B320" s="1" t="s">
        <v>1068</v>
      </c>
      <c r="D320" s="1" t="s">
        <v>1064</v>
      </c>
      <c r="E320" s="1" t="s">
        <v>1069</v>
      </c>
      <c r="F320" s="1" t="s">
        <v>165</v>
      </c>
      <c r="G320" s="1" t="s">
        <v>166</v>
      </c>
    </row>
    <row r="321" spans="1:7">
      <c r="A321" s="1">
        <v>781</v>
      </c>
      <c r="B321" s="1" t="s">
        <v>1070</v>
      </c>
      <c r="D321" s="1" t="s">
        <v>1071</v>
      </c>
      <c r="E321" s="1" t="s">
        <v>1072</v>
      </c>
      <c r="F321" s="1" t="s">
        <v>1073</v>
      </c>
      <c r="G321" s="1" t="s">
        <v>1074</v>
      </c>
    </row>
    <row r="322" spans="1:7">
      <c r="A322" s="1">
        <v>784</v>
      </c>
      <c r="B322" s="1" t="s">
        <v>1075</v>
      </c>
      <c r="D322" s="1" t="s">
        <v>1071</v>
      </c>
      <c r="E322" s="1" t="s">
        <v>1076</v>
      </c>
      <c r="F322" s="1" t="s">
        <v>1077</v>
      </c>
      <c r="G322" s="1" t="s">
        <v>1078</v>
      </c>
    </row>
    <row r="323" spans="1:7">
      <c r="A323" s="1">
        <v>785</v>
      </c>
      <c r="B323" s="1" t="s">
        <v>1079</v>
      </c>
      <c r="D323" s="1" t="s">
        <v>1071</v>
      </c>
      <c r="E323" s="1" t="s">
        <v>1080</v>
      </c>
      <c r="F323" s="1" t="s">
        <v>1081</v>
      </c>
      <c r="G323" s="1" t="s">
        <v>1082</v>
      </c>
    </row>
    <row r="324" spans="1:7">
      <c r="A324" s="1">
        <v>786</v>
      </c>
      <c r="B324" s="1" t="s">
        <v>1083</v>
      </c>
      <c r="D324" s="1" t="s">
        <v>1071</v>
      </c>
      <c r="E324" s="1" t="s">
        <v>1084</v>
      </c>
      <c r="F324" s="1" t="s">
        <v>1085</v>
      </c>
      <c r="G324" s="1" t="s">
        <v>1086</v>
      </c>
    </row>
    <row r="325" spans="1:7">
      <c r="A325" s="1">
        <v>787</v>
      </c>
      <c r="B325" s="1" t="s">
        <v>1087</v>
      </c>
      <c r="D325" s="1" t="s">
        <v>1071</v>
      </c>
      <c r="E325" s="1" t="s">
        <v>1088</v>
      </c>
      <c r="F325" s="1" t="s">
        <v>1089</v>
      </c>
      <c r="G325" s="1" t="s">
        <v>1090</v>
      </c>
    </row>
    <row r="326" spans="1:7">
      <c r="A326" s="1">
        <v>788</v>
      </c>
      <c r="B326" s="1" t="s">
        <v>1091</v>
      </c>
      <c r="D326" s="1" t="s">
        <v>1071</v>
      </c>
      <c r="E326" s="1" t="s">
        <v>1092</v>
      </c>
      <c r="F326" s="1" t="s">
        <v>1093</v>
      </c>
      <c r="G326" s="1" t="s">
        <v>1094</v>
      </c>
    </row>
    <row r="327" spans="1:7">
      <c r="A327" s="1">
        <v>793</v>
      </c>
      <c r="B327" s="1" t="s">
        <v>1095</v>
      </c>
      <c r="D327" s="1" t="s">
        <v>1071</v>
      </c>
      <c r="E327" s="1" t="s">
        <v>1096</v>
      </c>
      <c r="F327" s="1" t="s">
        <v>1097</v>
      </c>
      <c r="G327" s="1" t="s">
        <v>1098</v>
      </c>
    </row>
    <row r="328" spans="1:7">
      <c r="A328" s="1">
        <v>794</v>
      </c>
      <c r="B328" s="1" t="s">
        <v>1099</v>
      </c>
      <c r="D328" s="1" t="s">
        <v>1071</v>
      </c>
      <c r="E328" s="1" t="s">
        <v>1100</v>
      </c>
      <c r="F328" s="1" t="s">
        <v>1101</v>
      </c>
      <c r="G328" s="1" t="s">
        <v>1102</v>
      </c>
    </row>
    <row r="329" spans="1:7">
      <c r="A329" s="1">
        <v>795</v>
      </c>
      <c r="B329" s="1" t="s">
        <v>1103</v>
      </c>
      <c r="D329" s="1" t="s">
        <v>1104</v>
      </c>
      <c r="E329" s="1" t="s">
        <v>1105</v>
      </c>
      <c r="F329" s="1" t="s">
        <v>1106</v>
      </c>
      <c r="G329" s="1" t="s">
        <v>1107</v>
      </c>
    </row>
    <row r="330" spans="1:7">
      <c r="A330" s="1">
        <v>796</v>
      </c>
      <c r="B330" s="1" t="s">
        <v>1108</v>
      </c>
      <c r="D330" s="1" t="s">
        <v>1104</v>
      </c>
      <c r="E330" s="1" t="s">
        <v>1109</v>
      </c>
      <c r="F330" s="1" t="s">
        <v>1110</v>
      </c>
      <c r="G330" s="1" t="s">
        <v>1111</v>
      </c>
    </row>
    <row r="331" spans="1:7">
      <c r="A331" s="1">
        <v>803</v>
      </c>
      <c r="B331" s="1" t="s">
        <v>1112</v>
      </c>
      <c r="D331" s="1" t="s">
        <v>1104</v>
      </c>
      <c r="E331" s="1" t="s">
        <v>1113</v>
      </c>
      <c r="F331" s="1" t="s">
        <v>1114</v>
      </c>
      <c r="G331" s="1" t="s">
        <v>1115</v>
      </c>
    </row>
    <row r="332" spans="1:7">
      <c r="A332" s="1">
        <v>804</v>
      </c>
      <c r="B332" s="1" t="s">
        <v>1116</v>
      </c>
      <c r="D332" s="1" t="s">
        <v>1104</v>
      </c>
      <c r="E332" s="1" t="s">
        <v>1117</v>
      </c>
      <c r="F332" s="1" t="s">
        <v>1118</v>
      </c>
      <c r="G332" s="1" t="s">
        <v>1119</v>
      </c>
    </row>
    <row r="333" spans="1:7">
      <c r="A333" s="1">
        <v>805</v>
      </c>
      <c r="B333" s="1" t="s">
        <v>1120</v>
      </c>
      <c r="D333" s="1" t="s">
        <v>1121</v>
      </c>
      <c r="E333" s="1" t="s">
        <v>1122</v>
      </c>
      <c r="F333" s="1" t="s">
        <v>161</v>
      </c>
      <c r="G333" s="1" t="s">
        <v>162</v>
      </c>
    </row>
    <row r="334" spans="1:7">
      <c r="A334" s="1">
        <v>806</v>
      </c>
      <c r="B334" s="1" t="s">
        <v>1123</v>
      </c>
      <c r="D334" s="1" t="s">
        <v>1121</v>
      </c>
      <c r="E334" s="1" t="s">
        <v>1124</v>
      </c>
      <c r="F334" s="1" t="s">
        <v>165</v>
      </c>
      <c r="G334" s="1" t="s">
        <v>166</v>
      </c>
    </row>
    <row r="335" spans="1:7">
      <c r="A335" s="1">
        <v>815</v>
      </c>
      <c r="B335" s="1" t="s">
        <v>1125</v>
      </c>
      <c r="D335" s="1" t="s">
        <v>1121</v>
      </c>
      <c r="E335" s="1" t="s">
        <v>1126</v>
      </c>
      <c r="F335" s="1" t="s">
        <v>1127</v>
      </c>
      <c r="G335" s="1" t="s">
        <v>1128</v>
      </c>
    </row>
    <row r="336" spans="1:7">
      <c r="A336" s="1">
        <v>816</v>
      </c>
      <c r="B336" s="1" t="s">
        <v>1129</v>
      </c>
      <c r="D336" s="1" t="s">
        <v>1121</v>
      </c>
      <c r="E336" s="1" t="s">
        <v>1130</v>
      </c>
      <c r="F336" s="1" t="s">
        <v>1131</v>
      </c>
      <c r="G336" s="1" t="s">
        <v>1132</v>
      </c>
    </row>
    <row r="337" spans="1:7">
      <c r="A337" s="1">
        <v>817</v>
      </c>
      <c r="B337" s="1" t="s">
        <v>1133</v>
      </c>
      <c r="D337" s="1" t="s">
        <v>1121</v>
      </c>
      <c r="E337" s="1" t="s">
        <v>1134</v>
      </c>
      <c r="F337" s="1" t="s">
        <v>1135</v>
      </c>
      <c r="G337" s="1" t="s">
        <v>1136</v>
      </c>
    </row>
    <row r="338" spans="1:7">
      <c r="A338" s="1">
        <v>823</v>
      </c>
      <c r="B338" s="1" t="s">
        <v>1137</v>
      </c>
      <c r="D338" s="1" t="s">
        <v>1138</v>
      </c>
      <c r="E338" s="1" t="s">
        <v>1139</v>
      </c>
      <c r="F338" s="1" t="s">
        <v>1140</v>
      </c>
      <c r="G338" s="1" t="s">
        <v>1141</v>
      </c>
    </row>
    <row r="339" spans="1:7">
      <c r="A339" s="1">
        <v>826</v>
      </c>
      <c r="B339" s="1" t="s">
        <v>1142</v>
      </c>
      <c r="D339" s="1" t="s">
        <v>1143</v>
      </c>
      <c r="E339" s="1" t="s">
        <v>1144</v>
      </c>
      <c r="F339" s="1" t="s">
        <v>1145</v>
      </c>
      <c r="G339" s="1" t="s">
        <v>1146</v>
      </c>
    </row>
    <row r="340" spans="1:7">
      <c r="A340" s="1">
        <v>827</v>
      </c>
      <c r="B340" s="1" t="s">
        <v>1147</v>
      </c>
      <c r="D340" s="1" t="s">
        <v>1143</v>
      </c>
      <c r="E340" s="1" t="s">
        <v>1148</v>
      </c>
      <c r="F340" s="1" t="s">
        <v>1149</v>
      </c>
      <c r="G340" s="1" t="s">
        <v>1150</v>
      </c>
    </row>
    <row r="341" spans="1:7">
      <c r="A341" s="1">
        <v>828</v>
      </c>
      <c r="B341" s="1" t="s">
        <v>1151</v>
      </c>
      <c r="D341" s="1" t="s">
        <v>1152</v>
      </c>
      <c r="E341" s="1" t="s">
        <v>1153</v>
      </c>
      <c r="F341" s="1" t="s">
        <v>1154</v>
      </c>
      <c r="G341" s="1" t="s">
        <v>1155</v>
      </c>
    </row>
    <row r="342" spans="1:7">
      <c r="A342" s="1">
        <v>829</v>
      </c>
      <c r="B342" s="1" t="s">
        <v>1156</v>
      </c>
      <c r="D342" s="1" t="s">
        <v>1152</v>
      </c>
      <c r="E342" s="1" t="s">
        <v>1157</v>
      </c>
      <c r="F342" s="1" t="s">
        <v>1158</v>
      </c>
      <c r="G342" s="1" t="s">
        <v>1159</v>
      </c>
    </row>
    <row r="343" spans="1:7">
      <c r="A343" s="1">
        <v>830</v>
      </c>
      <c r="B343" s="1" t="s">
        <v>1160</v>
      </c>
      <c r="D343" s="1" t="s">
        <v>1152</v>
      </c>
      <c r="E343" s="1" t="s">
        <v>1161</v>
      </c>
      <c r="F343" s="1" t="s">
        <v>1162</v>
      </c>
      <c r="G343" s="1" t="s">
        <v>1163</v>
      </c>
    </row>
    <row r="344" spans="1:7">
      <c r="A344" s="1">
        <v>831</v>
      </c>
      <c r="B344" s="1" t="s">
        <v>1164</v>
      </c>
      <c r="D344" s="1" t="s">
        <v>1152</v>
      </c>
      <c r="E344" s="1" t="s">
        <v>1165</v>
      </c>
      <c r="F344" s="1" t="s">
        <v>1166</v>
      </c>
      <c r="G344" s="1" t="s">
        <v>1167</v>
      </c>
    </row>
    <row r="345" spans="1:7">
      <c r="A345" s="1">
        <v>836</v>
      </c>
      <c r="B345" s="1" t="s">
        <v>1168</v>
      </c>
      <c r="D345" s="1" t="s">
        <v>1169</v>
      </c>
      <c r="E345" s="1" t="s">
        <v>1170</v>
      </c>
      <c r="F345" s="1" t="s">
        <v>1171</v>
      </c>
      <c r="G345" s="1" t="s">
        <v>1172</v>
      </c>
    </row>
    <row r="346" spans="1:7">
      <c r="A346" s="1">
        <v>839</v>
      </c>
      <c r="B346" s="1" t="s">
        <v>1173</v>
      </c>
      <c r="D346" s="1" t="s">
        <v>1169</v>
      </c>
      <c r="E346" s="1" t="s">
        <v>1174</v>
      </c>
      <c r="F346" s="1" t="s">
        <v>1175</v>
      </c>
      <c r="G346" s="1" t="s">
        <v>1176</v>
      </c>
    </row>
    <row r="347" spans="1:7">
      <c r="A347" s="1">
        <v>840</v>
      </c>
      <c r="B347" s="1" t="s">
        <v>1177</v>
      </c>
      <c r="D347" s="1" t="s">
        <v>1169</v>
      </c>
      <c r="E347" s="1" t="s">
        <v>1178</v>
      </c>
      <c r="F347" s="1" t="s">
        <v>1179</v>
      </c>
      <c r="G347" s="1" t="s">
        <v>1180</v>
      </c>
    </row>
    <row r="348" spans="1:7">
      <c r="A348" s="1">
        <v>842</v>
      </c>
      <c r="B348" s="1" t="s">
        <v>1181</v>
      </c>
      <c r="D348" s="1" t="s">
        <v>1169</v>
      </c>
      <c r="E348" s="1" t="s">
        <v>1182</v>
      </c>
      <c r="F348" s="1" t="s">
        <v>1183</v>
      </c>
      <c r="G348" s="1" t="s">
        <v>1184</v>
      </c>
    </row>
    <row r="349" spans="1:7">
      <c r="A349" s="1">
        <v>843</v>
      </c>
      <c r="B349" s="1" t="s">
        <v>1185</v>
      </c>
      <c r="D349" s="1" t="s">
        <v>1169</v>
      </c>
      <c r="E349" s="1" t="s">
        <v>1186</v>
      </c>
      <c r="F349" s="1" t="s">
        <v>1187</v>
      </c>
      <c r="G349" s="1" t="s">
        <v>1188</v>
      </c>
    </row>
    <row r="350" spans="1:7">
      <c r="A350" s="1">
        <v>845</v>
      </c>
      <c r="B350" s="1" t="s">
        <v>1189</v>
      </c>
      <c r="D350" s="1" t="s">
        <v>1169</v>
      </c>
      <c r="E350" s="1" t="s">
        <v>1190</v>
      </c>
      <c r="F350" s="1" t="s">
        <v>1191</v>
      </c>
      <c r="G350" s="1" t="s">
        <v>1192</v>
      </c>
    </row>
    <row r="351" spans="1:7">
      <c r="A351" s="1">
        <v>846</v>
      </c>
      <c r="B351" s="1" t="s">
        <v>1193</v>
      </c>
      <c r="D351" s="1" t="s">
        <v>1169</v>
      </c>
      <c r="E351" s="1" t="s">
        <v>1194</v>
      </c>
      <c r="F351" s="1" t="s">
        <v>1195</v>
      </c>
      <c r="G351" s="1" t="s">
        <v>1196</v>
      </c>
    </row>
    <row r="352" spans="1:7">
      <c r="A352" s="1">
        <v>850</v>
      </c>
      <c r="B352" s="1" t="s">
        <v>1197</v>
      </c>
      <c r="D352" s="1" t="s">
        <v>1169</v>
      </c>
      <c r="E352" s="1" t="s">
        <v>1198</v>
      </c>
      <c r="F352" s="1" t="s">
        <v>1199</v>
      </c>
      <c r="G352" s="1" t="s">
        <v>1200</v>
      </c>
    </row>
    <row r="353" spans="1:7">
      <c r="A353" s="1">
        <v>851</v>
      </c>
      <c r="B353" s="1" t="s">
        <v>1201</v>
      </c>
      <c r="D353" s="1" t="s">
        <v>1169</v>
      </c>
      <c r="E353" s="1" t="s">
        <v>1202</v>
      </c>
      <c r="F353" s="1" t="s">
        <v>1203</v>
      </c>
      <c r="G353" s="1" t="s">
        <v>1204</v>
      </c>
    </row>
    <row r="354" spans="1:7">
      <c r="A354" s="1">
        <v>852</v>
      </c>
      <c r="B354" s="1" t="s">
        <v>1205</v>
      </c>
      <c r="D354" s="1" t="s">
        <v>1169</v>
      </c>
      <c r="E354" s="1" t="s">
        <v>1206</v>
      </c>
      <c r="F354" s="1" t="s">
        <v>1207</v>
      </c>
      <c r="G354" s="1" t="s">
        <v>1208</v>
      </c>
    </row>
    <row r="355" spans="1:7">
      <c r="A355" s="1">
        <v>853</v>
      </c>
      <c r="B355" s="1" t="s">
        <v>1209</v>
      </c>
      <c r="D355" s="1" t="s">
        <v>1169</v>
      </c>
      <c r="E355" s="1" t="s">
        <v>1210</v>
      </c>
      <c r="F355" s="1" t="s">
        <v>1211</v>
      </c>
      <c r="G355" s="1" t="s">
        <v>1212</v>
      </c>
    </row>
    <row r="356" spans="1:7">
      <c r="A356" s="1">
        <v>854</v>
      </c>
      <c r="B356" s="1" t="s">
        <v>1213</v>
      </c>
      <c r="D356" s="1" t="s">
        <v>1169</v>
      </c>
      <c r="E356" s="1" t="s">
        <v>1214</v>
      </c>
      <c r="F356" s="1" t="s">
        <v>1215</v>
      </c>
      <c r="G356" s="1" t="s">
        <v>1216</v>
      </c>
    </row>
    <row r="357" spans="1:7">
      <c r="A357" s="1">
        <v>855</v>
      </c>
      <c r="B357" s="1" t="s">
        <v>1217</v>
      </c>
      <c r="D357" s="1" t="s">
        <v>1169</v>
      </c>
      <c r="E357" s="1" t="s">
        <v>1218</v>
      </c>
      <c r="F357" s="1" t="s">
        <v>1191</v>
      </c>
      <c r="G357" s="1" t="s">
        <v>1192</v>
      </c>
    </row>
    <row r="358" spans="1:7">
      <c r="A358" s="1">
        <v>856</v>
      </c>
      <c r="B358" s="1" t="s">
        <v>1219</v>
      </c>
      <c r="D358" s="1" t="s">
        <v>1169</v>
      </c>
      <c r="E358" s="1" t="s">
        <v>1220</v>
      </c>
      <c r="F358" s="1" t="s">
        <v>1221</v>
      </c>
      <c r="G358" s="1" t="s">
        <v>1222</v>
      </c>
    </row>
    <row r="359" spans="1:7">
      <c r="A359" s="1">
        <v>857</v>
      </c>
      <c r="B359" s="1" t="s">
        <v>1223</v>
      </c>
      <c r="D359" s="1" t="s">
        <v>1224</v>
      </c>
      <c r="E359" s="1" t="s">
        <v>1225</v>
      </c>
      <c r="F359" s="1" t="s">
        <v>1226</v>
      </c>
      <c r="G359" s="1" t="s">
        <v>1227</v>
      </c>
    </row>
    <row r="360" spans="1:7">
      <c r="A360" s="1">
        <v>858</v>
      </c>
      <c r="B360" s="1" t="s">
        <v>1228</v>
      </c>
      <c r="D360" s="1" t="s">
        <v>1224</v>
      </c>
      <c r="E360" s="1" t="s">
        <v>1229</v>
      </c>
      <c r="F360" s="1" t="s">
        <v>1230</v>
      </c>
      <c r="G360" s="1" t="s">
        <v>1231</v>
      </c>
    </row>
    <row r="361" spans="1:7">
      <c r="A361" s="1">
        <v>860</v>
      </c>
      <c r="B361" s="1" t="s">
        <v>1232</v>
      </c>
      <c r="D361" s="1" t="s">
        <v>1224</v>
      </c>
      <c r="E361" s="1" t="s">
        <v>1233</v>
      </c>
      <c r="F361" s="1" t="s">
        <v>1234</v>
      </c>
      <c r="G361" s="1" t="s">
        <v>1235</v>
      </c>
    </row>
    <row r="362" spans="1:7">
      <c r="A362" s="1">
        <v>861</v>
      </c>
      <c r="B362" s="1" t="s">
        <v>1236</v>
      </c>
      <c r="D362" s="1" t="s">
        <v>1224</v>
      </c>
      <c r="E362" s="1" t="s">
        <v>1237</v>
      </c>
      <c r="F362" s="1" t="s">
        <v>1238</v>
      </c>
      <c r="G362" s="1" t="s">
        <v>1239</v>
      </c>
    </row>
    <row r="363" spans="1:7">
      <c r="A363" s="1">
        <v>862</v>
      </c>
      <c r="B363" s="1" t="s">
        <v>1240</v>
      </c>
      <c r="D363" s="1" t="s">
        <v>1224</v>
      </c>
      <c r="E363" s="1" t="s">
        <v>1241</v>
      </c>
      <c r="F363" s="1" t="s">
        <v>1242</v>
      </c>
      <c r="G363" s="1" t="s">
        <v>1243</v>
      </c>
    </row>
    <row r="364" spans="1:7">
      <c r="A364" s="1">
        <v>863</v>
      </c>
      <c r="B364" s="1" t="s">
        <v>1244</v>
      </c>
      <c r="D364" s="1" t="s">
        <v>1224</v>
      </c>
      <c r="E364" s="1" t="s">
        <v>1245</v>
      </c>
      <c r="F364" s="1" t="s">
        <v>1246</v>
      </c>
      <c r="G364" s="1" t="s">
        <v>1247</v>
      </c>
    </row>
    <row r="365" spans="1:7">
      <c r="A365" s="1">
        <v>864</v>
      </c>
      <c r="B365" s="1" t="s">
        <v>1248</v>
      </c>
      <c r="D365" s="1" t="s">
        <v>1224</v>
      </c>
      <c r="E365" s="1" t="s">
        <v>1249</v>
      </c>
      <c r="F365" s="1" t="s">
        <v>1250</v>
      </c>
      <c r="G365" s="1" t="s">
        <v>1251</v>
      </c>
    </row>
    <row r="366" spans="1:7">
      <c r="A366" s="1">
        <v>865</v>
      </c>
      <c r="B366" s="1" t="s">
        <v>1252</v>
      </c>
      <c r="D366" s="1" t="s">
        <v>1224</v>
      </c>
      <c r="E366" s="1" t="s">
        <v>1253</v>
      </c>
      <c r="F366" s="1" t="s">
        <v>1254</v>
      </c>
      <c r="G366" s="1" t="s">
        <v>1255</v>
      </c>
    </row>
    <row r="367" spans="1:7">
      <c r="A367" s="1">
        <v>866</v>
      </c>
      <c r="B367" s="1" t="s">
        <v>1256</v>
      </c>
      <c r="D367" s="1" t="s">
        <v>1224</v>
      </c>
      <c r="E367" s="1" t="s">
        <v>1257</v>
      </c>
      <c r="F367" s="1" t="s">
        <v>1258</v>
      </c>
      <c r="G367" s="1" t="s">
        <v>1259</v>
      </c>
    </row>
    <row r="368" spans="1:7">
      <c r="A368" s="1">
        <v>869</v>
      </c>
      <c r="B368" s="1" t="s">
        <v>1260</v>
      </c>
      <c r="D368" s="1" t="s">
        <v>1224</v>
      </c>
      <c r="E368" s="1" t="s">
        <v>1261</v>
      </c>
      <c r="F368" s="1" t="s">
        <v>1262</v>
      </c>
      <c r="G368" s="1" t="s">
        <v>1263</v>
      </c>
    </row>
    <row r="369" spans="1:7">
      <c r="A369" s="1">
        <v>870</v>
      </c>
      <c r="B369" s="1" t="s">
        <v>1264</v>
      </c>
      <c r="D369" s="1" t="s">
        <v>1224</v>
      </c>
      <c r="E369" s="1" t="s">
        <v>1265</v>
      </c>
      <c r="F369" s="1" t="s">
        <v>1266</v>
      </c>
      <c r="G369" s="1" t="s">
        <v>1267</v>
      </c>
    </row>
    <row r="370" spans="1:7">
      <c r="A370" s="1">
        <v>871</v>
      </c>
      <c r="B370" s="1" t="s">
        <v>1268</v>
      </c>
      <c r="D370" s="1" t="s">
        <v>1269</v>
      </c>
      <c r="E370" s="1" t="s">
        <v>1270</v>
      </c>
      <c r="F370" s="1" t="s">
        <v>1226</v>
      </c>
      <c r="G370" s="1" t="s">
        <v>1227</v>
      </c>
    </row>
    <row r="371" spans="1:7">
      <c r="A371" s="1">
        <v>872</v>
      </c>
      <c r="B371" s="1" t="s">
        <v>1271</v>
      </c>
      <c r="D371" s="1" t="s">
        <v>1269</v>
      </c>
      <c r="E371" s="1" t="s">
        <v>1272</v>
      </c>
      <c r="F371" s="1" t="s">
        <v>1230</v>
      </c>
      <c r="G371" s="1" t="s">
        <v>1231</v>
      </c>
    </row>
    <row r="372" spans="1:7">
      <c r="A372" s="1">
        <v>874</v>
      </c>
      <c r="B372" s="1" t="s">
        <v>1273</v>
      </c>
      <c r="D372" s="1" t="s">
        <v>1269</v>
      </c>
      <c r="E372" s="1" t="s">
        <v>1274</v>
      </c>
      <c r="F372" s="1" t="s">
        <v>1234</v>
      </c>
      <c r="G372" s="1" t="s">
        <v>1235</v>
      </c>
    </row>
    <row r="373" spans="1:7">
      <c r="A373" s="1">
        <v>875</v>
      </c>
      <c r="B373" s="1" t="s">
        <v>1275</v>
      </c>
      <c r="D373" s="1" t="s">
        <v>1269</v>
      </c>
      <c r="E373" s="1" t="s">
        <v>1276</v>
      </c>
      <c r="F373" s="1" t="s">
        <v>1238</v>
      </c>
      <c r="G373" s="1" t="s">
        <v>1239</v>
      </c>
    </row>
    <row r="374" spans="1:7">
      <c r="A374" s="1">
        <v>876</v>
      </c>
      <c r="B374" s="1" t="s">
        <v>1277</v>
      </c>
      <c r="D374" s="1" t="s">
        <v>1269</v>
      </c>
      <c r="E374" s="1" t="s">
        <v>1278</v>
      </c>
      <c r="F374" s="1" t="s">
        <v>1242</v>
      </c>
      <c r="G374" s="1" t="s">
        <v>1243</v>
      </c>
    </row>
    <row r="375" spans="1:7">
      <c r="A375" s="1">
        <v>877</v>
      </c>
      <c r="B375" s="1" t="s">
        <v>1279</v>
      </c>
      <c r="D375" s="1" t="s">
        <v>1269</v>
      </c>
      <c r="E375" s="1" t="s">
        <v>1280</v>
      </c>
      <c r="F375" s="1" t="s">
        <v>1246</v>
      </c>
      <c r="G375" s="1" t="s">
        <v>1247</v>
      </c>
    </row>
    <row r="376" spans="1:7">
      <c r="A376" s="1">
        <v>878</v>
      </c>
      <c r="B376" s="1" t="s">
        <v>1281</v>
      </c>
      <c r="D376" s="1" t="s">
        <v>1269</v>
      </c>
      <c r="E376" s="1" t="s">
        <v>1282</v>
      </c>
      <c r="F376" s="1" t="s">
        <v>1250</v>
      </c>
      <c r="G376" s="1" t="s">
        <v>1251</v>
      </c>
    </row>
    <row r="377" spans="1:7">
      <c r="A377" s="1">
        <v>879</v>
      </c>
      <c r="B377" s="1" t="s">
        <v>1283</v>
      </c>
      <c r="D377" s="1" t="s">
        <v>1269</v>
      </c>
      <c r="E377" s="1" t="s">
        <v>1284</v>
      </c>
      <c r="F377" s="1" t="s">
        <v>1254</v>
      </c>
      <c r="G377" s="1" t="s">
        <v>1255</v>
      </c>
    </row>
    <row r="378" spans="1:7">
      <c r="A378" s="1">
        <v>880</v>
      </c>
      <c r="B378" s="1" t="s">
        <v>1285</v>
      </c>
      <c r="D378" s="1" t="s">
        <v>1269</v>
      </c>
      <c r="E378" s="1" t="s">
        <v>1286</v>
      </c>
      <c r="F378" s="1" t="s">
        <v>1258</v>
      </c>
      <c r="G378" s="1" t="s">
        <v>1259</v>
      </c>
    </row>
    <row r="379" spans="1:7">
      <c r="A379" s="1">
        <v>883</v>
      </c>
      <c r="B379" s="1" t="s">
        <v>1287</v>
      </c>
      <c r="D379" s="1" t="s">
        <v>1269</v>
      </c>
      <c r="E379" s="1" t="s">
        <v>1288</v>
      </c>
      <c r="F379" s="1" t="s">
        <v>1262</v>
      </c>
      <c r="G379" s="1" t="s">
        <v>1263</v>
      </c>
    </row>
    <row r="380" spans="1:7">
      <c r="A380" s="1">
        <v>884</v>
      </c>
      <c r="B380" s="1" t="s">
        <v>1289</v>
      </c>
      <c r="D380" s="1" t="s">
        <v>1269</v>
      </c>
      <c r="E380" s="1" t="s">
        <v>1290</v>
      </c>
      <c r="F380" s="1" t="s">
        <v>1266</v>
      </c>
      <c r="G380" s="1" t="s">
        <v>1267</v>
      </c>
    </row>
    <row r="381" spans="1:7">
      <c r="A381" s="1">
        <v>885</v>
      </c>
      <c r="B381" s="1" t="s">
        <v>1291</v>
      </c>
      <c r="D381" s="1" t="s">
        <v>1292</v>
      </c>
      <c r="E381" s="1" t="s">
        <v>1293</v>
      </c>
      <c r="F381" s="1" t="s">
        <v>297</v>
      </c>
      <c r="G381" s="1" t="s">
        <v>298</v>
      </c>
    </row>
    <row r="382" spans="1:7">
      <c r="A382" s="1">
        <v>886</v>
      </c>
      <c r="B382" s="1" t="s">
        <v>1294</v>
      </c>
      <c r="D382" s="1" t="s">
        <v>1292</v>
      </c>
      <c r="E382" s="1" t="s">
        <v>1295</v>
      </c>
      <c r="F382" s="1" t="s">
        <v>301</v>
      </c>
      <c r="G382" s="1" t="s">
        <v>302</v>
      </c>
    </row>
    <row r="383" spans="1:7">
      <c r="A383" s="1">
        <v>887</v>
      </c>
      <c r="B383" s="1" t="s">
        <v>1296</v>
      </c>
      <c r="D383" s="1" t="s">
        <v>1292</v>
      </c>
      <c r="E383" s="1" t="s">
        <v>1297</v>
      </c>
      <c r="F383" s="1" t="s">
        <v>305</v>
      </c>
      <c r="G383" s="1" t="s">
        <v>306</v>
      </c>
    </row>
    <row r="384" spans="1:7">
      <c r="A384" s="1">
        <v>888</v>
      </c>
      <c r="B384" s="1" t="s">
        <v>1298</v>
      </c>
      <c r="D384" s="1" t="s">
        <v>1299</v>
      </c>
      <c r="E384" s="1" t="s">
        <v>1300</v>
      </c>
      <c r="F384" s="1" t="s">
        <v>305</v>
      </c>
      <c r="G384" s="1" t="s">
        <v>306</v>
      </c>
    </row>
    <row r="385" spans="1:7">
      <c r="A385" s="1">
        <v>889</v>
      </c>
      <c r="B385" s="1" t="s">
        <v>1301</v>
      </c>
      <c r="D385" s="1" t="s">
        <v>1302</v>
      </c>
      <c r="E385" s="1" t="s">
        <v>1303</v>
      </c>
      <c r="F385" s="1" t="s">
        <v>297</v>
      </c>
      <c r="G385" s="1" t="s">
        <v>298</v>
      </c>
    </row>
    <row r="386" spans="1:7">
      <c r="A386" s="1">
        <v>890</v>
      </c>
      <c r="B386" s="1" t="s">
        <v>1304</v>
      </c>
      <c r="D386" s="1" t="s">
        <v>1302</v>
      </c>
      <c r="E386" s="1" t="s">
        <v>1305</v>
      </c>
      <c r="F386" s="1" t="s">
        <v>301</v>
      </c>
      <c r="G386" s="1" t="s">
        <v>302</v>
      </c>
    </row>
    <row r="387" spans="1:7">
      <c r="A387" s="1">
        <v>891</v>
      </c>
      <c r="B387" s="1" t="s">
        <v>1306</v>
      </c>
      <c r="D387" s="1" t="s">
        <v>1307</v>
      </c>
      <c r="E387" s="1" t="s">
        <v>1308</v>
      </c>
      <c r="F387" s="1" t="s">
        <v>161</v>
      </c>
      <c r="G387" s="1" t="s">
        <v>162</v>
      </c>
    </row>
    <row r="388" spans="1:7">
      <c r="A388" s="1">
        <v>893</v>
      </c>
      <c r="B388" s="1" t="s">
        <v>1309</v>
      </c>
      <c r="D388" s="1" t="s">
        <v>1307</v>
      </c>
      <c r="E388" s="1" t="s">
        <v>1310</v>
      </c>
      <c r="F388" s="1" t="s">
        <v>165</v>
      </c>
      <c r="G388" s="1" t="s">
        <v>166</v>
      </c>
    </row>
    <row r="389" spans="1:7">
      <c r="A389" s="1">
        <v>898</v>
      </c>
      <c r="B389" s="1" t="s">
        <v>1311</v>
      </c>
      <c r="D389" s="1" t="s">
        <v>1307</v>
      </c>
      <c r="E389" s="1" t="s">
        <v>1312</v>
      </c>
      <c r="F389" s="1" t="s">
        <v>169</v>
      </c>
      <c r="G389" s="1" t="s">
        <v>170</v>
      </c>
    </row>
    <row r="390" spans="1:7">
      <c r="A390" s="1">
        <v>901</v>
      </c>
      <c r="B390" s="1" t="s">
        <v>1313</v>
      </c>
      <c r="D390" s="1" t="s">
        <v>1307</v>
      </c>
      <c r="E390" s="1" t="s">
        <v>1314</v>
      </c>
      <c r="F390" s="1" t="s">
        <v>1315</v>
      </c>
      <c r="G390" s="1" t="s">
        <v>1316</v>
      </c>
    </row>
    <row r="391" spans="1:7">
      <c r="A391" s="1">
        <v>902</v>
      </c>
      <c r="B391" s="1" t="s">
        <v>1317</v>
      </c>
      <c r="D391" s="1" t="s">
        <v>1307</v>
      </c>
      <c r="E391" s="1" t="s">
        <v>1318</v>
      </c>
      <c r="F391" s="1" t="s">
        <v>1319</v>
      </c>
      <c r="G391" s="1" t="s">
        <v>1320</v>
      </c>
    </row>
    <row r="392" spans="1:7">
      <c r="A392" s="1">
        <v>903</v>
      </c>
      <c r="B392" s="1" t="s">
        <v>1321</v>
      </c>
      <c r="D392" s="1" t="s">
        <v>1307</v>
      </c>
      <c r="E392" s="1" t="s">
        <v>1322</v>
      </c>
      <c r="F392" s="1" t="s">
        <v>173</v>
      </c>
      <c r="G392" s="1" t="s">
        <v>174</v>
      </c>
    </row>
    <row r="393" spans="1:7">
      <c r="A393" s="1">
        <v>904</v>
      </c>
      <c r="B393" s="1" t="s">
        <v>1323</v>
      </c>
      <c r="D393" s="1" t="s">
        <v>1307</v>
      </c>
      <c r="E393" s="1" t="s">
        <v>1324</v>
      </c>
      <c r="F393" s="1" t="s">
        <v>177</v>
      </c>
      <c r="G393" s="1" t="s">
        <v>178</v>
      </c>
    </row>
    <row r="394" spans="1:7">
      <c r="A394" s="1">
        <v>905</v>
      </c>
      <c r="B394" s="1" t="s">
        <v>1325</v>
      </c>
      <c r="D394" s="1" t="s">
        <v>1307</v>
      </c>
      <c r="E394" s="1" t="s">
        <v>1326</v>
      </c>
      <c r="F394" s="1" t="s">
        <v>181</v>
      </c>
      <c r="G394" s="1" t="s">
        <v>182</v>
      </c>
    </row>
    <row r="395" spans="1:7">
      <c r="A395" s="1">
        <v>906</v>
      </c>
      <c r="B395" s="1" t="s">
        <v>1327</v>
      </c>
      <c r="D395" s="1" t="s">
        <v>1328</v>
      </c>
      <c r="E395" s="1" t="s">
        <v>1329</v>
      </c>
      <c r="F395" s="1" t="s">
        <v>906</v>
      </c>
      <c r="G395" s="1" t="s">
        <v>907</v>
      </c>
    </row>
    <row r="396" spans="1:7">
      <c r="A396" s="1">
        <v>907</v>
      </c>
      <c r="B396" s="1" t="s">
        <v>1330</v>
      </c>
      <c r="D396" s="1" t="s">
        <v>1328</v>
      </c>
      <c r="E396" s="1" t="s">
        <v>1331</v>
      </c>
      <c r="F396" s="1" t="s">
        <v>161</v>
      </c>
      <c r="G396" s="1" t="s">
        <v>162</v>
      </c>
    </row>
    <row r="397" spans="1:7">
      <c r="A397" s="1">
        <v>909</v>
      </c>
      <c r="B397" s="1" t="s">
        <v>1332</v>
      </c>
      <c r="D397" s="1" t="s">
        <v>1328</v>
      </c>
      <c r="E397" s="1" t="s">
        <v>1333</v>
      </c>
      <c r="F397" s="1" t="s">
        <v>165</v>
      </c>
      <c r="G397" s="1" t="s">
        <v>166</v>
      </c>
    </row>
    <row r="398" spans="1:7">
      <c r="A398" s="1">
        <v>916</v>
      </c>
      <c r="B398" s="1" t="s">
        <v>1334</v>
      </c>
      <c r="D398" s="1" t="s">
        <v>1328</v>
      </c>
      <c r="E398" s="1" t="s">
        <v>1335</v>
      </c>
      <c r="F398" s="1" t="s">
        <v>396</v>
      </c>
      <c r="G398" s="1" t="s">
        <v>397</v>
      </c>
    </row>
    <row r="399" spans="1:7">
      <c r="A399" s="1">
        <v>917</v>
      </c>
      <c r="B399" s="1" t="s">
        <v>1336</v>
      </c>
      <c r="D399" s="1" t="s">
        <v>1328</v>
      </c>
      <c r="E399" s="1" t="s">
        <v>1337</v>
      </c>
      <c r="F399" s="1" t="s">
        <v>392</v>
      </c>
      <c r="G399" s="1" t="s">
        <v>393</v>
      </c>
    </row>
    <row r="400" spans="1:7">
      <c r="A400" s="1">
        <v>918</v>
      </c>
      <c r="B400" s="1" t="s">
        <v>1338</v>
      </c>
      <c r="D400" s="1" t="s">
        <v>1328</v>
      </c>
      <c r="E400" s="1" t="s">
        <v>1339</v>
      </c>
      <c r="F400" s="1" t="s">
        <v>400</v>
      </c>
      <c r="G400" s="1" t="s">
        <v>401</v>
      </c>
    </row>
    <row r="401" spans="1:7">
      <c r="A401" s="1">
        <v>951</v>
      </c>
      <c r="B401" s="1" t="s">
        <v>1340</v>
      </c>
      <c r="D401" s="1" t="s">
        <v>1341</v>
      </c>
      <c r="E401" s="1" t="s">
        <v>1342</v>
      </c>
      <c r="F401" s="1" t="s">
        <v>761</v>
      </c>
      <c r="G401" s="1" t="s">
        <v>762</v>
      </c>
    </row>
    <row r="402" spans="1:7">
      <c r="A402" s="1">
        <v>959</v>
      </c>
      <c r="B402" s="1" t="s">
        <v>1343</v>
      </c>
      <c r="D402" s="1" t="s">
        <v>1344</v>
      </c>
      <c r="E402" s="1" t="s">
        <v>1345</v>
      </c>
      <c r="F402" s="1" t="s">
        <v>1346</v>
      </c>
      <c r="G402" s="1" t="s">
        <v>1347</v>
      </c>
    </row>
    <row r="403" spans="1:7">
      <c r="A403" s="1">
        <v>964</v>
      </c>
      <c r="B403" s="1" t="s">
        <v>1348</v>
      </c>
      <c r="D403" s="1" t="s">
        <v>1344</v>
      </c>
      <c r="E403" s="1" t="s">
        <v>1349</v>
      </c>
      <c r="F403" s="1" t="s">
        <v>1350</v>
      </c>
      <c r="G403" s="1" t="s">
        <v>1351</v>
      </c>
    </row>
    <row r="404" spans="1:7">
      <c r="A404" s="1">
        <v>968</v>
      </c>
      <c r="B404" s="1" t="s">
        <v>1352</v>
      </c>
      <c r="D404" s="1" t="s">
        <v>1344</v>
      </c>
      <c r="E404" s="1" t="s">
        <v>1353</v>
      </c>
      <c r="F404" s="1" t="s">
        <v>1354</v>
      </c>
      <c r="G404" s="1" t="s">
        <v>1355</v>
      </c>
    </row>
    <row r="405" spans="1:7">
      <c r="A405" s="1">
        <v>969</v>
      </c>
      <c r="B405" s="1" t="s">
        <v>1356</v>
      </c>
      <c r="D405" s="1" t="s">
        <v>1344</v>
      </c>
      <c r="E405" s="1" t="s">
        <v>1357</v>
      </c>
      <c r="F405" s="1" t="s">
        <v>1358</v>
      </c>
      <c r="G405" s="1" t="s">
        <v>1359</v>
      </c>
    </row>
    <row r="406" spans="1:7">
      <c r="A406" s="1">
        <v>1005</v>
      </c>
      <c r="B406" s="1" t="s">
        <v>1360</v>
      </c>
      <c r="D406" s="1" t="s">
        <v>1344</v>
      </c>
      <c r="E406" s="1" t="s">
        <v>1361</v>
      </c>
      <c r="F406" s="1" t="s">
        <v>1362</v>
      </c>
      <c r="G406" s="1" t="s">
        <v>1363</v>
      </c>
    </row>
    <row r="407" spans="1:7">
      <c r="A407" s="1">
        <v>1006</v>
      </c>
      <c r="B407" s="1" t="s">
        <v>1364</v>
      </c>
      <c r="D407" s="1" t="s">
        <v>1344</v>
      </c>
      <c r="E407" s="1" t="s">
        <v>1365</v>
      </c>
      <c r="F407" s="1" t="s">
        <v>1366</v>
      </c>
      <c r="G407" s="1" t="s">
        <v>1367</v>
      </c>
    </row>
    <row r="408" spans="1:7">
      <c r="A408" s="1">
        <v>1022</v>
      </c>
      <c r="B408" s="1" t="s">
        <v>1368</v>
      </c>
      <c r="D408" s="1" t="s">
        <v>1369</v>
      </c>
      <c r="E408" s="1" t="s">
        <v>1370</v>
      </c>
      <c r="F408" s="1" t="s">
        <v>1346</v>
      </c>
      <c r="G408" s="1" t="s">
        <v>1347</v>
      </c>
    </row>
    <row r="409" spans="1:7">
      <c r="A409" s="1">
        <v>1027</v>
      </c>
      <c r="B409" s="1" t="s">
        <v>1371</v>
      </c>
      <c r="D409" s="1" t="s">
        <v>1369</v>
      </c>
      <c r="E409" s="1" t="s">
        <v>1372</v>
      </c>
      <c r="F409" s="1" t="s">
        <v>1350</v>
      </c>
      <c r="G409" s="1" t="s">
        <v>1351</v>
      </c>
    </row>
    <row r="410" spans="1:7">
      <c r="A410" s="1">
        <v>1031</v>
      </c>
      <c r="B410" s="1" t="s">
        <v>1373</v>
      </c>
      <c r="D410" s="1" t="s">
        <v>1369</v>
      </c>
      <c r="E410" s="1" t="s">
        <v>1374</v>
      </c>
      <c r="F410" s="1" t="s">
        <v>1354</v>
      </c>
      <c r="G410" s="1" t="s">
        <v>1355</v>
      </c>
    </row>
    <row r="411" spans="1:7">
      <c r="A411" s="1">
        <v>1032</v>
      </c>
      <c r="B411" s="1" t="s">
        <v>1375</v>
      </c>
      <c r="D411" s="1" t="s">
        <v>1369</v>
      </c>
      <c r="E411" s="1" t="s">
        <v>1376</v>
      </c>
      <c r="F411" s="1" t="s">
        <v>1358</v>
      </c>
      <c r="G411" s="1" t="s">
        <v>1359</v>
      </c>
    </row>
    <row r="412" spans="1:7">
      <c r="A412" s="1">
        <v>1068</v>
      </c>
      <c r="B412" s="1" t="s">
        <v>1377</v>
      </c>
      <c r="D412" s="1" t="s">
        <v>1369</v>
      </c>
      <c r="E412" s="1" t="s">
        <v>1378</v>
      </c>
      <c r="F412" s="1" t="s">
        <v>1362</v>
      </c>
      <c r="G412" s="1" t="s">
        <v>1363</v>
      </c>
    </row>
    <row r="413" spans="1:7">
      <c r="A413" s="1">
        <v>1069</v>
      </c>
      <c r="B413" s="1" t="s">
        <v>1379</v>
      </c>
      <c r="D413" s="1" t="s">
        <v>1369</v>
      </c>
      <c r="E413" s="1" t="s">
        <v>1380</v>
      </c>
      <c r="F413" s="1" t="s">
        <v>1366</v>
      </c>
      <c r="G413" s="1" t="s">
        <v>1367</v>
      </c>
    </row>
    <row r="414" spans="1:7">
      <c r="A414" s="1">
        <v>1135</v>
      </c>
      <c r="B414" s="1" t="s">
        <v>1381</v>
      </c>
      <c r="D414" s="1" t="s">
        <v>1382</v>
      </c>
      <c r="E414" s="1" t="s">
        <v>1383</v>
      </c>
      <c r="F414" s="1" t="s">
        <v>761</v>
      </c>
      <c r="G414" s="1" t="s">
        <v>762</v>
      </c>
    </row>
    <row r="415" spans="1:7">
      <c r="A415" s="1">
        <v>1175</v>
      </c>
      <c r="B415" s="1" t="s">
        <v>1384</v>
      </c>
      <c r="D415" s="1" t="s">
        <v>1385</v>
      </c>
      <c r="E415" s="1" t="s">
        <v>1386</v>
      </c>
      <c r="F415" s="1" t="s">
        <v>761</v>
      </c>
      <c r="G415" s="1" t="s">
        <v>762</v>
      </c>
    </row>
    <row r="416" spans="1:7">
      <c r="A416" s="1">
        <v>1215</v>
      </c>
      <c r="B416" s="1" t="s">
        <v>1387</v>
      </c>
      <c r="D416" s="1" t="s">
        <v>1388</v>
      </c>
      <c r="E416" s="1" t="s">
        <v>1389</v>
      </c>
      <c r="F416" s="1" t="s">
        <v>761</v>
      </c>
      <c r="G416" s="1" t="s">
        <v>762</v>
      </c>
    </row>
    <row r="417" spans="1:7">
      <c r="A417" s="1">
        <v>1255</v>
      </c>
      <c r="B417" s="1" t="s">
        <v>1390</v>
      </c>
      <c r="D417" s="1" t="s">
        <v>1391</v>
      </c>
      <c r="E417" s="1" t="s">
        <v>1392</v>
      </c>
      <c r="F417" s="1" t="s">
        <v>761</v>
      </c>
      <c r="G417" s="1" t="s">
        <v>762</v>
      </c>
    </row>
    <row r="418" spans="1:7">
      <c r="A418" s="1">
        <v>1375</v>
      </c>
      <c r="B418" s="1" t="s">
        <v>1393</v>
      </c>
      <c r="D418" s="1" t="s">
        <v>1394</v>
      </c>
      <c r="E418" s="1" t="s">
        <v>1395</v>
      </c>
      <c r="F418" s="1" t="s">
        <v>1396</v>
      </c>
      <c r="G418" s="1" t="s">
        <v>1397</v>
      </c>
    </row>
    <row r="419" spans="1:7">
      <c r="A419" s="1">
        <v>1389</v>
      </c>
      <c r="B419" s="1" t="s">
        <v>1398</v>
      </c>
      <c r="D419" s="1" t="s">
        <v>1394</v>
      </c>
      <c r="E419" s="1" t="s">
        <v>1399</v>
      </c>
      <c r="F419" s="1" t="s">
        <v>1400</v>
      </c>
      <c r="G419" s="1" t="s">
        <v>1401</v>
      </c>
    </row>
    <row r="420" spans="1:7">
      <c r="A420" s="1">
        <v>1394</v>
      </c>
      <c r="B420" s="1" t="s">
        <v>1402</v>
      </c>
      <c r="D420" s="1" t="s">
        <v>1403</v>
      </c>
      <c r="E420" s="1" t="s">
        <v>1404</v>
      </c>
      <c r="F420" s="1" t="s">
        <v>1405</v>
      </c>
      <c r="G420" s="1" t="s">
        <v>1406</v>
      </c>
    </row>
    <row r="421" spans="1:7">
      <c r="A421" s="1">
        <v>1395</v>
      </c>
      <c r="B421" s="1" t="s">
        <v>1407</v>
      </c>
      <c r="D421" s="1" t="s">
        <v>1403</v>
      </c>
      <c r="E421" s="1" t="s">
        <v>1408</v>
      </c>
      <c r="F421" s="1" t="s">
        <v>1409</v>
      </c>
      <c r="G421" s="1" t="s">
        <v>1410</v>
      </c>
    </row>
    <row r="422" spans="1:7">
      <c r="A422" s="1">
        <v>1396</v>
      </c>
      <c r="B422" s="1" t="s">
        <v>1411</v>
      </c>
      <c r="D422" s="1" t="s">
        <v>1403</v>
      </c>
      <c r="E422" s="1" t="s">
        <v>1412</v>
      </c>
      <c r="F422" s="1" t="s">
        <v>1405</v>
      </c>
      <c r="G422" s="1" t="s">
        <v>1406</v>
      </c>
    </row>
    <row r="423" spans="1:7">
      <c r="A423" s="1">
        <v>1397</v>
      </c>
      <c r="B423" s="1" t="s">
        <v>1413</v>
      </c>
      <c r="D423" s="1" t="s">
        <v>1403</v>
      </c>
      <c r="E423" s="1" t="s">
        <v>1414</v>
      </c>
      <c r="F423" s="1" t="s">
        <v>1415</v>
      </c>
      <c r="G423" s="1" t="s">
        <v>1416</v>
      </c>
    </row>
    <row r="424" spans="1:7">
      <c r="A424" s="1">
        <v>1398</v>
      </c>
      <c r="B424" s="1" t="s">
        <v>1417</v>
      </c>
      <c r="D424" s="1" t="s">
        <v>1418</v>
      </c>
      <c r="E424" s="1" t="s">
        <v>1419</v>
      </c>
      <c r="F424" s="1" t="s">
        <v>1420</v>
      </c>
      <c r="G424" s="1" t="s">
        <v>1421</v>
      </c>
    </row>
    <row r="425" spans="1:7">
      <c r="A425" s="1">
        <v>1399</v>
      </c>
      <c r="B425" s="1" t="s">
        <v>1422</v>
      </c>
      <c r="D425" s="1" t="s">
        <v>1423</v>
      </c>
      <c r="E425" s="1" t="s">
        <v>1424</v>
      </c>
      <c r="F425" s="1" t="s">
        <v>1425</v>
      </c>
      <c r="G425" s="1" t="s">
        <v>1426</v>
      </c>
    </row>
    <row r="426" spans="1:7">
      <c r="A426" s="1">
        <v>1401</v>
      </c>
      <c r="B426" s="1" t="s">
        <v>1427</v>
      </c>
      <c r="D426" s="1" t="s">
        <v>1428</v>
      </c>
      <c r="E426" s="1" t="s">
        <v>1429</v>
      </c>
      <c r="F426" s="1" t="s">
        <v>1430</v>
      </c>
      <c r="G426" s="1" t="s">
        <v>1431</v>
      </c>
    </row>
    <row r="427" spans="1:7">
      <c r="A427" s="1">
        <v>1402</v>
      </c>
      <c r="B427" s="1" t="s">
        <v>1432</v>
      </c>
      <c r="D427" s="1" t="s">
        <v>1428</v>
      </c>
      <c r="E427" s="1" t="s">
        <v>1433</v>
      </c>
      <c r="F427" s="1" t="s">
        <v>1434</v>
      </c>
      <c r="G427" s="1" t="s">
        <v>1435</v>
      </c>
    </row>
    <row r="428" spans="1:7">
      <c r="A428" s="1">
        <v>1403</v>
      </c>
      <c r="B428" s="1" t="s">
        <v>1436</v>
      </c>
      <c r="D428" s="1" t="s">
        <v>1428</v>
      </c>
      <c r="E428" s="1" t="s">
        <v>1437</v>
      </c>
      <c r="F428" s="1" t="s">
        <v>1438</v>
      </c>
      <c r="G428" s="1" t="s">
        <v>1439</v>
      </c>
    </row>
    <row r="429" spans="1:7">
      <c r="A429" s="1">
        <v>1404</v>
      </c>
      <c r="B429" s="1" t="s">
        <v>1440</v>
      </c>
      <c r="D429" s="1" t="s">
        <v>1428</v>
      </c>
      <c r="E429" s="1" t="s">
        <v>1441</v>
      </c>
      <c r="F429" s="1" t="s">
        <v>1442</v>
      </c>
      <c r="G429" s="1" t="s">
        <v>1443</v>
      </c>
    </row>
    <row r="430" spans="1:7">
      <c r="A430" s="1">
        <v>1408</v>
      </c>
      <c r="B430" s="1" t="s">
        <v>1444</v>
      </c>
      <c r="D430" s="1" t="s">
        <v>1445</v>
      </c>
      <c r="E430" s="1" t="s">
        <v>1446</v>
      </c>
      <c r="F430" s="1" t="s">
        <v>1447</v>
      </c>
      <c r="G430" s="1" t="s">
        <v>1448</v>
      </c>
    </row>
    <row r="431" spans="1:7">
      <c r="A431" s="1">
        <v>1409</v>
      </c>
      <c r="B431" s="1" t="s">
        <v>1449</v>
      </c>
      <c r="D431" s="1" t="s">
        <v>1445</v>
      </c>
      <c r="E431" s="1" t="s">
        <v>1450</v>
      </c>
      <c r="F431" s="1" t="s">
        <v>1451</v>
      </c>
      <c r="G431" s="1" t="s">
        <v>1452</v>
      </c>
    </row>
    <row r="432" spans="1:7">
      <c r="A432" s="1">
        <v>1417</v>
      </c>
      <c r="B432" s="1" t="s">
        <v>1453</v>
      </c>
      <c r="D432" s="1" t="s">
        <v>1454</v>
      </c>
      <c r="E432" s="1" t="s">
        <v>1455</v>
      </c>
      <c r="F432" s="1" t="s">
        <v>1456</v>
      </c>
      <c r="G432" s="1" t="s">
        <v>1457</v>
      </c>
    </row>
    <row r="433" spans="1:7">
      <c r="A433" s="1">
        <v>1419</v>
      </c>
      <c r="B433" s="1" t="s">
        <v>1458</v>
      </c>
      <c r="D433" s="1" t="s">
        <v>1454</v>
      </c>
      <c r="E433" s="1" t="s">
        <v>1459</v>
      </c>
      <c r="F433" s="1" t="s">
        <v>1460</v>
      </c>
      <c r="G433" s="1" t="s">
        <v>1461</v>
      </c>
    </row>
    <row r="434" spans="1:7">
      <c r="A434" s="1">
        <v>1424</v>
      </c>
      <c r="B434" s="1" t="s">
        <v>1462</v>
      </c>
      <c r="D434" s="1" t="s">
        <v>1454</v>
      </c>
      <c r="E434" s="1" t="s">
        <v>1463</v>
      </c>
      <c r="F434" s="1" t="s">
        <v>1464</v>
      </c>
      <c r="G434" s="1" t="s">
        <v>1465</v>
      </c>
    </row>
    <row r="435" spans="1:7">
      <c r="A435" s="1">
        <v>1427</v>
      </c>
      <c r="B435" s="1" t="s">
        <v>1466</v>
      </c>
      <c r="D435" s="1" t="s">
        <v>1454</v>
      </c>
      <c r="E435" s="1" t="s">
        <v>1467</v>
      </c>
      <c r="F435" s="1" t="s">
        <v>1468</v>
      </c>
      <c r="G435" s="1" t="s">
        <v>1469</v>
      </c>
    </row>
    <row r="436" spans="1:7">
      <c r="A436" s="1">
        <v>1430</v>
      </c>
      <c r="B436" s="1" t="s">
        <v>1470</v>
      </c>
      <c r="D436" s="1" t="s">
        <v>1454</v>
      </c>
      <c r="E436" s="1" t="s">
        <v>1471</v>
      </c>
      <c r="F436" s="1" t="s">
        <v>1472</v>
      </c>
      <c r="G436" s="1" t="s">
        <v>1473</v>
      </c>
    </row>
    <row r="437" spans="1:7">
      <c r="A437" s="1">
        <v>1432</v>
      </c>
      <c r="B437" s="1" t="s">
        <v>1474</v>
      </c>
      <c r="D437" s="1" t="s">
        <v>1454</v>
      </c>
      <c r="E437" s="1" t="s">
        <v>1475</v>
      </c>
      <c r="F437" s="1" t="s">
        <v>1476</v>
      </c>
      <c r="G437" s="1" t="s">
        <v>1477</v>
      </c>
    </row>
    <row r="438" spans="1:7">
      <c r="A438" s="1">
        <v>1433</v>
      </c>
      <c r="B438" s="1" t="s">
        <v>1478</v>
      </c>
      <c r="D438" s="1" t="s">
        <v>1454</v>
      </c>
      <c r="E438" s="1" t="s">
        <v>1479</v>
      </c>
      <c r="F438" s="1" t="s">
        <v>1480</v>
      </c>
      <c r="G438" s="1" t="s">
        <v>1481</v>
      </c>
    </row>
    <row r="439" spans="1:7">
      <c r="A439" s="1">
        <v>1434</v>
      </c>
      <c r="B439" s="1" t="s">
        <v>1482</v>
      </c>
      <c r="D439" s="1" t="s">
        <v>1454</v>
      </c>
      <c r="E439" s="1" t="s">
        <v>1483</v>
      </c>
      <c r="F439" s="1" t="s">
        <v>1484</v>
      </c>
      <c r="G439" s="1" t="s">
        <v>1485</v>
      </c>
    </row>
    <row r="440" spans="1:7">
      <c r="A440" s="1">
        <v>1439</v>
      </c>
      <c r="B440" s="1" t="s">
        <v>1486</v>
      </c>
      <c r="D440" s="1" t="s">
        <v>1487</v>
      </c>
      <c r="E440" s="1" t="s">
        <v>1488</v>
      </c>
      <c r="F440" s="1" t="s">
        <v>1489</v>
      </c>
      <c r="G440" s="1" t="s">
        <v>1490</v>
      </c>
    </row>
    <row r="441" spans="1:7">
      <c r="A441" s="1">
        <v>1441</v>
      </c>
      <c r="B441" s="1" t="s">
        <v>1491</v>
      </c>
      <c r="D441" s="1" t="s">
        <v>1487</v>
      </c>
      <c r="E441" s="1" t="s">
        <v>1492</v>
      </c>
      <c r="F441" s="1" t="s">
        <v>1493</v>
      </c>
      <c r="G441" s="1" t="s">
        <v>1494</v>
      </c>
    </row>
    <row r="442" spans="1:7">
      <c r="A442" s="1">
        <v>1446</v>
      </c>
      <c r="B442" s="1" t="s">
        <v>1495</v>
      </c>
      <c r="D442" s="1" t="s">
        <v>1487</v>
      </c>
      <c r="E442" s="1" t="s">
        <v>1496</v>
      </c>
      <c r="F442" s="1" t="s">
        <v>1497</v>
      </c>
      <c r="G442" s="1" t="s">
        <v>1498</v>
      </c>
    </row>
    <row r="443" spans="1:7">
      <c r="A443" s="1">
        <v>1449</v>
      </c>
      <c r="B443" s="1" t="s">
        <v>1499</v>
      </c>
      <c r="D443" s="1" t="s">
        <v>1487</v>
      </c>
      <c r="E443" s="1" t="s">
        <v>1500</v>
      </c>
      <c r="F443" s="1" t="s">
        <v>1501</v>
      </c>
      <c r="G443" s="1" t="s">
        <v>1502</v>
      </c>
    </row>
    <row r="444" spans="1:7">
      <c r="A444" s="1">
        <v>1452</v>
      </c>
      <c r="B444" s="1" t="s">
        <v>1503</v>
      </c>
      <c r="D444" s="1" t="s">
        <v>1487</v>
      </c>
      <c r="E444" s="1" t="s">
        <v>1504</v>
      </c>
      <c r="F444" s="1" t="s">
        <v>1505</v>
      </c>
      <c r="G444" s="1" t="s">
        <v>1506</v>
      </c>
    </row>
    <row r="445" spans="1:7">
      <c r="A445" s="1">
        <v>1454</v>
      </c>
      <c r="B445" s="1" t="s">
        <v>1507</v>
      </c>
      <c r="D445" s="1" t="s">
        <v>1487</v>
      </c>
      <c r="E445" s="1" t="s">
        <v>1508</v>
      </c>
      <c r="F445" s="1" t="s">
        <v>1509</v>
      </c>
      <c r="G445" s="1" t="s">
        <v>1510</v>
      </c>
    </row>
    <row r="446" spans="1:7">
      <c r="A446" s="1">
        <v>1458</v>
      </c>
      <c r="B446" s="1" t="s">
        <v>1511</v>
      </c>
      <c r="D446" s="1" t="s">
        <v>1512</v>
      </c>
      <c r="E446" s="1" t="s">
        <v>1513</v>
      </c>
      <c r="F446" s="1" t="s">
        <v>161</v>
      </c>
      <c r="G446" s="1" t="s">
        <v>162</v>
      </c>
    </row>
    <row r="447" spans="1:7">
      <c r="A447" s="1">
        <v>1460</v>
      </c>
      <c r="B447" s="1" t="s">
        <v>1514</v>
      </c>
      <c r="D447" s="1" t="s">
        <v>1512</v>
      </c>
      <c r="E447" s="1" t="s">
        <v>1515</v>
      </c>
      <c r="F447" s="1" t="s">
        <v>165</v>
      </c>
      <c r="G447" s="1" t="s">
        <v>166</v>
      </c>
    </row>
    <row r="448" spans="1:7">
      <c r="A448" s="1">
        <v>1463</v>
      </c>
      <c r="B448" s="1" t="s">
        <v>1516</v>
      </c>
      <c r="D448" s="1" t="s">
        <v>1512</v>
      </c>
      <c r="E448" s="1" t="s">
        <v>1517</v>
      </c>
      <c r="F448" s="1" t="s">
        <v>1518</v>
      </c>
      <c r="G448" s="1" t="s">
        <v>1519</v>
      </c>
    </row>
    <row r="449" spans="1:7">
      <c r="A449" s="1">
        <v>1464</v>
      </c>
      <c r="B449" s="1" t="s">
        <v>1520</v>
      </c>
      <c r="D449" s="1" t="s">
        <v>1512</v>
      </c>
      <c r="E449" s="1" t="s">
        <v>1521</v>
      </c>
      <c r="F449" s="1" t="s">
        <v>169</v>
      </c>
      <c r="G449" s="1" t="s">
        <v>170</v>
      </c>
    </row>
    <row r="450" spans="1:7">
      <c r="A450" s="1">
        <v>1465</v>
      </c>
      <c r="B450" s="1" t="s">
        <v>1522</v>
      </c>
      <c r="D450" s="1" t="s">
        <v>1512</v>
      </c>
      <c r="E450" s="1" t="s">
        <v>1523</v>
      </c>
      <c r="F450" s="1" t="s">
        <v>1524</v>
      </c>
      <c r="G450" s="1" t="s">
        <v>1525</v>
      </c>
    </row>
    <row r="451" spans="1:7">
      <c r="A451" s="1">
        <v>1467</v>
      </c>
      <c r="B451" s="1" t="s">
        <v>1526</v>
      </c>
      <c r="D451" s="1" t="s">
        <v>1512</v>
      </c>
      <c r="E451" s="1" t="s">
        <v>1527</v>
      </c>
      <c r="F451" s="1" t="s">
        <v>1528</v>
      </c>
      <c r="G451" s="1" t="s">
        <v>1529</v>
      </c>
    </row>
    <row r="452" spans="1:7">
      <c r="A452" s="1">
        <v>1468</v>
      </c>
      <c r="B452" s="1" t="s">
        <v>1530</v>
      </c>
      <c r="D452" s="1" t="s">
        <v>1512</v>
      </c>
      <c r="E452" s="1" t="s">
        <v>1531</v>
      </c>
      <c r="F452" s="1" t="s">
        <v>1532</v>
      </c>
      <c r="G452" s="1" t="s">
        <v>1533</v>
      </c>
    </row>
    <row r="453" spans="1:7">
      <c r="A453" s="1">
        <v>1469</v>
      </c>
      <c r="B453" s="1" t="s">
        <v>1534</v>
      </c>
      <c r="D453" s="1" t="s">
        <v>1512</v>
      </c>
      <c r="E453" s="1" t="s">
        <v>1535</v>
      </c>
      <c r="F453" s="1" t="s">
        <v>1536</v>
      </c>
      <c r="G453" s="1" t="s">
        <v>1537</v>
      </c>
    </row>
    <row r="454" spans="1:7">
      <c r="A454" s="1">
        <v>1470</v>
      </c>
      <c r="B454" s="1" t="s">
        <v>1538</v>
      </c>
      <c r="D454" s="1" t="s">
        <v>1539</v>
      </c>
      <c r="E454" s="1" t="s">
        <v>1540</v>
      </c>
      <c r="F454" s="1" t="s">
        <v>1541</v>
      </c>
      <c r="G454" s="1" t="s">
        <v>1542</v>
      </c>
    </row>
    <row r="455" spans="1:7">
      <c r="A455" s="1">
        <v>1471</v>
      </c>
      <c r="B455" s="1" t="s">
        <v>1543</v>
      </c>
      <c r="D455" s="1" t="s">
        <v>1539</v>
      </c>
      <c r="E455" s="1" t="s">
        <v>1544</v>
      </c>
      <c r="F455" s="1" t="s">
        <v>1545</v>
      </c>
      <c r="G455" s="1" t="s">
        <v>1546</v>
      </c>
    </row>
    <row r="456" spans="1:7">
      <c r="A456" s="1">
        <v>1472</v>
      </c>
      <c r="B456" s="1" t="s">
        <v>1547</v>
      </c>
      <c r="D456" s="1" t="s">
        <v>1539</v>
      </c>
      <c r="E456" s="1" t="s">
        <v>1548</v>
      </c>
      <c r="F456" s="1" t="s">
        <v>1549</v>
      </c>
      <c r="G456" s="1" t="s">
        <v>1550</v>
      </c>
    </row>
    <row r="457" spans="1:7">
      <c r="A457" s="1">
        <v>1473</v>
      </c>
      <c r="B457" s="1" t="s">
        <v>1551</v>
      </c>
      <c r="D457" s="1" t="s">
        <v>1539</v>
      </c>
      <c r="E457" s="1" t="s">
        <v>1552</v>
      </c>
      <c r="F457" s="1" t="s">
        <v>1553</v>
      </c>
      <c r="G457" s="1" t="s">
        <v>1554</v>
      </c>
    </row>
    <row r="458" spans="1:7">
      <c r="A458" s="1">
        <v>1474</v>
      </c>
      <c r="B458" s="1" t="s">
        <v>1555</v>
      </c>
      <c r="D458" s="1" t="s">
        <v>1539</v>
      </c>
      <c r="E458" s="1" t="s">
        <v>1556</v>
      </c>
      <c r="F458" s="1" t="s">
        <v>1557</v>
      </c>
      <c r="G458" s="1" t="s">
        <v>1558</v>
      </c>
    </row>
    <row r="459" spans="1:7">
      <c r="A459" s="1">
        <v>1475</v>
      </c>
      <c r="B459" s="1" t="s">
        <v>1559</v>
      </c>
      <c r="D459" s="1" t="s">
        <v>1539</v>
      </c>
      <c r="E459" s="1" t="s">
        <v>1560</v>
      </c>
      <c r="F459" s="1" t="s">
        <v>1561</v>
      </c>
      <c r="G459" s="1" t="s">
        <v>1562</v>
      </c>
    </row>
    <row r="460" spans="1:7">
      <c r="A460" s="1">
        <v>1479</v>
      </c>
      <c r="B460" s="1" t="s">
        <v>1563</v>
      </c>
      <c r="D460" s="1" t="s">
        <v>1539</v>
      </c>
      <c r="E460" s="1" t="s">
        <v>1564</v>
      </c>
      <c r="F460" s="1" t="s">
        <v>173</v>
      </c>
      <c r="G460" s="1" t="s">
        <v>174</v>
      </c>
    </row>
    <row r="461" spans="1:7">
      <c r="A461" s="1">
        <v>1480</v>
      </c>
      <c r="B461" s="1" t="s">
        <v>1565</v>
      </c>
      <c r="D461" s="1" t="s">
        <v>1539</v>
      </c>
      <c r="E461" s="1" t="s">
        <v>1566</v>
      </c>
      <c r="F461" s="1" t="s">
        <v>177</v>
      </c>
      <c r="G461" s="1" t="s">
        <v>178</v>
      </c>
    </row>
    <row r="462" spans="1:7">
      <c r="A462" s="1">
        <v>1481</v>
      </c>
      <c r="B462" s="1" t="s">
        <v>1567</v>
      </c>
      <c r="D462" s="1" t="s">
        <v>1539</v>
      </c>
      <c r="E462" s="1" t="s">
        <v>1568</v>
      </c>
      <c r="F462" s="1" t="s">
        <v>181</v>
      </c>
      <c r="G462" s="1" t="s">
        <v>182</v>
      </c>
    </row>
    <row r="463" spans="1:7">
      <c r="A463" s="1">
        <v>1482</v>
      </c>
      <c r="B463" s="1" t="s">
        <v>1569</v>
      </c>
      <c r="D463" s="1" t="s">
        <v>1570</v>
      </c>
      <c r="E463" s="1" t="s">
        <v>1571</v>
      </c>
      <c r="F463" s="1" t="s">
        <v>1572</v>
      </c>
      <c r="G463" s="1" t="s">
        <v>1573</v>
      </c>
    </row>
    <row r="464" spans="1:7">
      <c r="A464" s="1">
        <v>1485</v>
      </c>
      <c r="B464" s="1" t="s">
        <v>1574</v>
      </c>
      <c r="D464" s="1" t="s">
        <v>1570</v>
      </c>
      <c r="E464" s="1" t="s">
        <v>1575</v>
      </c>
      <c r="F464" s="1" t="s">
        <v>1576</v>
      </c>
      <c r="G464" s="1" t="s">
        <v>1577</v>
      </c>
    </row>
    <row r="465" spans="1:7">
      <c r="A465" s="1">
        <v>1486</v>
      </c>
      <c r="B465" s="1" t="s">
        <v>1578</v>
      </c>
      <c r="D465" s="1" t="s">
        <v>1579</v>
      </c>
      <c r="E465" s="1" t="s">
        <v>1580</v>
      </c>
      <c r="F465" s="1" t="s">
        <v>1572</v>
      </c>
      <c r="G465" s="1" t="s">
        <v>1573</v>
      </c>
    </row>
    <row r="466" spans="1:7">
      <c r="A466" s="1">
        <v>1489</v>
      </c>
      <c r="B466" s="1" t="s">
        <v>1581</v>
      </c>
      <c r="D466" s="1" t="s">
        <v>1579</v>
      </c>
      <c r="E466" s="1" t="s">
        <v>1582</v>
      </c>
      <c r="F466" s="1" t="s">
        <v>1576</v>
      </c>
      <c r="G466" s="1" t="s">
        <v>1577</v>
      </c>
    </row>
    <row r="467" spans="1:7">
      <c r="A467" s="1">
        <v>1494</v>
      </c>
      <c r="B467" s="1" t="s">
        <v>1583</v>
      </c>
      <c r="D467" s="1" t="s">
        <v>1584</v>
      </c>
      <c r="E467" s="1" t="s">
        <v>1585</v>
      </c>
      <c r="F467" s="1" t="s">
        <v>1171</v>
      </c>
      <c r="G467" s="1" t="s">
        <v>1172</v>
      </c>
    </row>
    <row r="468" spans="1:7">
      <c r="A468" s="1">
        <v>1497</v>
      </c>
      <c r="B468" s="1" t="s">
        <v>1586</v>
      </c>
      <c r="D468" s="1" t="s">
        <v>1584</v>
      </c>
      <c r="E468" s="1" t="s">
        <v>1587</v>
      </c>
      <c r="F468" s="1" t="s">
        <v>1588</v>
      </c>
      <c r="G468" s="1" t="s">
        <v>1589</v>
      </c>
    </row>
    <row r="469" spans="1:7">
      <c r="A469" s="1">
        <v>1498</v>
      </c>
      <c r="B469" s="1" t="s">
        <v>1590</v>
      </c>
      <c r="D469" s="1" t="s">
        <v>1584</v>
      </c>
      <c r="E469" s="1" t="s">
        <v>1591</v>
      </c>
      <c r="F469" s="1" t="s">
        <v>1592</v>
      </c>
      <c r="G469" s="1" t="s">
        <v>1593</v>
      </c>
    </row>
    <row r="470" spans="1:7">
      <c r="A470" s="1">
        <v>1500</v>
      </c>
      <c r="B470" s="1" t="s">
        <v>1594</v>
      </c>
      <c r="D470" s="1" t="s">
        <v>1584</v>
      </c>
      <c r="E470" s="1" t="s">
        <v>1595</v>
      </c>
      <c r="F470" s="1" t="s">
        <v>1596</v>
      </c>
      <c r="G470" s="1" t="s">
        <v>1597</v>
      </c>
    </row>
    <row r="471" spans="1:7">
      <c r="A471" s="1">
        <v>1501</v>
      </c>
      <c r="B471" s="1" t="s">
        <v>1598</v>
      </c>
      <c r="D471" s="1" t="s">
        <v>1584</v>
      </c>
      <c r="E471" s="1" t="s">
        <v>1599</v>
      </c>
      <c r="F471" s="1" t="s">
        <v>1600</v>
      </c>
      <c r="G471" s="1" t="s">
        <v>1601</v>
      </c>
    </row>
    <row r="472" spans="1:7">
      <c r="A472" s="1">
        <v>1503</v>
      </c>
      <c r="B472" s="1" t="s">
        <v>1602</v>
      </c>
      <c r="D472" s="1" t="s">
        <v>1584</v>
      </c>
      <c r="E472" s="1" t="s">
        <v>1603</v>
      </c>
      <c r="F472" s="1" t="s">
        <v>1604</v>
      </c>
      <c r="G472" s="1" t="s">
        <v>1605</v>
      </c>
    </row>
    <row r="473" spans="1:7">
      <c r="A473" s="1">
        <v>1504</v>
      </c>
      <c r="B473" s="1" t="s">
        <v>1606</v>
      </c>
      <c r="D473" s="1" t="s">
        <v>1584</v>
      </c>
      <c r="E473" s="1" t="s">
        <v>1607</v>
      </c>
      <c r="F473" s="1" t="s">
        <v>1608</v>
      </c>
      <c r="G473" s="1" t="s">
        <v>1609</v>
      </c>
    </row>
    <row r="474" spans="1:7">
      <c r="A474" s="1">
        <v>1508</v>
      </c>
      <c r="B474" s="1" t="s">
        <v>1610</v>
      </c>
      <c r="D474" s="1" t="s">
        <v>1584</v>
      </c>
      <c r="E474" s="1" t="s">
        <v>1611</v>
      </c>
      <c r="F474" s="1" t="s">
        <v>1612</v>
      </c>
      <c r="G474" s="1" t="s">
        <v>1613</v>
      </c>
    </row>
    <row r="475" spans="1:7">
      <c r="A475" s="1">
        <v>1509</v>
      </c>
      <c r="B475" s="1" t="s">
        <v>1614</v>
      </c>
      <c r="D475" s="1" t="s">
        <v>1584</v>
      </c>
      <c r="E475" s="1" t="s">
        <v>1615</v>
      </c>
      <c r="F475" s="1" t="s">
        <v>1616</v>
      </c>
      <c r="G475" s="1" t="s">
        <v>1617</v>
      </c>
    </row>
    <row r="476" spans="1:7">
      <c r="A476" s="1">
        <v>1510</v>
      </c>
      <c r="B476" s="1" t="s">
        <v>1618</v>
      </c>
      <c r="D476" s="1" t="s">
        <v>1584</v>
      </c>
      <c r="E476" s="1" t="s">
        <v>1619</v>
      </c>
      <c r="F476" s="1" t="s">
        <v>1620</v>
      </c>
      <c r="G476" s="1" t="s">
        <v>1621</v>
      </c>
    </row>
    <row r="477" spans="1:7">
      <c r="A477" s="1">
        <v>1511</v>
      </c>
      <c r="B477" s="1" t="s">
        <v>1622</v>
      </c>
      <c r="D477" s="1" t="s">
        <v>1584</v>
      </c>
      <c r="E477" s="1" t="s">
        <v>1623</v>
      </c>
      <c r="F477" s="1" t="s">
        <v>1624</v>
      </c>
      <c r="G477" s="1" t="s">
        <v>1625</v>
      </c>
    </row>
    <row r="478" spans="1:7">
      <c r="A478" s="1">
        <v>1512</v>
      </c>
      <c r="B478" s="1" t="s">
        <v>1626</v>
      </c>
      <c r="D478" s="1" t="s">
        <v>1584</v>
      </c>
      <c r="E478" s="1" t="s">
        <v>1627</v>
      </c>
      <c r="F478" s="1" t="s">
        <v>1628</v>
      </c>
      <c r="G478" s="1" t="s">
        <v>1629</v>
      </c>
    </row>
    <row r="479" spans="1:7">
      <c r="A479" s="1">
        <v>1513</v>
      </c>
      <c r="B479" s="1" t="s">
        <v>1630</v>
      </c>
      <c r="D479" s="1" t="s">
        <v>1584</v>
      </c>
      <c r="E479" s="1" t="s">
        <v>1631</v>
      </c>
      <c r="F479" s="1" t="s">
        <v>1604</v>
      </c>
      <c r="G479" s="1" t="s">
        <v>1605</v>
      </c>
    </row>
    <row r="480" spans="1:7">
      <c r="A480" s="1">
        <v>1514</v>
      </c>
      <c r="B480" s="1" t="s">
        <v>1632</v>
      </c>
      <c r="D480" s="1" t="s">
        <v>1584</v>
      </c>
      <c r="E480" s="1" t="s">
        <v>1633</v>
      </c>
      <c r="F480" s="1" t="s">
        <v>1634</v>
      </c>
      <c r="G480" s="1" t="s">
        <v>1635</v>
      </c>
    </row>
    <row r="481" spans="1:7">
      <c r="A481" s="1">
        <v>1515</v>
      </c>
      <c r="B481" s="1" t="s">
        <v>1636</v>
      </c>
      <c r="D481" s="1" t="s">
        <v>1637</v>
      </c>
      <c r="E481" s="1" t="s">
        <v>1638</v>
      </c>
      <c r="F481" s="1" t="s">
        <v>1639</v>
      </c>
      <c r="G481" s="1" t="s">
        <v>1640</v>
      </c>
    </row>
    <row r="482" spans="1:7">
      <c r="A482" s="1">
        <v>1516</v>
      </c>
      <c r="B482" s="1" t="s">
        <v>1641</v>
      </c>
      <c r="D482" s="1" t="s">
        <v>1642</v>
      </c>
      <c r="E482" s="1" t="s">
        <v>1643</v>
      </c>
      <c r="F482" s="1" t="s">
        <v>161</v>
      </c>
      <c r="G482" s="1" t="s">
        <v>162</v>
      </c>
    </row>
    <row r="483" spans="1:7">
      <c r="A483" s="1">
        <v>1517</v>
      </c>
      <c r="B483" s="1" t="s">
        <v>1644</v>
      </c>
      <c r="D483" s="1" t="s">
        <v>1642</v>
      </c>
      <c r="E483" s="1" t="s">
        <v>1645</v>
      </c>
      <c r="F483" s="1" t="s">
        <v>165</v>
      </c>
      <c r="G483" s="1" t="s">
        <v>166</v>
      </c>
    </row>
    <row r="484" spans="1:7">
      <c r="A484" s="1">
        <v>1520</v>
      </c>
      <c r="B484" s="1" t="s">
        <v>1646</v>
      </c>
      <c r="D484" s="1" t="s">
        <v>1642</v>
      </c>
      <c r="E484" s="1" t="s">
        <v>1647</v>
      </c>
      <c r="F484" s="1" t="s">
        <v>169</v>
      </c>
      <c r="G484" s="1" t="s">
        <v>170</v>
      </c>
    </row>
    <row r="485" spans="1:7">
      <c r="A485" s="1">
        <v>1521</v>
      </c>
      <c r="B485" s="1" t="s">
        <v>1648</v>
      </c>
      <c r="D485" s="1" t="s">
        <v>1642</v>
      </c>
      <c r="E485" s="1" t="s">
        <v>1649</v>
      </c>
      <c r="F485" s="1" t="s">
        <v>396</v>
      </c>
      <c r="G485" s="1" t="s">
        <v>397</v>
      </c>
    </row>
    <row r="486" spans="1:7">
      <c r="A486" s="1">
        <v>1522</v>
      </c>
      <c r="B486" s="1" t="s">
        <v>1650</v>
      </c>
      <c r="D486" s="1" t="s">
        <v>1642</v>
      </c>
      <c r="E486" s="1" t="s">
        <v>1651</v>
      </c>
      <c r="F486" s="1" t="s">
        <v>392</v>
      </c>
      <c r="G486" s="1" t="s">
        <v>393</v>
      </c>
    </row>
    <row r="487" spans="1:7">
      <c r="A487" s="1">
        <v>1523</v>
      </c>
      <c r="B487" s="1" t="s">
        <v>1652</v>
      </c>
      <c r="D487" s="1" t="s">
        <v>1642</v>
      </c>
      <c r="E487" s="1" t="s">
        <v>1653</v>
      </c>
      <c r="F487" s="1" t="s">
        <v>400</v>
      </c>
      <c r="G487" s="1" t="s">
        <v>401</v>
      </c>
    </row>
    <row r="488" spans="1:7">
      <c r="A488" s="1">
        <v>1527</v>
      </c>
      <c r="B488" s="1" t="s">
        <v>1654</v>
      </c>
      <c r="D488" s="1" t="s">
        <v>1655</v>
      </c>
      <c r="E488" s="1" t="s">
        <v>1656</v>
      </c>
      <c r="F488" s="1" t="s">
        <v>165</v>
      </c>
      <c r="G488" s="1" t="s">
        <v>166</v>
      </c>
    </row>
    <row r="489" spans="1:7">
      <c r="A489" s="1">
        <v>1528</v>
      </c>
      <c r="B489" s="1" t="s">
        <v>1657</v>
      </c>
      <c r="D489" s="1" t="s">
        <v>1655</v>
      </c>
      <c r="E489" s="1" t="s">
        <v>1658</v>
      </c>
      <c r="F489" s="1" t="s">
        <v>161</v>
      </c>
      <c r="G489" s="1" t="s">
        <v>162</v>
      </c>
    </row>
    <row r="490" spans="1:7">
      <c r="A490" s="1">
        <v>1531</v>
      </c>
      <c r="B490" s="1" t="s">
        <v>1659</v>
      </c>
      <c r="D490" s="1" t="s">
        <v>1660</v>
      </c>
      <c r="E490" s="1" t="s">
        <v>1661</v>
      </c>
      <c r="F490" s="1" t="s">
        <v>165</v>
      </c>
      <c r="G490" s="1" t="s">
        <v>166</v>
      </c>
    </row>
    <row r="491" spans="1:7">
      <c r="A491" s="1">
        <v>1532</v>
      </c>
      <c r="B491" s="1" t="s">
        <v>1662</v>
      </c>
      <c r="D491" s="1" t="s">
        <v>1660</v>
      </c>
      <c r="E491" s="1" t="s">
        <v>1663</v>
      </c>
      <c r="F491" s="1" t="s">
        <v>161</v>
      </c>
      <c r="G491" s="1" t="s">
        <v>162</v>
      </c>
    </row>
    <row r="492" spans="1:7">
      <c r="A492" s="1">
        <v>1535</v>
      </c>
      <c r="B492" s="1" t="s">
        <v>1664</v>
      </c>
      <c r="D492" s="1" t="s">
        <v>1665</v>
      </c>
      <c r="E492" s="1" t="s">
        <v>1666</v>
      </c>
      <c r="F492" s="1" t="s">
        <v>165</v>
      </c>
      <c r="G492" s="1" t="s">
        <v>166</v>
      </c>
    </row>
    <row r="493" spans="1:7">
      <c r="A493" s="1">
        <v>1536</v>
      </c>
      <c r="B493" s="1" t="s">
        <v>1667</v>
      </c>
      <c r="D493" s="1" t="s">
        <v>1665</v>
      </c>
      <c r="E493" s="1" t="s">
        <v>1668</v>
      </c>
      <c r="F493" s="1" t="s">
        <v>161</v>
      </c>
      <c r="G493" s="1" t="s">
        <v>162</v>
      </c>
    </row>
    <row r="494" spans="1:7">
      <c r="A494" s="1">
        <v>1542</v>
      </c>
      <c r="B494" s="1" t="s">
        <v>1669</v>
      </c>
      <c r="D494" s="1" t="s">
        <v>1670</v>
      </c>
      <c r="E494" s="1" t="s">
        <v>1671</v>
      </c>
      <c r="F494" s="1" t="s">
        <v>1672</v>
      </c>
      <c r="G494" s="1" t="s">
        <v>1673</v>
      </c>
    </row>
    <row r="495" spans="1:7">
      <c r="A495" s="1">
        <v>1543</v>
      </c>
      <c r="B495" s="1" t="s">
        <v>1674</v>
      </c>
      <c r="D495" s="1" t="s">
        <v>1670</v>
      </c>
      <c r="E495" s="1" t="s">
        <v>1675</v>
      </c>
      <c r="F495" s="1" t="s">
        <v>1676</v>
      </c>
      <c r="G495" s="1" t="s">
        <v>1677</v>
      </c>
    </row>
    <row r="496" spans="1:7">
      <c r="A496" s="1">
        <v>1544</v>
      </c>
      <c r="B496" s="1" t="s">
        <v>1678</v>
      </c>
      <c r="D496" s="1" t="s">
        <v>1670</v>
      </c>
      <c r="E496" s="1" t="s">
        <v>1679</v>
      </c>
      <c r="F496" s="1" t="s">
        <v>1680</v>
      </c>
      <c r="G496" s="1" t="s">
        <v>1681</v>
      </c>
    </row>
    <row r="497" spans="1:7">
      <c r="A497" s="1">
        <v>1547</v>
      </c>
      <c r="B497" s="1" t="s">
        <v>1682</v>
      </c>
      <c r="D497" s="1" t="s">
        <v>1670</v>
      </c>
      <c r="E497" s="1" t="s">
        <v>1683</v>
      </c>
      <c r="F497" s="1" t="s">
        <v>1684</v>
      </c>
      <c r="G497" s="1" t="s">
        <v>1685</v>
      </c>
    </row>
    <row r="498" spans="1:7">
      <c r="A498" s="1">
        <v>1548</v>
      </c>
      <c r="B498" s="1" t="s">
        <v>1686</v>
      </c>
      <c r="D498" s="1" t="s">
        <v>1687</v>
      </c>
      <c r="E498" s="1" t="s">
        <v>1688</v>
      </c>
      <c r="F498" s="1" t="s">
        <v>161</v>
      </c>
      <c r="G498" s="1" t="s">
        <v>162</v>
      </c>
    </row>
    <row r="499" spans="1:7">
      <c r="A499" s="1">
        <v>1550</v>
      </c>
      <c r="B499" s="1" t="s">
        <v>1689</v>
      </c>
      <c r="D499" s="1" t="s">
        <v>1687</v>
      </c>
      <c r="E499" s="1" t="s">
        <v>1690</v>
      </c>
      <c r="F499" s="1" t="s">
        <v>165</v>
      </c>
      <c r="G499" s="1" t="s">
        <v>166</v>
      </c>
    </row>
    <row r="500" spans="1:7">
      <c r="A500" s="1">
        <v>1553</v>
      </c>
      <c r="B500" s="1" t="s">
        <v>1691</v>
      </c>
      <c r="D500" s="1" t="s">
        <v>1687</v>
      </c>
      <c r="E500" s="1" t="s">
        <v>1692</v>
      </c>
      <c r="F500" s="1" t="s">
        <v>396</v>
      </c>
      <c r="G500" s="1" t="s">
        <v>397</v>
      </c>
    </row>
    <row r="501" spans="1:7">
      <c r="A501" s="1">
        <v>1554</v>
      </c>
      <c r="B501" s="1" t="s">
        <v>1693</v>
      </c>
      <c r="D501" s="1" t="s">
        <v>1687</v>
      </c>
      <c r="E501" s="1" t="s">
        <v>1694</v>
      </c>
      <c r="F501" s="1" t="s">
        <v>392</v>
      </c>
      <c r="G501" s="1" t="s">
        <v>393</v>
      </c>
    </row>
    <row r="502" spans="1:7">
      <c r="A502" s="1">
        <v>1555</v>
      </c>
      <c r="B502" s="1" t="s">
        <v>1695</v>
      </c>
      <c r="D502" s="1" t="s">
        <v>1687</v>
      </c>
      <c r="E502" s="1" t="s">
        <v>1696</v>
      </c>
      <c r="F502" s="1" t="s">
        <v>400</v>
      </c>
      <c r="G502" s="1" t="s">
        <v>401</v>
      </c>
    </row>
    <row r="503" spans="1:7">
      <c r="A503" s="1">
        <v>1556</v>
      </c>
      <c r="B503" s="1" t="s">
        <v>1697</v>
      </c>
      <c r="D503" s="1" t="s">
        <v>1687</v>
      </c>
      <c r="E503" s="1" t="s">
        <v>1698</v>
      </c>
      <c r="F503" s="1" t="s">
        <v>536</v>
      </c>
      <c r="G503" s="1" t="s">
        <v>537</v>
      </c>
    </row>
    <row r="504" spans="1:7">
      <c r="A504" s="1">
        <v>1558</v>
      </c>
      <c r="B504" s="1" t="s">
        <v>1699</v>
      </c>
      <c r="D504" s="1" t="s">
        <v>1687</v>
      </c>
      <c r="E504" s="1" t="s">
        <v>1700</v>
      </c>
      <c r="F504" s="1" t="s">
        <v>531</v>
      </c>
      <c r="G504" s="1" t="s">
        <v>532</v>
      </c>
    </row>
    <row r="505" spans="1:7">
      <c r="A505" s="1">
        <v>1560</v>
      </c>
      <c r="B505" s="1" t="s">
        <v>1701</v>
      </c>
      <c r="D505" s="1" t="s">
        <v>1702</v>
      </c>
      <c r="E505" s="1" t="s">
        <v>1703</v>
      </c>
      <c r="F505" s="1" t="s">
        <v>1704</v>
      </c>
      <c r="G505" s="1" t="s">
        <v>1705</v>
      </c>
    </row>
    <row r="506" spans="1:7">
      <c r="A506" s="1">
        <v>1575</v>
      </c>
      <c r="B506" s="1" t="s">
        <v>1706</v>
      </c>
      <c r="D506" s="1" t="s">
        <v>1707</v>
      </c>
      <c r="E506" s="1" t="s">
        <v>1708</v>
      </c>
      <c r="F506" s="1" t="s">
        <v>1709</v>
      </c>
      <c r="G506" s="1" t="s">
        <v>1710</v>
      </c>
    </row>
    <row r="507" spans="1:7">
      <c r="A507" s="1">
        <v>1576</v>
      </c>
      <c r="B507" s="1" t="s">
        <v>1711</v>
      </c>
      <c r="D507" s="1" t="s">
        <v>1707</v>
      </c>
      <c r="E507" s="1" t="s">
        <v>1712</v>
      </c>
      <c r="F507" s="1" t="s">
        <v>1713</v>
      </c>
      <c r="G507" s="1" t="s">
        <v>1714</v>
      </c>
    </row>
    <row r="508" spans="1:7">
      <c r="A508" s="1">
        <v>1577</v>
      </c>
      <c r="B508" s="1" t="s">
        <v>1715</v>
      </c>
      <c r="D508" s="1" t="s">
        <v>1707</v>
      </c>
      <c r="E508" s="1" t="s">
        <v>1716</v>
      </c>
      <c r="F508" s="1" t="s">
        <v>1717</v>
      </c>
      <c r="G508" s="1" t="s">
        <v>1718</v>
      </c>
    </row>
    <row r="509" spans="1:7">
      <c r="A509" s="1">
        <v>1578</v>
      </c>
      <c r="B509" s="1" t="s">
        <v>1719</v>
      </c>
      <c r="D509" s="1" t="s">
        <v>1707</v>
      </c>
      <c r="E509" s="1" t="s">
        <v>1720</v>
      </c>
      <c r="F509" s="1" t="s">
        <v>1721</v>
      </c>
      <c r="G509" s="1" t="s">
        <v>1722</v>
      </c>
    </row>
    <row r="510" spans="1:7">
      <c r="A510" s="1">
        <v>1579</v>
      </c>
      <c r="B510" s="1" t="s">
        <v>1723</v>
      </c>
      <c r="D510" s="1" t="s">
        <v>1707</v>
      </c>
      <c r="E510" s="1" t="s">
        <v>1724</v>
      </c>
      <c r="F510" s="1" t="s">
        <v>1725</v>
      </c>
      <c r="G510" s="1" t="s">
        <v>1726</v>
      </c>
    </row>
    <row r="511" spans="1:7">
      <c r="A511" s="1">
        <v>1580</v>
      </c>
      <c r="B511" s="1" t="s">
        <v>1727</v>
      </c>
      <c r="D511" s="1" t="s">
        <v>1707</v>
      </c>
      <c r="E511" s="1" t="s">
        <v>1728</v>
      </c>
      <c r="F511" s="1" t="s">
        <v>1729</v>
      </c>
      <c r="G511" s="1" t="s">
        <v>1730</v>
      </c>
    </row>
    <row r="512" spans="1:7">
      <c r="A512" s="1">
        <v>1581</v>
      </c>
      <c r="B512" s="1" t="s">
        <v>1731</v>
      </c>
      <c r="D512" s="1" t="s">
        <v>1707</v>
      </c>
      <c r="E512" s="1" t="s">
        <v>1732</v>
      </c>
      <c r="F512" s="1" t="s">
        <v>1733</v>
      </c>
      <c r="G512" s="1" t="s">
        <v>1734</v>
      </c>
    </row>
    <row r="513" spans="1:7">
      <c r="A513" s="1">
        <v>1582</v>
      </c>
      <c r="B513" s="1" t="s">
        <v>1735</v>
      </c>
      <c r="D513" s="1" t="s">
        <v>1707</v>
      </c>
      <c r="E513" s="1" t="s">
        <v>1736</v>
      </c>
      <c r="F513" s="1" t="s">
        <v>1737</v>
      </c>
      <c r="G513" s="1" t="s">
        <v>1738</v>
      </c>
    </row>
    <row r="514" spans="1:7">
      <c r="A514" s="1">
        <v>1583</v>
      </c>
      <c r="B514" s="1" t="s">
        <v>1739</v>
      </c>
      <c r="D514" s="1" t="s">
        <v>1707</v>
      </c>
      <c r="E514" s="1" t="s">
        <v>1740</v>
      </c>
      <c r="F514" s="1" t="s">
        <v>1741</v>
      </c>
      <c r="G514" s="1" t="s">
        <v>1742</v>
      </c>
    </row>
    <row r="515" spans="1:7">
      <c r="A515" s="1">
        <v>1584</v>
      </c>
      <c r="B515" s="1" t="s">
        <v>1743</v>
      </c>
      <c r="D515" s="1" t="s">
        <v>1707</v>
      </c>
      <c r="E515" s="1" t="s">
        <v>1744</v>
      </c>
      <c r="F515" s="1" t="s">
        <v>1745</v>
      </c>
      <c r="G515" s="1" t="s">
        <v>1746</v>
      </c>
    </row>
    <row r="516" spans="1:7">
      <c r="A516" s="1">
        <v>1585</v>
      </c>
      <c r="B516" s="1" t="s">
        <v>1747</v>
      </c>
      <c r="D516" s="1" t="s">
        <v>1707</v>
      </c>
      <c r="E516" s="1" t="s">
        <v>1748</v>
      </c>
      <c r="F516" s="1" t="s">
        <v>1749</v>
      </c>
      <c r="G516" s="1" t="s">
        <v>1750</v>
      </c>
    </row>
    <row r="517" spans="1:7">
      <c r="A517" s="1">
        <v>1586</v>
      </c>
      <c r="B517" s="1" t="s">
        <v>1751</v>
      </c>
      <c r="D517" s="1" t="s">
        <v>1707</v>
      </c>
      <c r="E517" s="1" t="s">
        <v>1752</v>
      </c>
      <c r="F517" s="1" t="s">
        <v>1753</v>
      </c>
      <c r="G517" s="1" t="s">
        <v>1754</v>
      </c>
    </row>
    <row r="518" spans="1:7">
      <c r="A518" s="1">
        <v>1587</v>
      </c>
      <c r="B518" s="1" t="s">
        <v>1755</v>
      </c>
      <c r="D518" s="1" t="s">
        <v>1707</v>
      </c>
      <c r="E518" s="1" t="s">
        <v>1756</v>
      </c>
      <c r="F518" s="1" t="s">
        <v>1757</v>
      </c>
      <c r="G518" s="1" t="s">
        <v>1758</v>
      </c>
    </row>
    <row r="519" spans="1:7">
      <c r="A519" s="1">
        <v>1588</v>
      </c>
      <c r="B519" s="1" t="s">
        <v>1759</v>
      </c>
      <c r="D519" s="1" t="s">
        <v>1707</v>
      </c>
      <c r="E519" s="1" t="s">
        <v>1760</v>
      </c>
      <c r="F519" s="1" t="s">
        <v>1761</v>
      </c>
      <c r="G519" s="1" t="s">
        <v>1762</v>
      </c>
    </row>
    <row r="520" spans="1:7">
      <c r="A520" s="1">
        <v>1589</v>
      </c>
      <c r="B520" s="1" t="s">
        <v>1763</v>
      </c>
      <c r="D520" s="1" t="s">
        <v>1707</v>
      </c>
      <c r="E520" s="1" t="s">
        <v>1764</v>
      </c>
      <c r="F520" s="1" t="s">
        <v>1765</v>
      </c>
      <c r="G520" s="1" t="s">
        <v>1766</v>
      </c>
    </row>
    <row r="521" spans="1:7">
      <c r="A521" s="1">
        <v>1592</v>
      </c>
      <c r="B521" s="1" t="s">
        <v>1767</v>
      </c>
      <c r="D521" s="1" t="s">
        <v>1768</v>
      </c>
      <c r="E521" s="1" t="s">
        <v>1769</v>
      </c>
      <c r="F521" s="1" t="s">
        <v>1770</v>
      </c>
      <c r="G521" s="1" t="s">
        <v>1771</v>
      </c>
    </row>
    <row r="522" spans="1:7">
      <c r="A522" s="1">
        <v>1593</v>
      </c>
      <c r="B522" s="1" t="s">
        <v>1772</v>
      </c>
      <c r="D522" s="1" t="s">
        <v>1773</v>
      </c>
      <c r="E522" s="1" t="s">
        <v>1774</v>
      </c>
      <c r="F522" s="1" t="s">
        <v>1775</v>
      </c>
      <c r="G522" s="1" t="s">
        <v>1776</v>
      </c>
    </row>
    <row r="523" spans="1:7">
      <c r="A523" s="1">
        <v>1594</v>
      </c>
      <c r="B523" s="1" t="s">
        <v>1777</v>
      </c>
      <c r="D523" s="1" t="s">
        <v>1778</v>
      </c>
      <c r="E523" s="1" t="s">
        <v>1779</v>
      </c>
      <c r="F523" s="1" t="s">
        <v>1775</v>
      </c>
      <c r="G523" s="1" t="s">
        <v>1776</v>
      </c>
    </row>
    <row r="524" spans="1:7">
      <c r="A524" s="1">
        <v>1595</v>
      </c>
      <c r="B524" s="1" t="s">
        <v>1780</v>
      </c>
      <c r="D524" s="1" t="s">
        <v>1781</v>
      </c>
      <c r="E524" s="1" t="s">
        <v>1782</v>
      </c>
      <c r="F524" s="1" t="s">
        <v>161</v>
      </c>
      <c r="G524" s="1" t="s">
        <v>162</v>
      </c>
    </row>
    <row r="525" spans="1:7">
      <c r="A525" s="1">
        <v>1596</v>
      </c>
      <c r="B525" s="1" t="s">
        <v>1783</v>
      </c>
      <c r="D525" s="1" t="s">
        <v>1781</v>
      </c>
      <c r="E525" s="1" t="s">
        <v>1784</v>
      </c>
      <c r="F525" s="1" t="s">
        <v>165</v>
      </c>
      <c r="G525" s="1" t="s">
        <v>166</v>
      </c>
    </row>
    <row r="526" spans="1:7">
      <c r="A526" s="1">
        <v>1600</v>
      </c>
      <c r="B526" s="1" t="s">
        <v>1785</v>
      </c>
      <c r="D526" s="1" t="s">
        <v>1781</v>
      </c>
      <c r="E526" s="1" t="s">
        <v>1786</v>
      </c>
      <c r="F526" s="1" t="s">
        <v>1775</v>
      </c>
      <c r="G526" s="1" t="s">
        <v>1776</v>
      </c>
    </row>
    <row r="527" spans="1:7">
      <c r="A527" s="1">
        <v>1601</v>
      </c>
      <c r="B527" s="1" t="s">
        <v>1787</v>
      </c>
      <c r="D527" s="1" t="s">
        <v>1781</v>
      </c>
      <c r="E527" s="1" t="s">
        <v>1788</v>
      </c>
      <c r="F527" s="1" t="s">
        <v>1789</v>
      </c>
      <c r="G527" s="1" t="s">
        <v>1790</v>
      </c>
    </row>
    <row r="528" spans="1:7">
      <c r="A528" s="1">
        <v>1602</v>
      </c>
      <c r="B528" s="1" t="s">
        <v>1791</v>
      </c>
      <c r="D528" s="1" t="s">
        <v>1781</v>
      </c>
      <c r="E528" s="1" t="s">
        <v>1792</v>
      </c>
      <c r="F528" s="1" t="s">
        <v>1793</v>
      </c>
      <c r="G528" s="1" t="s">
        <v>1794</v>
      </c>
    </row>
    <row r="529" spans="1:7">
      <c r="A529" s="1">
        <v>1603</v>
      </c>
      <c r="B529" s="1" t="s">
        <v>1795</v>
      </c>
      <c r="D529" s="1" t="s">
        <v>1781</v>
      </c>
      <c r="E529" s="1" t="s">
        <v>1796</v>
      </c>
      <c r="F529" s="1" t="s">
        <v>297</v>
      </c>
      <c r="G529" s="1" t="s">
        <v>298</v>
      </c>
    </row>
    <row r="530" spans="1:7">
      <c r="A530" s="1">
        <v>1604</v>
      </c>
      <c r="B530" s="1" t="s">
        <v>1797</v>
      </c>
      <c r="D530" s="1" t="s">
        <v>1781</v>
      </c>
      <c r="E530" s="1" t="s">
        <v>1798</v>
      </c>
      <c r="F530" s="1" t="s">
        <v>301</v>
      </c>
      <c r="G530" s="1" t="s">
        <v>302</v>
      </c>
    </row>
    <row r="531" spans="1:7">
      <c r="A531" s="1">
        <v>1605</v>
      </c>
      <c r="B531" s="1" t="s">
        <v>1799</v>
      </c>
      <c r="D531" s="1" t="s">
        <v>1800</v>
      </c>
      <c r="E531" s="1" t="s">
        <v>1801</v>
      </c>
      <c r="F531" s="1" t="s">
        <v>161</v>
      </c>
      <c r="G531" s="1" t="s">
        <v>162</v>
      </c>
    </row>
    <row r="532" spans="1:7">
      <c r="A532" s="1">
        <v>1607</v>
      </c>
      <c r="B532" s="1" t="s">
        <v>1802</v>
      </c>
      <c r="D532" s="1" t="s">
        <v>1800</v>
      </c>
      <c r="E532" s="1" t="s">
        <v>1803</v>
      </c>
      <c r="F532" s="1" t="s">
        <v>165</v>
      </c>
      <c r="G532" s="1" t="s">
        <v>166</v>
      </c>
    </row>
    <row r="533" spans="1:7">
      <c r="A533" s="1">
        <v>1610</v>
      </c>
      <c r="B533" s="1" t="s">
        <v>1804</v>
      </c>
      <c r="D533" s="1" t="s">
        <v>1800</v>
      </c>
      <c r="E533" s="1" t="s">
        <v>1805</v>
      </c>
      <c r="F533" s="1" t="s">
        <v>1770</v>
      </c>
      <c r="G533" s="1" t="s">
        <v>1771</v>
      </c>
    </row>
    <row r="534" spans="1:7">
      <c r="A534" s="1">
        <v>1611</v>
      </c>
      <c r="B534" s="1" t="s">
        <v>1806</v>
      </c>
      <c r="D534" s="1" t="s">
        <v>1800</v>
      </c>
      <c r="E534" s="1" t="s">
        <v>1807</v>
      </c>
      <c r="F534" s="1" t="s">
        <v>1789</v>
      </c>
      <c r="G534" s="1" t="s">
        <v>1790</v>
      </c>
    </row>
    <row r="535" spans="1:7">
      <c r="A535" s="1">
        <v>1612</v>
      </c>
      <c r="B535" s="1" t="s">
        <v>1808</v>
      </c>
      <c r="D535" s="1" t="s">
        <v>1800</v>
      </c>
      <c r="E535" s="1" t="s">
        <v>1809</v>
      </c>
      <c r="F535" s="1" t="s">
        <v>1793</v>
      </c>
      <c r="G535" s="1" t="s">
        <v>1794</v>
      </c>
    </row>
    <row r="536" spans="1:7">
      <c r="A536" s="1">
        <v>1613</v>
      </c>
      <c r="B536" s="1" t="s">
        <v>1810</v>
      </c>
      <c r="D536" s="1" t="s">
        <v>1800</v>
      </c>
      <c r="E536" s="1" t="s">
        <v>1811</v>
      </c>
      <c r="F536" s="1" t="s">
        <v>297</v>
      </c>
      <c r="G536" s="1" t="s">
        <v>298</v>
      </c>
    </row>
    <row r="537" spans="1:7">
      <c r="A537" s="1">
        <v>1614</v>
      </c>
      <c r="B537" s="1" t="s">
        <v>1812</v>
      </c>
      <c r="D537" s="1" t="s">
        <v>1800</v>
      </c>
      <c r="E537" s="1" t="s">
        <v>1813</v>
      </c>
      <c r="F537" s="1" t="s">
        <v>301</v>
      </c>
      <c r="G537" s="1" t="s">
        <v>302</v>
      </c>
    </row>
    <row r="538" spans="1:7">
      <c r="A538" s="1">
        <v>1615</v>
      </c>
      <c r="B538" s="1" t="s">
        <v>1814</v>
      </c>
      <c r="D538" s="1" t="s">
        <v>1815</v>
      </c>
      <c r="E538" s="1" t="s">
        <v>1816</v>
      </c>
      <c r="F538" s="1" t="s">
        <v>1817</v>
      </c>
      <c r="G538" s="1" t="s">
        <v>1818</v>
      </c>
    </row>
    <row r="539" spans="1:7">
      <c r="A539" s="1">
        <v>1616</v>
      </c>
      <c r="B539" s="1" t="s">
        <v>1819</v>
      </c>
      <c r="D539" s="1" t="s">
        <v>1815</v>
      </c>
      <c r="E539" s="1" t="s">
        <v>1820</v>
      </c>
      <c r="F539" s="1" t="s">
        <v>1821</v>
      </c>
      <c r="G539" s="1" t="s">
        <v>1822</v>
      </c>
    </row>
    <row r="540" spans="1:7">
      <c r="A540" s="1">
        <v>1619</v>
      </c>
      <c r="B540" s="1" t="s">
        <v>1823</v>
      </c>
      <c r="D540" s="1" t="s">
        <v>1815</v>
      </c>
      <c r="E540" s="1" t="s">
        <v>1824</v>
      </c>
      <c r="F540" s="1" t="s">
        <v>1775</v>
      </c>
      <c r="G540" s="1" t="s">
        <v>1776</v>
      </c>
    </row>
    <row r="541" spans="1:7">
      <c r="A541" s="1">
        <v>1620</v>
      </c>
      <c r="B541" s="1" t="s">
        <v>1825</v>
      </c>
      <c r="D541" s="1" t="s">
        <v>1815</v>
      </c>
      <c r="E541" s="1" t="s">
        <v>1826</v>
      </c>
      <c r="F541" s="1" t="s">
        <v>1789</v>
      </c>
      <c r="G541" s="1" t="s">
        <v>1790</v>
      </c>
    </row>
    <row r="542" spans="1:7">
      <c r="A542" s="1">
        <v>1621</v>
      </c>
      <c r="B542" s="1" t="s">
        <v>1827</v>
      </c>
      <c r="D542" s="1" t="s">
        <v>1815</v>
      </c>
      <c r="E542" s="1" t="s">
        <v>1828</v>
      </c>
      <c r="F542" s="1" t="s">
        <v>1793</v>
      </c>
      <c r="G542" s="1" t="s">
        <v>1794</v>
      </c>
    </row>
    <row r="543" spans="1:7">
      <c r="A543" s="1">
        <v>1622</v>
      </c>
      <c r="B543" s="1" t="s">
        <v>1829</v>
      </c>
      <c r="D543" s="1" t="s">
        <v>1815</v>
      </c>
      <c r="E543" s="1" t="s">
        <v>1830</v>
      </c>
      <c r="F543" s="1" t="s">
        <v>297</v>
      </c>
      <c r="G543" s="1" t="s">
        <v>298</v>
      </c>
    </row>
    <row r="544" spans="1:7">
      <c r="A544" s="1">
        <v>1623</v>
      </c>
      <c r="B544" s="1" t="s">
        <v>1831</v>
      </c>
      <c r="D544" s="1" t="s">
        <v>1815</v>
      </c>
      <c r="E544" s="1" t="s">
        <v>1832</v>
      </c>
      <c r="F544" s="1" t="s">
        <v>301</v>
      </c>
      <c r="G544" s="1" t="s">
        <v>302</v>
      </c>
    </row>
    <row r="545" spans="1:7">
      <c r="A545" s="1">
        <v>1624</v>
      </c>
      <c r="B545" s="1" t="s">
        <v>1833</v>
      </c>
      <c r="D545" s="1" t="s">
        <v>1834</v>
      </c>
      <c r="E545" s="1" t="s">
        <v>1835</v>
      </c>
      <c r="F545" s="1" t="s">
        <v>1817</v>
      </c>
      <c r="G545" s="1" t="s">
        <v>1818</v>
      </c>
    </row>
    <row r="546" spans="1:7">
      <c r="A546" s="1">
        <v>1625</v>
      </c>
      <c r="B546" s="1" t="s">
        <v>1836</v>
      </c>
      <c r="D546" s="1" t="s">
        <v>1834</v>
      </c>
      <c r="E546" s="1" t="s">
        <v>1837</v>
      </c>
      <c r="F546" s="1" t="s">
        <v>1821</v>
      </c>
      <c r="G546" s="1" t="s">
        <v>1822</v>
      </c>
    </row>
    <row r="547" spans="1:7">
      <c r="A547" s="1">
        <v>1628</v>
      </c>
      <c r="B547" s="1" t="s">
        <v>1838</v>
      </c>
      <c r="D547" s="1" t="s">
        <v>1834</v>
      </c>
      <c r="E547" s="1" t="s">
        <v>1839</v>
      </c>
      <c r="F547" s="1" t="s">
        <v>1775</v>
      </c>
      <c r="G547" s="1" t="s">
        <v>1776</v>
      </c>
    </row>
    <row r="548" spans="1:7">
      <c r="A548" s="1">
        <v>1629</v>
      </c>
      <c r="B548" s="1" t="s">
        <v>1840</v>
      </c>
      <c r="D548" s="1" t="s">
        <v>1834</v>
      </c>
      <c r="E548" s="1" t="s">
        <v>1841</v>
      </c>
      <c r="F548" s="1" t="s">
        <v>1789</v>
      </c>
      <c r="G548" s="1" t="s">
        <v>1790</v>
      </c>
    </row>
    <row r="549" spans="1:7">
      <c r="A549" s="1">
        <v>1630</v>
      </c>
      <c r="B549" s="1" t="s">
        <v>1842</v>
      </c>
      <c r="D549" s="1" t="s">
        <v>1834</v>
      </c>
      <c r="E549" s="1" t="s">
        <v>1843</v>
      </c>
      <c r="F549" s="1" t="s">
        <v>1793</v>
      </c>
      <c r="G549" s="1" t="s">
        <v>1794</v>
      </c>
    </row>
    <row r="550" spans="1:7">
      <c r="A550" s="1">
        <v>1631</v>
      </c>
      <c r="B550" s="1" t="s">
        <v>1844</v>
      </c>
      <c r="D550" s="1" t="s">
        <v>1834</v>
      </c>
      <c r="E550" s="1" t="s">
        <v>1845</v>
      </c>
      <c r="F550" s="1" t="s">
        <v>297</v>
      </c>
      <c r="G550" s="1" t="s">
        <v>298</v>
      </c>
    </row>
    <row r="551" spans="1:7">
      <c r="A551" s="1">
        <v>1632</v>
      </c>
      <c r="B551" s="1" t="s">
        <v>1846</v>
      </c>
      <c r="D551" s="1" t="s">
        <v>1834</v>
      </c>
      <c r="E551" s="1" t="s">
        <v>1847</v>
      </c>
      <c r="F551" s="1" t="s">
        <v>301</v>
      </c>
      <c r="G551" s="1" t="s">
        <v>302</v>
      </c>
    </row>
    <row r="552" spans="1:7">
      <c r="A552" s="1">
        <v>1633</v>
      </c>
      <c r="B552" s="1" t="s">
        <v>1848</v>
      </c>
      <c r="D552" s="1" t="s">
        <v>1849</v>
      </c>
      <c r="E552" s="1" t="s">
        <v>1850</v>
      </c>
      <c r="F552" s="1" t="s">
        <v>1789</v>
      </c>
      <c r="G552" s="1" t="s">
        <v>1790</v>
      </c>
    </row>
    <row r="553" spans="1:7">
      <c r="A553" s="1">
        <v>1634</v>
      </c>
      <c r="B553" s="1" t="s">
        <v>1851</v>
      </c>
      <c r="D553" s="1" t="s">
        <v>1849</v>
      </c>
      <c r="E553" s="1" t="s">
        <v>1852</v>
      </c>
      <c r="F553" s="1" t="s">
        <v>1793</v>
      </c>
      <c r="G553" s="1" t="s">
        <v>1794</v>
      </c>
    </row>
    <row r="554" spans="1:7">
      <c r="A554" s="1">
        <v>1635</v>
      </c>
      <c r="B554" s="1" t="s">
        <v>1853</v>
      </c>
      <c r="D554" s="1" t="s">
        <v>1849</v>
      </c>
      <c r="E554" s="1" t="s">
        <v>1854</v>
      </c>
      <c r="F554" s="1" t="s">
        <v>297</v>
      </c>
      <c r="G554" s="1" t="s">
        <v>298</v>
      </c>
    </row>
    <row r="555" spans="1:7">
      <c r="A555" s="1">
        <v>1636</v>
      </c>
      <c r="B555" s="1" t="s">
        <v>1855</v>
      </c>
      <c r="D555" s="1" t="s">
        <v>1849</v>
      </c>
      <c r="E555" s="1" t="s">
        <v>1856</v>
      </c>
      <c r="F555" s="1" t="s">
        <v>301</v>
      </c>
      <c r="G555" s="1" t="s">
        <v>302</v>
      </c>
    </row>
    <row r="556" spans="1:7">
      <c r="A556" s="1">
        <v>1637</v>
      </c>
      <c r="B556" s="1" t="s">
        <v>1857</v>
      </c>
      <c r="D556" s="1" t="s">
        <v>1858</v>
      </c>
      <c r="E556" s="1" t="s">
        <v>1859</v>
      </c>
      <c r="F556" s="1" t="s">
        <v>1789</v>
      </c>
      <c r="G556" s="1" t="s">
        <v>1790</v>
      </c>
    </row>
    <row r="557" spans="1:7">
      <c r="A557" s="1">
        <v>1638</v>
      </c>
      <c r="B557" s="1" t="s">
        <v>1860</v>
      </c>
      <c r="D557" s="1" t="s">
        <v>1858</v>
      </c>
      <c r="E557" s="1" t="s">
        <v>1861</v>
      </c>
      <c r="F557" s="1" t="s">
        <v>1793</v>
      </c>
      <c r="G557" s="1" t="s">
        <v>1794</v>
      </c>
    </row>
    <row r="558" spans="1:7">
      <c r="A558" s="1">
        <v>1639</v>
      </c>
      <c r="B558" s="1" t="s">
        <v>1862</v>
      </c>
      <c r="D558" s="1" t="s">
        <v>1858</v>
      </c>
      <c r="E558" s="1" t="s">
        <v>1863</v>
      </c>
      <c r="F558" s="1" t="s">
        <v>297</v>
      </c>
      <c r="G558" s="1" t="s">
        <v>298</v>
      </c>
    </row>
    <row r="559" spans="1:7">
      <c r="A559" s="1">
        <v>1640</v>
      </c>
      <c r="B559" s="1" t="s">
        <v>1864</v>
      </c>
      <c r="D559" s="1" t="s">
        <v>1858</v>
      </c>
      <c r="E559" s="1" t="s">
        <v>1865</v>
      </c>
      <c r="F559" s="1" t="s">
        <v>301</v>
      </c>
      <c r="G559" s="1" t="s">
        <v>302</v>
      </c>
    </row>
    <row r="560" spans="1:7">
      <c r="A560" s="1">
        <v>1641</v>
      </c>
      <c r="B560" s="1" t="s">
        <v>1866</v>
      </c>
      <c r="D560" s="1" t="s">
        <v>1867</v>
      </c>
      <c r="E560" s="1" t="s">
        <v>1868</v>
      </c>
      <c r="F560" s="1" t="s">
        <v>1789</v>
      </c>
      <c r="G560" s="1" t="s">
        <v>1790</v>
      </c>
    </row>
    <row r="561" spans="1:7">
      <c r="A561" s="1">
        <v>1642</v>
      </c>
      <c r="B561" s="1" t="s">
        <v>1869</v>
      </c>
      <c r="D561" s="1" t="s">
        <v>1867</v>
      </c>
      <c r="E561" s="1" t="s">
        <v>1870</v>
      </c>
      <c r="F561" s="1" t="s">
        <v>1793</v>
      </c>
      <c r="G561" s="1" t="s">
        <v>1794</v>
      </c>
    </row>
    <row r="562" spans="1:7">
      <c r="A562" s="1">
        <v>1643</v>
      </c>
      <c r="B562" s="1" t="s">
        <v>1871</v>
      </c>
      <c r="D562" s="1" t="s">
        <v>1867</v>
      </c>
      <c r="E562" s="1" t="s">
        <v>1872</v>
      </c>
      <c r="F562" s="1" t="s">
        <v>297</v>
      </c>
      <c r="G562" s="1" t="s">
        <v>298</v>
      </c>
    </row>
    <row r="563" spans="1:7">
      <c r="A563" s="1">
        <v>1644</v>
      </c>
      <c r="B563" s="1" t="s">
        <v>1873</v>
      </c>
      <c r="D563" s="1" t="s">
        <v>1867</v>
      </c>
      <c r="E563" s="1" t="s">
        <v>1874</v>
      </c>
      <c r="F563" s="1" t="s">
        <v>301</v>
      </c>
      <c r="G563" s="1" t="s">
        <v>302</v>
      </c>
    </row>
    <row r="564" spans="1:7">
      <c r="A564" s="1">
        <v>1645</v>
      </c>
      <c r="B564" s="1" t="s">
        <v>1875</v>
      </c>
      <c r="D564" s="1" t="s">
        <v>1876</v>
      </c>
      <c r="E564" s="1" t="s">
        <v>1877</v>
      </c>
      <c r="F564" s="1" t="s">
        <v>1821</v>
      </c>
      <c r="G564" s="1" t="s">
        <v>1822</v>
      </c>
    </row>
    <row r="565" spans="1:7">
      <c r="A565" s="1">
        <v>1646</v>
      </c>
      <c r="B565" s="1" t="s">
        <v>1878</v>
      </c>
      <c r="D565" s="1" t="s">
        <v>1876</v>
      </c>
      <c r="E565" s="1" t="s">
        <v>1879</v>
      </c>
      <c r="F565" s="1" t="s">
        <v>1817</v>
      </c>
      <c r="G565" s="1" t="s">
        <v>1818</v>
      </c>
    </row>
    <row r="566" spans="1:7">
      <c r="A566" s="1">
        <v>1649</v>
      </c>
      <c r="B566" s="1" t="s">
        <v>1880</v>
      </c>
      <c r="D566" s="1" t="s">
        <v>1881</v>
      </c>
      <c r="E566" s="1" t="s">
        <v>1882</v>
      </c>
      <c r="F566" s="1" t="s">
        <v>1821</v>
      </c>
      <c r="G566" s="1" t="s">
        <v>1822</v>
      </c>
    </row>
    <row r="567" spans="1:7">
      <c r="A567" s="1">
        <v>1650</v>
      </c>
      <c r="B567" s="1" t="s">
        <v>1883</v>
      </c>
      <c r="D567" s="1" t="s">
        <v>1881</v>
      </c>
      <c r="E567" s="1" t="s">
        <v>1884</v>
      </c>
      <c r="F567" s="1" t="s">
        <v>1817</v>
      </c>
      <c r="G567" s="1" t="s">
        <v>1818</v>
      </c>
    </row>
    <row r="568" spans="1:7">
      <c r="A568" s="1">
        <v>1669</v>
      </c>
      <c r="B568" s="1" t="s">
        <v>1885</v>
      </c>
      <c r="D568" s="1" t="s">
        <v>1886</v>
      </c>
      <c r="E568" s="1" t="s">
        <v>1887</v>
      </c>
      <c r="F568" s="1" t="s">
        <v>1888</v>
      </c>
      <c r="G568" s="1" t="s">
        <v>1889</v>
      </c>
    </row>
    <row r="569" spans="1:7">
      <c r="A569" s="1">
        <v>1670</v>
      </c>
      <c r="B569" s="1" t="s">
        <v>1890</v>
      </c>
      <c r="D569" s="1" t="s">
        <v>1886</v>
      </c>
      <c r="E569" s="1" t="s">
        <v>1891</v>
      </c>
      <c r="F569" s="1" t="s">
        <v>1892</v>
      </c>
      <c r="G569" s="1" t="s">
        <v>1893</v>
      </c>
    </row>
    <row r="570" spans="1:7">
      <c r="A570" s="1">
        <v>1671</v>
      </c>
      <c r="B570" s="1" t="s">
        <v>1894</v>
      </c>
      <c r="D570" s="1" t="s">
        <v>1886</v>
      </c>
      <c r="E570" s="1" t="s">
        <v>1895</v>
      </c>
      <c r="F570" s="1" t="s">
        <v>1896</v>
      </c>
      <c r="G570" s="1" t="s">
        <v>1897</v>
      </c>
    </row>
    <row r="571" spans="1:7">
      <c r="A571" s="1">
        <v>1672</v>
      </c>
      <c r="B571" s="1" t="s">
        <v>1898</v>
      </c>
      <c r="D571" s="1" t="s">
        <v>1886</v>
      </c>
      <c r="E571" s="1" t="s">
        <v>1899</v>
      </c>
      <c r="F571" s="1" t="s">
        <v>1900</v>
      </c>
      <c r="G571" s="1" t="s">
        <v>1901</v>
      </c>
    </row>
    <row r="572" spans="1:7">
      <c r="A572" s="1">
        <v>1673</v>
      </c>
      <c r="B572" s="1" t="s">
        <v>1902</v>
      </c>
      <c r="D572" s="1" t="s">
        <v>1886</v>
      </c>
      <c r="E572" s="1" t="s">
        <v>1903</v>
      </c>
      <c r="F572" s="1" t="s">
        <v>1904</v>
      </c>
      <c r="G572" s="1" t="s">
        <v>1905</v>
      </c>
    </row>
    <row r="573" spans="1:7">
      <c r="A573" s="1">
        <v>1674</v>
      </c>
      <c r="B573" s="1" t="s">
        <v>1906</v>
      </c>
      <c r="D573" s="1" t="s">
        <v>1886</v>
      </c>
      <c r="E573" s="1" t="s">
        <v>1907</v>
      </c>
      <c r="F573" s="1" t="s">
        <v>1908</v>
      </c>
      <c r="G573" s="1" t="s">
        <v>1909</v>
      </c>
    </row>
    <row r="574" spans="1:7">
      <c r="A574" s="1">
        <v>1675</v>
      </c>
      <c r="B574" s="1" t="s">
        <v>1910</v>
      </c>
      <c r="D574" s="1" t="s">
        <v>1886</v>
      </c>
      <c r="E574" s="1" t="s">
        <v>1911</v>
      </c>
      <c r="F574" s="1" t="s">
        <v>1912</v>
      </c>
      <c r="G574" s="1" t="s">
        <v>1913</v>
      </c>
    </row>
    <row r="575" spans="1:7">
      <c r="A575" s="1">
        <v>1676</v>
      </c>
      <c r="B575" s="1" t="s">
        <v>1914</v>
      </c>
      <c r="D575" s="1" t="s">
        <v>1886</v>
      </c>
      <c r="E575" s="1" t="s">
        <v>1915</v>
      </c>
      <c r="F575" s="1" t="s">
        <v>1916</v>
      </c>
      <c r="G575" s="1" t="s">
        <v>1917</v>
      </c>
    </row>
    <row r="576" spans="1:7">
      <c r="A576" s="1">
        <v>1677</v>
      </c>
      <c r="B576" s="1" t="s">
        <v>1918</v>
      </c>
      <c r="D576" s="1" t="s">
        <v>1886</v>
      </c>
      <c r="E576" s="1" t="s">
        <v>1919</v>
      </c>
      <c r="F576" s="1" t="s">
        <v>1920</v>
      </c>
      <c r="G576" s="1" t="s">
        <v>1921</v>
      </c>
    </row>
    <row r="577" spans="1:7">
      <c r="A577" s="1">
        <v>1679</v>
      </c>
      <c r="B577" s="1" t="s">
        <v>1922</v>
      </c>
      <c r="D577" s="1" t="s">
        <v>1886</v>
      </c>
      <c r="E577" s="1" t="s">
        <v>1923</v>
      </c>
      <c r="F577" s="1" t="s">
        <v>1924</v>
      </c>
      <c r="G577" s="1" t="s">
        <v>1925</v>
      </c>
    </row>
    <row r="578" spans="1:7">
      <c r="A578" s="1">
        <v>1701</v>
      </c>
      <c r="B578" s="1" t="s">
        <v>1926</v>
      </c>
      <c r="D578" s="1" t="s">
        <v>1927</v>
      </c>
      <c r="E578" s="1" t="s">
        <v>1928</v>
      </c>
      <c r="F578" s="1" t="s">
        <v>1888</v>
      </c>
      <c r="G578" s="1" t="s">
        <v>1889</v>
      </c>
    </row>
    <row r="579" spans="1:7">
      <c r="A579" s="1">
        <v>1702</v>
      </c>
      <c r="B579" s="1" t="s">
        <v>1929</v>
      </c>
      <c r="D579" s="1" t="s">
        <v>1927</v>
      </c>
      <c r="E579" s="1" t="s">
        <v>1930</v>
      </c>
      <c r="F579" s="1" t="s">
        <v>1892</v>
      </c>
      <c r="G579" s="1" t="s">
        <v>1893</v>
      </c>
    </row>
    <row r="580" spans="1:7">
      <c r="A580" s="1">
        <v>1703</v>
      </c>
      <c r="B580" s="1" t="s">
        <v>1931</v>
      </c>
      <c r="D580" s="1" t="s">
        <v>1927</v>
      </c>
      <c r="E580" s="1" t="s">
        <v>1932</v>
      </c>
      <c r="F580" s="1" t="s">
        <v>1896</v>
      </c>
      <c r="G580" s="1" t="s">
        <v>1897</v>
      </c>
    </row>
    <row r="581" spans="1:7">
      <c r="A581" s="1">
        <v>1704</v>
      </c>
      <c r="B581" s="1" t="s">
        <v>1933</v>
      </c>
      <c r="D581" s="1" t="s">
        <v>1927</v>
      </c>
      <c r="E581" s="1" t="s">
        <v>1934</v>
      </c>
      <c r="F581" s="1" t="s">
        <v>1900</v>
      </c>
      <c r="G581" s="1" t="s">
        <v>1901</v>
      </c>
    </row>
    <row r="582" spans="1:7">
      <c r="A582" s="1">
        <v>1705</v>
      </c>
      <c r="B582" s="1" t="s">
        <v>1935</v>
      </c>
      <c r="D582" s="1" t="s">
        <v>1927</v>
      </c>
      <c r="E582" s="1" t="s">
        <v>1936</v>
      </c>
      <c r="F582" s="1" t="s">
        <v>1904</v>
      </c>
      <c r="G582" s="1" t="s">
        <v>1905</v>
      </c>
    </row>
    <row r="583" spans="1:7">
      <c r="A583" s="1">
        <v>1706</v>
      </c>
      <c r="B583" s="1" t="s">
        <v>1937</v>
      </c>
      <c r="D583" s="1" t="s">
        <v>1927</v>
      </c>
      <c r="E583" s="1" t="s">
        <v>1938</v>
      </c>
      <c r="F583" s="1" t="s">
        <v>1908</v>
      </c>
      <c r="G583" s="1" t="s">
        <v>1909</v>
      </c>
    </row>
    <row r="584" spans="1:7">
      <c r="A584" s="1">
        <v>1707</v>
      </c>
      <c r="B584" s="1" t="s">
        <v>1939</v>
      </c>
      <c r="D584" s="1" t="s">
        <v>1927</v>
      </c>
      <c r="E584" s="1" t="s">
        <v>1940</v>
      </c>
      <c r="F584" s="1" t="s">
        <v>1912</v>
      </c>
      <c r="G584" s="1" t="s">
        <v>1913</v>
      </c>
    </row>
    <row r="585" spans="1:7">
      <c r="A585" s="1">
        <v>1708</v>
      </c>
      <c r="B585" s="1" t="s">
        <v>1941</v>
      </c>
      <c r="D585" s="1" t="s">
        <v>1927</v>
      </c>
      <c r="E585" s="1" t="s">
        <v>1942</v>
      </c>
      <c r="F585" s="1" t="s">
        <v>1916</v>
      </c>
      <c r="G585" s="1" t="s">
        <v>1917</v>
      </c>
    </row>
    <row r="586" spans="1:7">
      <c r="A586" s="1">
        <v>1709</v>
      </c>
      <c r="B586" s="1" t="s">
        <v>1943</v>
      </c>
      <c r="D586" s="1" t="s">
        <v>1927</v>
      </c>
      <c r="E586" s="1" t="s">
        <v>1944</v>
      </c>
      <c r="F586" s="1" t="s">
        <v>1920</v>
      </c>
      <c r="G586" s="1" t="s">
        <v>1921</v>
      </c>
    </row>
    <row r="587" spans="1:7">
      <c r="A587" s="1">
        <v>1711</v>
      </c>
      <c r="B587" s="1" t="s">
        <v>1945</v>
      </c>
      <c r="D587" s="1" t="s">
        <v>1927</v>
      </c>
      <c r="E587" s="1" t="s">
        <v>1946</v>
      </c>
      <c r="F587" s="1" t="s">
        <v>1924</v>
      </c>
      <c r="G587" s="1" t="s">
        <v>1925</v>
      </c>
    </row>
    <row r="588" spans="1:7">
      <c r="A588" s="1">
        <v>1717</v>
      </c>
      <c r="B588" s="1" t="s">
        <v>1947</v>
      </c>
      <c r="D588" s="1" t="s">
        <v>1948</v>
      </c>
      <c r="E588" s="1" t="s">
        <v>1949</v>
      </c>
      <c r="F588" s="1" t="s">
        <v>161</v>
      </c>
      <c r="G588" s="1" t="s">
        <v>162</v>
      </c>
    </row>
    <row r="589" spans="1:7">
      <c r="A589" s="1">
        <v>1718</v>
      </c>
      <c r="B589" s="1" t="s">
        <v>1950</v>
      </c>
      <c r="D589" s="1" t="s">
        <v>1948</v>
      </c>
      <c r="E589" s="1" t="s">
        <v>1951</v>
      </c>
      <c r="F589" s="1" t="s">
        <v>165</v>
      </c>
      <c r="G589" s="1" t="s">
        <v>166</v>
      </c>
    </row>
    <row r="590" spans="1:7">
      <c r="A590" s="1">
        <v>1721</v>
      </c>
      <c r="B590" s="1" t="s">
        <v>1952</v>
      </c>
      <c r="D590" s="1" t="s">
        <v>1948</v>
      </c>
      <c r="E590" s="1" t="s">
        <v>1953</v>
      </c>
      <c r="F590" s="1" t="s">
        <v>169</v>
      </c>
      <c r="G590" s="1" t="s">
        <v>170</v>
      </c>
    </row>
    <row r="591" spans="1:7">
      <c r="A591" s="1">
        <v>1723</v>
      </c>
      <c r="B591" s="1" t="s">
        <v>1954</v>
      </c>
      <c r="D591" s="1" t="s">
        <v>1948</v>
      </c>
      <c r="E591" s="1" t="s">
        <v>1955</v>
      </c>
      <c r="F591" s="1" t="s">
        <v>297</v>
      </c>
      <c r="G591" s="1" t="s">
        <v>298</v>
      </c>
    </row>
    <row r="592" spans="1:7">
      <c r="A592" s="1">
        <v>1724</v>
      </c>
      <c r="B592" s="1" t="s">
        <v>1956</v>
      </c>
      <c r="D592" s="1" t="s">
        <v>1948</v>
      </c>
      <c r="E592" s="1" t="s">
        <v>1957</v>
      </c>
      <c r="F592" s="1" t="s">
        <v>301</v>
      </c>
      <c r="G592" s="1" t="s">
        <v>302</v>
      </c>
    </row>
    <row r="593" spans="1:7">
      <c r="A593" s="1">
        <v>1725</v>
      </c>
      <c r="B593" s="1" t="s">
        <v>1958</v>
      </c>
      <c r="D593" s="1" t="s">
        <v>1948</v>
      </c>
      <c r="E593" s="1" t="s">
        <v>1959</v>
      </c>
      <c r="F593" s="1" t="s">
        <v>305</v>
      </c>
      <c r="G593" s="1" t="s">
        <v>306</v>
      </c>
    </row>
    <row r="594" spans="1:7">
      <c r="A594" s="1">
        <v>1727</v>
      </c>
      <c r="B594" s="1" t="s">
        <v>1960</v>
      </c>
      <c r="D594" s="1" t="s">
        <v>1948</v>
      </c>
      <c r="E594" s="1" t="s">
        <v>1961</v>
      </c>
      <c r="F594" s="1" t="s">
        <v>1962</v>
      </c>
      <c r="G594" s="1" t="s">
        <v>1963</v>
      </c>
    </row>
    <row r="595" spans="1:7">
      <c r="A595" s="1">
        <v>1728</v>
      </c>
      <c r="B595" s="1" t="s">
        <v>1964</v>
      </c>
      <c r="D595" s="1" t="s">
        <v>1948</v>
      </c>
      <c r="E595" s="1" t="s">
        <v>1965</v>
      </c>
      <c r="F595" s="1" t="s">
        <v>1966</v>
      </c>
      <c r="G595" s="1" t="s">
        <v>1967</v>
      </c>
    </row>
    <row r="596" spans="1:7">
      <c r="A596" s="1">
        <v>1729</v>
      </c>
      <c r="B596" s="1" t="s">
        <v>1968</v>
      </c>
      <c r="D596" s="1" t="s">
        <v>1948</v>
      </c>
      <c r="E596" s="1" t="s">
        <v>1969</v>
      </c>
      <c r="F596" s="1" t="s">
        <v>1970</v>
      </c>
      <c r="G596" s="1" t="s">
        <v>1971</v>
      </c>
    </row>
    <row r="597" spans="1:7">
      <c r="A597" s="1">
        <v>1732</v>
      </c>
      <c r="B597" s="1" t="s">
        <v>1972</v>
      </c>
      <c r="D597" s="1" t="s">
        <v>1973</v>
      </c>
      <c r="E597" s="1" t="s">
        <v>1974</v>
      </c>
      <c r="F597" s="1" t="s">
        <v>1975</v>
      </c>
      <c r="G597" s="1" t="s">
        <v>1976</v>
      </c>
    </row>
    <row r="598" spans="1:7">
      <c r="A598" s="1">
        <v>1735</v>
      </c>
      <c r="B598" s="1" t="s">
        <v>1977</v>
      </c>
      <c r="D598" s="1" t="s">
        <v>1973</v>
      </c>
      <c r="E598" s="1" t="s">
        <v>1978</v>
      </c>
      <c r="F598" s="1" t="s">
        <v>1979</v>
      </c>
      <c r="G598" s="1" t="s">
        <v>1980</v>
      </c>
    </row>
    <row r="599" spans="1:7">
      <c r="A599" s="1">
        <v>1736</v>
      </c>
      <c r="B599" s="1" t="s">
        <v>1981</v>
      </c>
      <c r="D599" s="1" t="s">
        <v>1973</v>
      </c>
      <c r="E599" s="1" t="s">
        <v>1982</v>
      </c>
      <c r="F599" s="1" t="s">
        <v>1983</v>
      </c>
      <c r="G599" s="1" t="s">
        <v>1984</v>
      </c>
    </row>
    <row r="600" spans="1:7">
      <c r="A600" s="1">
        <v>1737</v>
      </c>
      <c r="B600" s="1" t="s">
        <v>1985</v>
      </c>
      <c r="D600" s="1" t="s">
        <v>1973</v>
      </c>
      <c r="E600" s="1" t="s">
        <v>1986</v>
      </c>
      <c r="F600" s="1" t="s">
        <v>1987</v>
      </c>
      <c r="G600" s="1" t="s">
        <v>1988</v>
      </c>
    </row>
    <row r="601" spans="1:7">
      <c r="A601" s="1">
        <v>1738</v>
      </c>
      <c r="B601" s="1" t="s">
        <v>1989</v>
      </c>
      <c r="D601" s="1" t="s">
        <v>1973</v>
      </c>
      <c r="E601" s="1" t="s">
        <v>1990</v>
      </c>
      <c r="F601" s="1" t="s">
        <v>1991</v>
      </c>
      <c r="G601" s="1" t="s">
        <v>1992</v>
      </c>
    </row>
    <row r="602" spans="1:7">
      <c r="A602" s="1">
        <v>1739</v>
      </c>
      <c r="B602" s="1" t="s">
        <v>1993</v>
      </c>
      <c r="D602" s="1" t="s">
        <v>1973</v>
      </c>
      <c r="E602" s="1" t="s">
        <v>1994</v>
      </c>
      <c r="F602" s="1" t="s">
        <v>1995</v>
      </c>
      <c r="G602" s="1" t="s">
        <v>1996</v>
      </c>
    </row>
    <row r="603" spans="1:7">
      <c r="A603" s="1">
        <v>1740</v>
      </c>
      <c r="B603" s="1" t="s">
        <v>1997</v>
      </c>
      <c r="D603" s="1" t="s">
        <v>1973</v>
      </c>
      <c r="E603" s="1" t="s">
        <v>1998</v>
      </c>
      <c r="F603" s="1" t="s">
        <v>1999</v>
      </c>
      <c r="G603" s="1" t="s">
        <v>2000</v>
      </c>
    </row>
    <row r="604" spans="1:7">
      <c r="A604" s="1">
        <v>1741</v>
      </c>
      <c r="B604" s="1" t="s">
        <v>2001</v>
      </c>
      <c r="D604" s="1" t="s">
        <v>1973</v>
      </c>
      <c r="E604" s="1" t="s">
        <v>2002</v>
      </c>
      <c r="F604" s="1" t="s">
        <v>2003</v>
      </c>
      <c r="G604" s="1" t="s">
        <v>2004</v>
      </c>
    </row>
    <row r="605" spans="1:7">
      <c r="A605" s="1">
        <v>1742</v>
      </c>
      <c r="B605" s="1" t="s">
        <v>2005</v>
      </c>
      <c r="D605" s="1" t="s">
        <v>2006</v>
      </c>
      <c r="E605" s="1" t="s">
        <v>2007</v>
      </c>
      <c r="F605" s="1" t="s">
        <v>1975</v>
      </c>
      <c r="G605" s="1" t="s">
        <v>1976</v>
      </c>
    </row>
    <row r="606" spans="1:7">
      <c r="A606" s="1">
        <v>1745</v>
      </c>
      <c r="B606" s="1" t="s">
        <v>2008</v>
      </c>
      <c r="D606" s="1" t="s">
        <v>2006</v>
      </c>
      <c r="E606" s="1" t="s">
        <v>2009</v>
      </c>
      <c r="F606" s="1" t="s">
        <v>1979</v>
      </c>
      <c r="G606" s="1" t="s">
        <v>1980</v>
      </c>
    </row>
    <row r="607" spans="1:7">
      <c r="A607" s="1">
        <v>1746</v>
      </c>
      <c r="B607" s="1" t="s">
        <v>2010</v>
      </c>
      <c r="D607" s="1" t="s">
        <v>2006</v>
      </c>
      <c r="E607" s="1" t="s">
        <v>2011</v>
      </c>
      <c r="F607" s="1" t="s">
        <v>1983</v>
      </c>
      <c r="G607" s="1" t="s">
        <v>1984</v>
      </c>
    </row>
    <row r="608" spans="1:7">
      <c r="A608" s="1">
        <v>1747</v>
      </c>
      <c r="B608" s="1" t="s">
        <v>2012</v>
      </c>
      <c r="D608" s="1" t="s">
        <v>2006</v>
      </c>
      <c r="E608" s="1" t="s">
        <v>2013</v>
      </c>
      <c r="F608" s="1" t="s">
        <v>1987</v>
      </c>
      <c r="G608" s="1" t="s">
        <v>1988</v>
      </c>
    </row>
    <row r="609" spans="1:7">
      <c r="A609" s="1">
        <v>1748</v>
      </c>
      <c r="B609" s="1" t="s">
        <v>2014</v>
      </c>
      <c r="D609" s="1" t="s">
        <v>2006</v>
      </c>
      <c r="E609" s="1" t="s">
        <v>2015</v>
      </c>
      <c r="F609" s="1" t="s">
        <v>1991</v>
      </c>
      <c r="G609" s="1" t="s">
        <v>1992</v>
      </c>
    </row>
    <row r="610" spans="1:7">
      <c r="A610" s="1">
        <v>1749</v>
      </c>
      <c r="B610" s="1" t="s">
        <v>2016</v>
      </c>
      <c r="D610" s="1" t="s">
        <v>2006</v>
      </c>
      <c r="E610" s="1" t="s">
        <v>2017</v>
      </c>
      <c r="F610" s="1" t="s">
        <v>1995</v>
      </c>
      <c r="G610" s="1" t="s">
        <v>1996</v>
      </c>
    </row>
    <row r="611" spans="1:7">
      <c r="A611" s="1">
        <v>1750</v>
      </c>
      <c r="B611" s="1" t="s">
        <v>2018</v>
      </c>
      <c r="D611" s="1" t="s">
        <v>2006</v>
      </c>
      <c r="E611" s="1" t="s">
        <v>2019</v>
      </c>
      <c r="F611" s="1" t="s">
        <v>1999</v>
      </c>
      <c r="G611" s="1" t="s">
        <v>2000</v>
      </c>
    </row>
    <row r="612" spans="1:7">
      <c r="A612" s="1">
        <v>1751</v>
      </c>
      <c r="B612" s="1" t="s">
        <v>2020</v>
      </c>
      <c r="D612" s="1" t="s">
        <v>2006</v>
      </c>
      <c r="E612" s="1" t="s">
        <v>2021</v>
      </c>
      <c r="F612" s="1" t="s">
        <v>2003</v>
      </c>
      <c r="G612" s="1" t="s">
        <v>2004</v>
      </c>
    </row>
    <row r="613" spans="1:7">
      <c r="A613" s="1">
        <v>1753</v>
      </c>
      <c r="B613" s="1" t="s">
        <v>2022</v>
      </c>
      <c r="D613" s="1" t="s">
        <v>2023</v>
      </c>
      <c r="E613" s="1" t="s">
        <v>2024</v>
      </c>
      <c r="F613" s="1" t="s">
        <v>541</v>
      </c>
      <c r="G613" s="1" t="s">
        <v>542</v>
      </c>
    </row>
    <row r="614" spans="1:7">
      <c r="A614" s="1">
        <v>1754</v>
      </c>
      <c r="B614" s="1" t="s">
        <v>2025</v>
      </c>
      <c r="D614" s="1" t="s">
        <v>2023</v>
      </c>
      <c r="E614" s="1" t="s">
        <v>2026</v>
      </c>
      <c r="F614" s="1" t="s">
        <v>1557</v>
      </c>
      <c r="G614" s="1" t="s">
        <v>1558</v>
      </c>
    </row>
    <row r="615" spans="1:7">
      <c r="A615" s="1">
        <v>1755</v>
      </c>
      <c r="B615" s="1" t="s">
        <v>2027</v>
      </c>
      <c r="D615" s="1" t="s">
        <v>2023</v>
      </c>
      <c r="E615" s="1" t="s">
        <v>2028</v>
      </c>
      <c r="F615" s="1" t="s">
        <v>1553</v>
      </c>
      <c r="G615" s="1" t="s">
        <v>1554</v>
      </c>
    </row>
    <row r="616" spans="1:7">
      <c r="A616" s="1">
        <v>1756</v>
      </c>
      <c r="B616" s="1" t="s">
        <v>2029</v>
      </c>
      <c r="D616" s="1" t="s">
        <v>2023</v>
      </c>
      <c r="E616" s="1" t="s">
        <v>2030</v>
      </c>
      <c r="F616" s="1" t="s">
        <v>1561</v>
      </c>
      <c r="G616" s="1" t="s">
        <v>1562</v>
      </c>
    </row>
    <row r="617" spans="1:7">
      <c r="A617" s="1">
        <v>1757</v>
      </c>
      <c r="B617" s="1" t="s">
        <v>2031</v>
      </c>
      <c r="D617" s="1" t="s">
        <v>2023</v>
      </c>
      <c r="E617" s="1" t="s">
        <v>2032</v>
      </c>
      <c r="F617" s="1" t="s">
        <v>2033</v>
      </c>
      <c r="G617" s="1" t="s">
        <v>2034</v>
      </c>
    </row>
    <row r="618" spans="1:7">
      <c r="A618" s="1">
        <v>1758</v>
      </c>
      <c r="B618" s="1" t="s">
        <v>2035</v>
      </c>
      <c r="D618" s="1" t="s">
        <v>2023</v>
      </c>
      <c r="E618" s="1" t="s">
        <v>2036</v>
      </c>
      <c r="F618" s="1" t="s">
        <v>2037</v>
      </c>
      <c r="G618" s="1" t="s">
        <v>2038</v>
      </c>
    </row>
    <row r="619" spans="1:7">
      <c r="A619" s="1">
        <v>1759</v>
      </c>
      <c r="B619" s="1" t="s">
        <v>2039</v>
      </c>
      <c r="D619" s="1" t="s">
        <v>2023</v>
      </c>
      <c r="E619" s="1" t="s">
        <v>2040</v>
      </c>
      <c r="F619" s="1" t="s">
        <v>2041</v>
      </c>
      <c r="G619" s="1" t="s">
        <v>2042</v>
      </c>
    </row>
    <row r="620" spans="1:7">
      <c r="A620" s="1">
        <v>1760</v>
      </c>
      <c r="B620" s="1" t="s">
        <v>2043</v>
      </c>
      <c r="D620" s="1" t="s">
        <v>2023</v>
      </c>
      <c r="E620" s="1" t="s">
        <v>2044</v>
      </c>
      <c r="F620" s="1" t="s">
        <v>2045</v>
      </c>
      <c r="G620" s="1" t="s">
        <v>2046</v>
      </c>
    </row>
    <row r="621" spans="1:7">
      <c r="A621" s="1">
        <v>1761</v>
      </c>
      <c r="B621" s="1" t="s">
        <v>2047</v>
      </c>
      <c r="D621" s="1" t="s">
        <v>2023</v>
      </c>
      <c r="E621" s="1" t="s">
        <v>2048</v>
      </c>
      <c r="F621" s="1" t="s">
        <v>2049</v>
      </c>
      <c r="G621" s="1" t="s">
        <v>2050</v>
      </c>
    </row>
    <row r="622" spans="1:7">
      <c r="A622" s="1">
        <v>1763</v>
      </c>
      <c r="B622" s="1" t="s">
        <v>2051</v>
      </c>
      <c r="D622" s="1" t="s">
        <v>2023</v>
      </c>
      <c r="E622" s="1" t="s">
        <v>2052</v>
      </c>
      <c r="F622" s="1" t="s">
        <v>161</v>
      </c>
      <c r="G622" s="1" t="s">
        <v>162</v>
      </c>
    </row>
    <row r="623" spans="1:7">
      <c r="A623" s="1">
        <v>1764</v>
      </c>
      <c r="B623" s="1" t="s">
        <v>2053</v>
      </c>
      <c r="D623" s="1" t="s">
        <v>2023</v>
      </c>
      <c r="E623" s="1" t="s">
        <v>2054</v>
      </c>
      <c r="F623" s="1" t="s">
        <v>165</v>
      </c>
      <c r="G623" s="1" t="s">
        <v>166</v>
      </c>
    </row>
    <row r="624" spans="1:7">
      <c r="A624" s="1">
        <v>1766</v>
      </c>
      <c r="B624" s="1" t="s">
        <v>2055</v>
      </c>
      <c r="D624" s="1" t="s">
        <v>2023</v>
      </c>
      <c r="E624" s="1" t="s">
        <v>2056</v>
      </c>
      <c r="F624" s="1" t="s">
        <v>2057</v>
      </c>
      <c r="G624" s="1" t="s">
        <v>2058</v>
      </c>
    </row>
    <row r="625" spans="1:7">
      <c r="A625" s="1">
        <v>1767</v>
      </c>
      <c r="B625" s="1" t="s">
        <v>2059</v>
      </c>
      <c r="D625" s="1" t="s">
        <v>2023</v>
      </c>
      <c r="E625" s="1" t="s">
        <v>2060</v>
      </c>
      <c r="F625" s="1" t="s">
        <v>2061</v>
      </c>
      <c r="G625" s="1" t="s">
        <v>2062</v>
      </c>
    </row>
    <row r="626" spans="1:7">
      <c r="A626" s="1">
        <v>1768</v>
      </c>
      <c r="B626" s="1" t="s">
        <v>2063</v>
      </c>
      <c r="D626" s="1" t="s">
        <v>2023</v>
      </c>
      <c r="E626" s="1" t="s">
        <v>2064</v>
      </c>
      <c r="F626" s="1" t="s">
        <v>2065</v>
      </c>
      <c r="G626" s="1" t="s">
        <v>2058</v>
      </c>
    </row>
    <row r="627" spans="1:7">
      <c r="A627" s="1">
        <v>1769</v>
      </c>
      <c r="B627" s="1" t="s">
        <v>2066</v>
      </c>
      <c r="D627" s="1" t="s">
        <v>2023</v>
      </c>
      <c r="E627" s="1" t="s">
        <v>2067</v>
      </c>
      <c r="F627" s="1" t="s">
        <v>2068</v>
      </c>
      <c r="G627" s="1" t="s">
        <v>2062</v>
      </c>
    </row>
    <row r="628" spans="1:7">
      <c r="A628" s="1">
        <v>1771</v>
      </c>
      <c r="B628" s="1" t="s">
        <v>2069</v>
      </c>
      <c r="D628" s="1" t="s">
        <v>2070</v>
      </c>
      <c r="E628" s="1" t="s">
        <v>2071</v>
      </c>
      <c r="F628" s="1" t="s">
        <v>541</v>
      </c>
      <c r="G628" s="1" t="s">
        <v>542</v>
      </c>
    </row>
    <row r="629" spans="1:7">
      <c r="A629" s="1">
        <v>1772</v>
      </c>
      <c r="B629" s="1" t="s">
        <v>2072</v>
      </c>
      <c r="D629" s="1" t="s">
        <v>2070</v>
      </c>
      <c r="E629" s="1" t="s">
        <v>2073</v>
      </c>
      <c r="F629" s="1" t="s">
        <v>1557</v>
      </c>
      <c r="G629" s="1" t="s">
        <v>1558</v>
      </c>
    </row>
    <row r="630" spans="1:7">
      <c r="A630" s="1">
        <v>1773</v>
      </c>
      <c r="B630" s="1" t="s">
        <v>2074</v>
      </c>
      <c r="D630" s="1" t="s">
        <v>2070</v>
      </c>
      <c r="E630" s="1" t="s">
        <v>2075</v>
      </c>
      <c r="F630" s="1" t="s">
        <v>1553</v>
      </c>
      <c r="G630" s="1" t="s">
        <v>1554</v>
      </c>
    </row>
    <row r="631" spans="1:7">
      <c r="A631" s="1">
        <v>1774</v>
      </c>
      <c r="B631" s="1" t="s">
        <v>2076</v>
      </c>
      <c r="D631" s="1" t="s">
        <v>2070</v>
      </c>
      <c r="E631" s="1" t="s">
        <v>2077</v>
      </c>
      <c r="F631" s="1" t="s">
        <v>1561</v>
      </c>
      <c r="G631" s="1" t="s">
        <v>1562</v>
      </c>
    </row>
    <row r="632" spans="1:7">
      <c r="A632" s="1">
        <v>1775</v>
      </c>
      <c r="B632" s="1" t="s">
        <v>2078</v>
      </c>
      <c r="D632" s="1" t="s">
        <v>2070</v>
      </c>
      <c r="E632" s="1" t="s">
        <v>2079</v>
      </c>
      <c r="F632" s="1" t="s">
        <v>2033</v>
      </c>
      <c r="G632" s="1" t="s">
        <v>2034</v>
      </c>
    </row>
    <row r="633" spans="1:7">
      <c r="A633" s="1">
        <v>1776</v>
      </c>
      <c r="B633" s="1" t="s">
        <v>2080</v>
      </c>
      <c r="D633" s="1" t="s">
        <v>2070</v>
      </c>
      <c r="E633" s="1" t="s">
        <v>2081</v>
      </c>
      <c r="F633" s="1" t="s">
        <v>2037</v>
      </c>
      <c r="G633" s="1" t="s">
        <v>2038</v>
      </c>
    </row>
    <row r="634" spans="1:7">
      <c r="A634" s="1">
        <v>1777</v>
      </c>
      <c r="B634" s="1" t="s">
        <v>2082</v>
      </c>
      <c r="D634" s="1" t="s">
        <v>2070</v>
      </c>
      <c r="E634" s="1" t="s">
        <v>2083</v>
      </c>
      <c r="F634" s="1" t="s">
        <v>2041</v>
      </c>
      <c r="G634" s="1" t="s">
        <v>2042</v>
      </c>
    </row>
    <row r="635" spans="1:7">
      <c r="A635" s="1">
        <v>1778</v>
      </c>
      <c r="B635" s="1" t="s">
        <v>2084</v>
      </c>
      <c r="D635" s="1" t="s">
        <v>2070</v>
      </c>
      <c r="E635" s="1" t="s">
        <v>2085</v>
      </c>
      <c r="F635" s="1" t="s">
        <v>2045</v>
      </c>
      <c r="G635" s="1" t="s">
        <v>2046</v>
      </c>
    </row>
    <row r="636" spans="1:7">
      <c r="A636" s="1">
        <v>1779</v>
      </c>
      <c r="B636" s="1" t="s">
        <v>2086</v>
      </c>
      <c r="D636" s="1" t="s">
        <v>2070</v>
      </c>
      <c r="E636" s="1" t="s">
        <v>2087</v>
      </c>
      <c r="F636" s="1" t="s">
        <v>2049</v>
      </c>
      <c r="G636" s="1" t="s">
        <v>2050</v>
      </c>
    </row>
    <row r="637" spans="1:7">
      <c r="A637" s="1">
        <v>1781</v>
      </c>
      <c r="B637" s="1" t="s">
        <v>2088</v>
      </c>
      <c r="D637" s="1" t="s">
        <v>2070</v>
      </c>
      <c r="E637" s="1" t="s">
        <v>2089</v>
      </c>
      <c r="F637" s="1" t="s">
        <v>161</v>
      </c>
      <c r="G637" s="1" t="s">
        <v>162</v>
      </c>
    </row>
    <row r="638" spans="1:7">
      <c r="A638" s="1">
        <v>1782</v>
      </c>
      <c r="B638" s="1" t="s">
        <v>2090</v>
      </c>
      <c r="D638" s="1" t="s">
        <v>2070</v>
      </c>
      <c r="E638" s="1" t="s">
        <v>2091</v>
      </c>
      <c r="F638" s="1" t="s">
        <v>165</v>
      </c>
      <c r="G638" s="1" t="s">
        <v>166</v>
      </c>
    </row>
    <row r="639" spans="1:7">
      <c r="A639" s="1">
        <v>1784</v>
      </c>
      <c r="B639" s="1" t="s">
        <v>2092</v>
      </c>
      <c r="D639" s="1" t="s">
        <v>2070</v>
      </c>
      <c r="E639" s="1" t="s">
        <v>2093</v>
      </c>
      <c r="F639" s="1" t="s">
        <v>2057</v>
      </c>
      <c r="G639" s="1" t="s">
        <v>2058</v>
      </c>
    </row>
    <row r="640" spans="1:7">
      <c r="A640" s="1">
        <v>1785</v>
      </c>
      <c r="B640" s="1" t="s">
        <v>2094</v>
      </c>
      <c r="D640" s="1" t="s">
        <v>2070</v>
      </c>
      <c r="E640" s="1" t="s">
        <v>2095</v>
      </c>
      <c r="F640" s="1" t="s">
        <v>2061</v>
      </c>
      <c r="G640" s="1" t="s">
        <v>2062</v>
      </c>
    </row>
    <row r="641" spans="1:7">
      <c r="A641" s="1">
        <v>1786</v>
      </c>
      <c r="B641" s="1" t="s">
        <v>2096</v>
      </c>
      <c r="D641" s="1" t="s">
        <v>2070</v>
      </c>
      <c r="E641" s="1" t="s">
        <v>2097</v>
      </c>
      <c r="F641" s="1" t="s">
        <v>2065</v>
      </c>
      <c r="G641" s="1" t="s">
        <v>2058</v>
      </c>
    </row>
    <row r="642" spans="1:7">
      <c r="A642" s="1">
        <v>1787</v>
      </c>
      <c r="B642" s="1" t="s">
        <v>2098</v>
      </c>
      <c r="D642" s="1" t="s">
        <v>2070</v>
      </c>
      <c r="E642" s="1" t="s">
        <v>2099</v>
      </c>
      <c r="F642" s="1" t="s">
        <v>2068</v>
      </c>
      <c r="G642" s="1" t="s">
        <v>2062</v>
      </c>
    </row>
    <row r="643" spans="1:7">
      <c r="A643" s="1">
        <v>1789</v>
      </c>
      <c r="B643" s="1" t="s">
        <v>2100</v>
      </c>
      <c r="D643" s="1" t="s">
        <v>2101</v>
      </c>
      <c r="E643" s="1" t="s">
        <v>2102</v>
      </c>
      <c r="F643" s="1" t="s">
        <v>541</v>
      </c>
      <c r="G643" s="1" t="s">
        <v>542</v>
      </c>
    </row>
    <row r="644" spans="1:7">
      <c r="A644" s="1">
        <v>1790</v>
      </c>
      <c r="B644" s="1" t="s">
        <v>2103</v>
      </c>
      <c r="D644" s="1" t="s">
        <v>2101</v>
      </c>
      <c r="E644" s="1" t="s">
        <v>2104</v>
      </c>
      <c r="F644" s="1" t="s">
        <v>1557</v>
      </c>
      <c r="G644" s="1" t="s">
        <v>1558</v>
      </c>
    </row>
    <row r="645" spans="1:7">
      <c r="A645" s="1">
        <v>1791</v>
      </c>
      <c r="B645" s="1" t="s">
        <v>2105</v>
      </c>
      <c r="D645" s="1" t="s">
        <v>2101</v>
      </c>
      <c r="E645" s="1" t="s">
        <v>2106</v>
      </c>
      <c r="F645" s="1" t="s">
        <v>1553</v>
      </c>
      <c r="G645" s="1" t="s">
        <v>1554</v>
      </c>
    </row>
    <row r="646" spans="1:7">
      <c r="A646" s="1">
        <v>1792</v>
      </c>
      <c r="B646" s="1" t="s">
        <v>2107</v>
      </c>
      <c r="D646" s="1" t="s">
        <v>2101</v>
      </c>
      <c r="E646" s="1" t="s">
        <v>2108</v>
      </c>
      <c r="F646" s="1" t="s">
        <v>1561</v>
      </c>
      <c r="G646" s="1" t="s">
        <v>1562</v>
      </c>
    </row>
    <row r="647" spans="1:7">
      <c r="A647" s="1">
        <v>1793</v>
      </c>
      <c r="B647" s="1" t="s">
        <v>2109</v>
      </c>
      <c r="D647" s="1" t="s">
        <v>2101</v>
      </c>
      <c r="E647" s="1" t="s">
        <v>2110</v>
      </c>
      <c r="F647" s="1" t="s">
        <v>2033</v>
      </c>
      <c r="G647" s="1" t="s">
        <v>2034</v>
      </c>
    </row>
    <row r="648" spans="1:7">
      <c r="A648" s="1">
        <v>1794</v>
      </c>
      <c r="B648" s="1" t="s">
        <v>2111</v>
      </c>
      <c r="D648" s="1" t="s">
        <v>2101</v>
      </c>
      <c r="E648" s="1" t="s">
        <v>2112</v>
      </c>
      <c r="F648" s="1" t="s">
        <v>2037</v>
      </c>
      <c r="G648" s="1" t="s">
        <v>2038</v>
      </c>
    </row>
    <row r="649" spans="1:7">
      <c r="A649" s="1">
        <v>1795</v>
      </c>
      <c r="B649" s="1" t="s">
        <v>2113</v>
      </c>
      <c r="D649" s="1" t="s">
        <v>2101</v>
      </c>
      <c r="E649" s="1" t="s">
        <v>2114</v>
      </c>
      <c r="F649" s="1" t="s">
        <v>2041</v>
      </c>
      <c r="G649" s="1" t="s">
        <v>2042</v>
      </c>
    </row>
    <row r="650" spans="1:7">
      <c r="A650" s="1">
        <v>1796</v>
      </c>
      <c r="B650" s="1" t="s">
        <v>2115</v>
      </c>
      <c r="D650" s="1" t="s">
        <v>2101</v>
      </c>
      <c r="E650" s="1" t="s">
        <v>2116</v>
      </c>
      <c r="F650" s="1" t="s">
        <v>2045</v>
      </c>
      <c r="G650" s="1" t="s">
        <v>2046</v>
      </c>
    </row>
    <row r="651" spans="1:7">
      <c r="A651" s="1">
        <v>1797</v>
      </c>
      <c r="B651" s="1" t="s">
        <v>2117</v>
      </c>
      <c r="D651" s="1" t="s">
        <v>2101</v>
      </c>
      <c r="E651" s="1" t="s">
        <v>2118</v>
      </c>
      <c r="F651" s="1" t="s">
        <v>2049</v>
      </c>
      <c r="G651" s="1" t="s">
        <v>2050</v>
      </c>
    </row>
    <row r="652" spans="1:7">
      <c r="A652" s="1">
        <v>1799</v>
      </c>
      <c r="B652" s="1" t="s">
        <v>2119</v>
      </c>
      <c r="D652" s="1" t="s">
        <v>2101</v>
      </c>
      <c r="E652" s="1" t="s">
        <v>2120</v>
      </c>
      <c r="F652" s="1" t="s">
        <v>161</v>
      </c>
      <c r="G652" s="1" t="s">
        <v>162</v>
      </c>
    </row>
    <row r="653" spans="1:7">
      <c r="A653" s="1">
        <v>1800</v>
      </c>
      <c r="B653" s="1" t="s">
        <v>2121</v>
      </c>
      <c r="D653" s="1" t="s">
        <v>2101</v>
      </c>
      <c r="E653" s="1" t="s">
        <v>2122</v>
      </c>
      <c r="F653" s="1" t="s">
        <v>165</v>
      </c>
      <c r="G653" s="1" t="s">
        <v>166</v>
      </c>
    </row>
    <row r="654" spans="1:7">
      <c r="A654" s="1">
        <v>1802</v>
      </c>
      <c r="B654" s="1" t="s">
        <v>2123</v>
      </c>
      <c r="D654" s="1" t="s">
        <v>2101</v>
      </c>
      <c r="E654" s="1" t="s">
        <v>2124</v>
      </c>
      <c r="F654" s="1" t="s">
        <v>2057</v>
      </c>
      <c r="G654" s="1" t="s">
        <v>2058</v>
      </c>
    </row>
    <row r="655" spans="1:7">
      <c r="A655" s="1">
        <v>1803</v>
      </c>
      <c r="B655" s="1" t="s">
        <v>2125</v>
      </c>
      <c r="D655" s="1" t="s">
        <v>2101</v>
      </c>
      <c r="E655" s="1" t="s">
        <v>2126</v>
      </c>
      <c r="F655" s="1" t="s">
        <v>2061</v>
      </c>
      <c r="G655" s="1" t="s">
        <v>2062</v>
      </c>
    </row>
    <row r="656" spans="1:7">
      <c r="A656" s="1">
        <v>1804</v>
      </c>
      <c r="B656" s="1" t="s">
        <v>2127</v>
      </c>
      <c r="D656" s="1" t="s">
        <v>2101</v>
      </c>
      <c r="E656" s="1" t="s">
        <v>2128</v>
      </c>
      <c r="F656" s="1" t="s">
        <v>2065</v>
      </c>
      <c r="G656" s="1" t="s">
        <v>2058</v>
      </c>
    </row>
    <row r="657" spans="1:7">
      <c r="A657" s="1">
        <v>1805</v>
      </c>
      <c r="B657" s="1" t="s">
        <v>2129</v>
      </c>
      <c r="D657" s="1" t="s">
        <v>2101</v>
      </c>
      <c r="E657" s="1" t="s">
        <v>2130</v>
      </c>
      <c r="F657" s="1" t="s">
        <v>2068</v>
      </c>
      <c r="G657" s="1" t="s">
        <v>2062</v>
      </c>
    </row>
    <row r="658" spans="1:7">
      <c r="A658" s="1">
        <v>1807</v>
      </c>
      <c r="B658" s="1" t="s">
        <v>2131</v>
      </c>
      <c r="D658" s="1" t="s">
        <v>2132</v>
      </c>
      <c r="E658" s="1" t="s">
        <v>2133</v>
      </c>
      <c r="F658" s="1" t="s">
        <v>541</v>
      </c>
      <c r="G658" s="1" t="s">
        <v>542</v>
      </c>
    </row>
    <row r="659" spans="1:7">
      <c r="A659" s="1">
        <v>1808</v>
      </c>
      <c r="B659" s="1" t="s">
        <v>2134</v>
      </c>
      <c r="D659" s="1" t="s">
        <v>2132</v>
      </c>
      <c r="E659" s="1" t="s">
        <v>2135</v>
      </c>
      <c r="F659" s="1" t="s">
        <v>1557</v>
      </c>
      <c r="G659" s="1" t="s">
        <v>1558</v>
      </c>
    </row>
    <row r="660" spans="1:7">
      <c r="A660" s="1">
        <v>1809</v>
      </c>
      <c r="B660" s="1" t="s">
        <v>2136</v>
      </c>
      <c r="D660" s="1" t="s">
        <v>2132</v>
      </c>
      <c r="E660" s="1" t="s">
        <v>2137</v>
      </c>
      <c r="F660" s="1" t="s">
        <v>1553</v>
      </c>
      <c r="G660" s="1" t="s">
        <v>1554</v>
      </c>
    </row>
    <row r="661" spans="1:7">
      <c r="A661" s="1">
        <v>1810</v>
      </c>
      <c r="B661" s="1" t="s">
        <v>2138</v>
      </c>
      <c r="D661" s="1" t="s">
        <v>2132</v>
      </c>
      <c r="E661" s="1" t="s">
        <v>2139</v>
      </c>
      <c r="F661" s="1" t="s">
        <v>1561</v>
      </c>
      <c r="G661" s="1" t="s">
        <v>1562</v>
      </c>
    </row>
    <row r="662" spans="1:7">
      <c r="A662" s="1">
        <v>1811</v>
      </c>
      <c r="B662" s="1" t="s">
        <v>2140</v>
      </c>
      <c r="D662" s="1" t="s">
        <v>2132</v>
      </c>
      <c r="E662" s="1" t="s">
        <v>2141</v>
      </c>
      <c r="F662" s="1" t="s">
        <v>2033</v>
      </c>
      <c r="G662" s="1" t="s">
        <v>2034</v>
      </c>
    </row>
    <row r="663" spans="1:7">
      <c r="A663" s="1">
        <v>1812</v>
      </c>
      <c r="B663" s="1" t="s">
        <v>2142</v>
      </c>
      <c r="D663" s="1" t="s">
        <v>2132</v>
      </c>
      <c r="E663" s="1" t="s">
        <v>2143</v>
      </c>
      <c r="F663" s="1" t="s">
        <v>2037</v>
      </c>
      <c r="G663" s="1" t="s">
        <v>2038</v>
      </c>
    </row>
    <row r="664" spans="1:7">
      <c r="A664" s="1">
        <v>1813</v>
      </c>
      <c r="B664" s="1" t="s">
        <v>2144</v>
      </c>
      <c r="D664" s="1" t="s">
        <v>2132</v>
      </c>
      <c r="E664" s="1" t="s">
        <v>2145</v>
      </c>
      <c r="F664" s="1" t="s">
        <v>2041</v>
      </c>
      <c r="G664" s="1" t="s">
        <v>2042</v>
      </c>
    </row>
    <row r="665" spans="1:7">
      <c r="A665" s="1">
        <v>1814</v>
      </c>
      <c r="B665" s="1" t="s">
        <v>2146</v>
      </c>
      <c r="D665" s="1" t="s">
        <v>2132</v>
      </c>
      <c r="E665" s="1" t="s">
        <v>2147</v>
      </c>
      <c r="F665" s="1" t="s">
        <v>2045</v>
      </c>
      <c r="G665" s="1" t="s">
        <v>2046</v>
      </c>
    </row>
    <row r="666" spans="1:7">
      <c r="A666" s="1">
        <v>1815</v>
      </c>
      <c r="B666" s="1" t="s">
        <v>2148</v>
      </c>
      <c r="D666" s="1" t="s">
        <v>2132</v>
      </c>
      <c r="E666" s="1" t="s">
        <v>2149</v>
      </c>
      <c r="F666" s="1" t="s">
        <v>2049</v>
      </c>
      <c r="G666" s="1" t="s">
        <v>2050</v>
      </c>
    </row>
    <row r="667" spans="1:7">
      <c r="A667" s="1">
        <v>1817</v>
      </c>
      <c r="B667" s="1" t="s">
        <v>2150</v>
      </c>
      <c r="D667" s="1" t="s">
        <v>2132</v>
      </c>
      <c r="E667" s="1" t="s">
        <v>2151</v>
      </c>
      <c r="F667" s="1" t="s">
        <v>161</v>
      </c>
      <c r="G667" s="1" t="s">
        <v>162</v>
      </c>
    </row>
    <row r="668" spans="1:7">
      <c r="A668" s="1">
        <v>1818</v>
      </c>
      <c r="B668" s="1" t="s">
        <v>2152</v>
      </c>
      <c r="D668" s="1" t="s">
        <v>2132</v>
      </c>
      <c r="E668" s="1" t="s">
        <v>2153</v>
      </c>
      <c r="F668" s="1" t="s">
        <v>165</v>
      </c>
      <c r="G668" s="1" t="s">
        <v>166</v>
      </c>
    </row>
    <row r="669" spans="1:7">
      <c r="A669" s="1">
        <v>1820</v>
      </c>
      <c r="B669" s="1" t="s">
        <v>2154</v>
      </c>
      <c r="D669" s="1" t="s">
        <v>2132</v>
      </c>
      <c r="E669" s="1" t="s">
        <v>2155</v>
      </c>
      <c r="F669" s="1" t="s">
        <v>2057</v>
      </c>
      <c r="G669" s="1" t="s">
        <v>2058</v>
      </c>
    </row>
    <row r="670" spans="1:7">
      <c r="A670" s="1">
        <v>1821</v>
      </c>
      <c r="B670" s="1" t="s">
        <v>2156</v>
      </c>
      <c r="D670" s="1" t="s">
        <v>2132</v>
      </c>
      <c r="E670" s="1" t="s">
        <v>2157</v>
      </c>
      <c r="F670" s="1" t="s">
        <v>2061</v>
      </c>
      <c r="G670" s="1" t="s">
        <v>2062</v>
      </c>
    </row>
    <row r="671" spans="1:7">
      <c r="A671" s="1">
        <v>1822</v>
      </c>
      <c r="B671" s="1" t="s">
        <v>2158</v>
      </c>
      <c r="D671" s="1" t="s">
        <v>2132</v>
      </c>
      <c r="E671" s="1" t="s">
        <v>2159</v>
      </c>
      <c r="F671" s="1" t="s">
        <v>2065</v>
      </c>
      <c r="G671" s="1" t="s">
        <v>2058</v>
      </c>
    </row>
    <row r="672" spans="1:7">
      <c r="A672" s="1">
        <v>1823</v>
      </c>
      <c r="B672" s="1" t="s">
        <v>2160</v>
      </c>
      <c r="D672" s="1" t="s">
        <v>2132</v>
      </c>
      <c r="E672" s="1" t="s">
        <v>2161</v>
      </c>
      <c r="F672" s="1" t="s">
        <v>2068</v>
      </c>
      <c r="G672" s="1" t="s">
        <v>2062</v>
      </c>
    </row>
    <row r="673" spans="1:7">
      <c r="A673" s="1">
        <v>1825</v>
      </c>
      <c r="B673" s="1" t="s">
        <v>2162</v>
      </c>
      <c r="D673" s="1" t="s">
        <v>2163</v>
      </c>
      <c r="E673" s="1" t="s">
        <v>2164</v>
      </c>
      <c r="F673" s="1" t="s">
        <v>541</v>
      </c>
      <c r="G673" s="1" t="s">
        <v>542</v>
      </c>
    </row>
    <row r="674" spans="1:7">
      <c r="A674" s="1">
        <v>1826</v>
      </c>
      <c r="B674" s="1" t="s">
        <v>2165</v>
      </c>
      <c r="D674" s="1" t="s">
        <v>2163</v>
      </c>
      <c r="E674" s="1" t="s">
        <v>2166</v>
      </c>
      <c r="F674" s="1" t="s">
        <v>1557</v>
      </c>
      <c r="G674" s="1" t="s">
        <v>1558</v>
      </c>
    </row>
    <row r="675" spans="1:7">
      <c r="A675" s="1">
        <v>1827</v>
      </c>
      <c r="B675" s="1" t="s">
        <v>2167</v>
      </c>
      <c r="D675" s="1" t="s">
        <v>2163</v>
      </c>
      <c r="E675" s="1" t="s">
        <v>2168</v>
      </c>
      <c r="F675" s="1" t="s">
        <v>1553</v>
      </c>
      <c r="G675" s="1" t="s">
        <v>1554</v>
      </c>
    </row>
    <row r="676" spans="1:7">
      <c r="A676" s="1">
        <v>1828</v>
      </c>
      <c r="B676" s="1" t="s">
        <v>2169</v>
      </c>
      <c r="D676" s="1" t="s">
        <v>2163</v>
      </c>
      <c r="E676" s="1" t="s">
        <v>2170</v>
      </c>
      <c r="F676" s="1" t="s">
        <v>1561</v>
      </c>
      <c r="G676" s="1" t="s">
        <v>1562</v>
      </c>
    </row>
    <row r="677" spans="1:7">
      <c r="A677" s="1">
        <v>1829</v>
      </c>
      <c r="B677" s="1" t="s">
        <v>2171</v>
      </c>
      <c r="D677" s="1" t="s">
        <v>2163</v>
      </c>
      <c r="E677" s="1" t="s">
        <v>2172</v>
      </c>
      <c r="F677" s="1" t="s">
        <v>2033</v>
      </c>
      <c r="G677" s="1" t="s">
        <v>2034</v>
      </c>
    </row>
    <row r="678" spans="1:7">
      <c r="A678" s="1">
        <v>1830</v>
      </c>
      <c r="B678" s="1" t="s">
        <v>2173</v>
      </c>
      <c r="D678" s="1" t="s">
        <v>2163</v>
      </c>
      <c r="E678" s="1" t="s">
        <v>2174</v>
      </c>
      <c r="F678" s="1" t="s">
        <v>2037</v>
      </c>
      <c r="G678" s="1" t="s">
        <v>2038</v>
      </c>
    </row>
    <row r="679" spans="1:7">
      <c r="A679" s="1">
        <v>1831</v>
      </c>
      <c r="B679" s="1" t="s">
        <v>2175</v>
      </c>
      <c r="D679" s="1" t="s">
        <v>2163</v>
      </c>
      <c r="E679" s="1" t="s">
        <v>2176</v>
      </c>
      <c r="F679" s="1" t="s">
        <v>2041</v>
      </c>
      <c r="G679" s="1" t="s">
        <v>2042</v>
      </c>
    </row>
    <row r="680" spans="1:7">
      <c r="A680" s="1">
        <v>1832</v>
      </c>
      <c r="B680" s="1" t="s">
        <v>2177</v>
      </c>
      <c r="D680" s="1" t="s">
        <v>2163</v>
      </c>
      <c r="E680" s="1" t="s">
        <v>2178</v>
      </c>
      <c r="F680" s="1" t="s">
        <v>2045</v>
      </c>
      <c r="G680" s="1" t="s">
        <v>2046</v>
      </c>
    </row>
    <row r="681" spans="1:7">
      <c r="A681" s="1">
        <v>1833</v>
      </c>
      <c r="B681" s="1" t="s">
        <v>2179</v>
      </c>
      <c r="D681" s="1" t="s">
        <v>2163</v>
      </c>
      <c r="E681" s="1" t="s">
        <v>2180</v>
      </c>
      <c r="F681" s="1" t="s">
        <v>2049</v>
      </c>
      <c r="G681" s="1" t="s">
        <v>2050</v>
      </c>
    </row>
    <row r="682" spans="1:7">
      <c r="A682" s="1">
        <v>1835</v>
      </c>
      <c r="B682" s="1" t="s">
        <v>2181</v>
      </c>
      <c r="D682" s="1" t="s">
        <v>2163</v>
      </c>
      <c r="E682" s="1" t="s">
        <v>2182</v>
      </c>
      <c r="F682" s="1" t="s">
        <v>161</v>
      </c>
      <c r="G682" s="1" t="s">
        <v>162</v>
      </c>
    </row>
    <row r="683" spans="1:7">
      <c r="A683" s="1">
        <v>1836</v>
      </c>
      <c r="B683" s="1" t="s">
        <v>2183</v>
      </c>
      <c r="D683" s="1" t="s">
        <v>2163</v>
      </c>
      <c r="E683" s="1" t="s">
        <v>2184</v>
      </c>
      <c r="F683" s="1" t="s">
        <v>165</v>
      </c>
      <c r="G683" s="1" t="s">
        <v>166</v>
      </c>
    </row>
    <row r="684" spans="1:7">
      <c r="A684" s="1">
        <v>1838</v>
      </c>
      <c r="B684" s="1" t="s">
        <v>2185</v>
      </c>
      <c r="D684" s="1" t="s">
        <v>2163</v>
      </c>
      <c r="E684" s="1" t="s">
        <v>2186</v>
      </c>
      <c r="F684" s="1" t="s">
        <v>2057</v>
      </c>
      <c r="G684" s="1" t="s">
        <v>2058</v>
      </c>
    </row>
    <row r="685" spans="1:7">
      <c r="A685" s="1">
        <v>1839</v>
      </c>
      <c r="B685" s="1" t="s">
        <v>2187</v>
      </c>
      <c r="D685" s="1" t="s">
        <v>2163</v>
      </c>
      <c r="E685" s="1" t="s">
        <v>2188</v>
      </c>
      <c r="F685" s="1" t="s">
        <v>2061</v>
      </c>
      <c r="G685" s="1" t="s">
        <v>2062</v>
      </c>
    </row>
    <row r="686" spans="1:7">
      <c r="A686" s="1">
        <v>1840</v>
      </c>
      <c r="B686" s="1" t="s">
        <v>2189</v>
      </c>
      <c r="D686" s="1" t="s">
        <v>2163</v>
      </c>
      <c r="E686" s="1" t="s">
        <v>2190</v>
      </c>
      <c r="F686" s="1" t="s">
        <v>2065</v>
      </c>
      <c r="G686" s="1" t="s">
        <v>2058</v>
      </c>
    </row>
    <row r="687" spans="1:7">
      <c r="A687" s="1">
        <v>1841</v>
      </c>
      <c r="B687" s="1" t="s">
        <v>2191</v>
      </c>
      <c r="D687" s="1" t="s">
        <v>2163</v>
      </c>
      <c r="E687" s="1" t="s">
        <v>2192</v>
      </c>
      <c r="F687" s="1" t="s">
        <v>2068</v>
      </c>
      <c r="G687" s="1" t="s">
        <v>2062</v>
      </c>
    </row>
    <row r="688" spans="1:7">
      <c r="A688" s="1">
        <v>1843</v>
      </c>
      <c r="B688" s="1" t="s">
        <v>2193</v>
      </c>
      <c r="D688" s="1" t="s">
        <v>2194</v>
      </c>
      <c r="E688" s="1" t="s">
        <v>2195</v>
      </c>
      <c r="F688" s="1" t="s">
        <v>541</v>
      </c>
      <c r="G688" s="1" t="s">
        <v>542</v>
      </c>
    </row>
    <row r="689" spans="1:7">
      <c r="A689" s="1">
        <v>1844</v>
      </c>
      <c r="B689" s="1" t="s">
        <v>2196</v>
      </c>
      <c r="D689" s="1" t="s">
        <v>2194</v>
      </c>
      <c r="E689" s="1" t="s">
        <v>2197</v>
      </c>
      <c r="F689" s="1" t="s">
        <v>1557</v>
      </c>
      <c r="G689" s="1" t="s">
        <v>1558</v>
      </c>
    </row>
    <row r="690" spans="1:7">
      <c r="A690" s="1">
        <v>1845</v>
      </c>
      <c r="B690" s="1" t="s">
        <v>2198</v>
      </c>
      <c r="D690" s="1" t="s">
        <v>2194</v>
      </c>
      <c r="E690" s="1" t="s">
        <v>2199</v>
      </c>
      <c r="F690" s="1" t="s">
        <v>1553</v>
      </c>
      <c r="G690" s="1" t="s">
        <v>1554</v>
      </c>
    </row>
    <row r="691" spans="1:7">
      <c r="A691" s="1">
        <v>1846</v>
      </c>
      <c r="B691" s="1" t="s">
        <v>2200</v>
      </c>
      <c r="D691" s="1" t="s">
        <v>2194</v>
      </c>
      <c r="E691" s="1" t="s">
        <v>2201</v>
      </c>
      <c r="F691" s="1" t="s">
        <v>1561</v>
      </c>
      <c r="G691" s="1" t="s">
        <v>1562</v>
      </c>
    </row>
    <row r="692" spans="1:7">
      <c r="A692" s="1">
        <v>1847</v>
      </c>
      <c r="B692" s="1" t="s">
        <v>2202</v>
      </c>
      <c r="D692" s="1" t="s">
        <v>2194</v>
      </c>
      <c r="E692" s="1" t="s">
        <v>2203</v>
      </c>
      <c r="F692" s="1" t="s">
        <v>2033</v>
      </c>
      <c r="G692" s="1" t="s">
        <v>2034</v>
      </c>
    </row>
    <row r="693" spans="1:7">
      <c r="A693" s="1">
        <v>1848</v>
      </c>
      <c r="B693" s="1" t="s">
        <v>2204</v>
      </c>
      <c r="D693" s="1" t="s">
        <v>2194</v>
      </c>
      <c r="E693" s="1" t="s">
        <v>2205</v>
      </c>
      <c r="F693" s="1" t="s">
        <v>2037</v>
      </c>
      <c r="G693" s="1" t="s">
        <v>2038</v>
      </c>
    </row>
    <row r="694" spans="1:7">
      <c r="A694" s="1">
        <v>1849</v>
      </c>
      <c r="B694" s="1" t="s">
        <v>2206</v>
      </c>
      <c r="D694" s="1" t="s">
        <v>2194</v>
      </c>
      <c r="E694" s="1" t="s">
        <v>2207</v>
      </c>
      <c r="F694" s="1" t="s">
        <v>2041</v>
      </c>
      <c r="G694" s="1" t="s">
        <v>2042</v>
      </c>
    </row>
    <row r="695" spans="1:7">
      <c r="A695" s="1">
        <v>1850</v>
      </c>
      <c r="B695" s="1" t="s">
        <v>2208</v>
      </c>
      <c r="D695" s="1" t="s">
        <v>2194</v>
      </c>
      <c r="E695" s="1" t="s">
        <v>2209</v>
      </c>
      <c r="F695" s="1" t="s">
        <v>2045</v>
      </c>
      <c r="G695" s="1" t="s">
        <v>2046</v>
      </c>
    </row>
    <row r="696" spans="1:7">
      <c r="A696" s="1">
        <v>1851</v>
      </c>
      <c r="B696" s="1" t="s">
        <v>2210</v>
      </c>
      <c r="D696" s="1" t="s">
        <v>2194</v>
      </c>
      <c r="E696" s="1" t="s">
        <v>2211</v>
      </c>
      <c r="F696" s="1" t="s">
        <v>2049</v>
      </c>
      <c r="G696" s="1" t="s">
        <v>2050</v>
      </c>
    </row>
    <row r="697" spans="1:7">
      <c r="A697" s="1">
        <v>1853</v>
      </c>
      <c r="B697" s="1" t="s">
        <v>2212</v>
      </c>
      <c r="D697" s="1" t="s">
        <v>2194</v>
      </c>
      <c r="E697" s="1" t="s">
        <v>2213</v>
      </c>
      <c r="F697" s="1" t="s">
        <v>161</v>
      </c>
      <c r="G697" s="1" t="s">
        <v>162</v>
      </c>
    </row>
    <row r="698" spans="1:7">
      <c r="A698" s="1">
        <v>1854</v>
      </c>
      <c r="B698" s="1" t="s">
        <v>2214</v>
      </c>
      <c r="D698" s="1" t="s">
        <v>2194</v>
      </c>
      <c r="E698" s="1" t="s">
        <v>2215</v>
      </c>
      <c r="F698" s="1" t="s">
        <v>165</v>
      </c>
      <c r="G698" s="1" t="s">
        <v>166</v>
      </c>
    </row>
    <row r="699" spans="1:7">
      <c r="A699" s="1">
        <v>1856</v>
      </c>
      <c r="B699" s="1" t="s">
        <v>2216</v>
      </c>
      <c r="D699" s="1" t="s">
        <v>2194</v>
      </c>
      <c r="E699" s="1" t="s">
        <v>2217</v>
      </c>
      <c r="F699" s="1" t="s">
        <v>2057</v>
      </c>
      <c r="G699" s="1" t="s">
        <v>2058</v>
      </c>
    </row>
    <row r="700" spans="1:7">
      <c r="A700" s="1">
        <v>1857</v>
      </c>
      <c r="B700" s="1" t="s">
        <v>2218</v>
      </c>
      <c r="D700" s="1" t="s">
        <v>2194</v>
      </c>
      <c r="E700" s="1" t="s">
        <v>2219</v>
      </c>
      <c r="F700" s="1" t="s">
        <v>2061</v>
      </c>
      <c r="G700" s="1" t="s">
        <v>2062</v>
      </c>
    </row>
    <row r="701" spans="1:7">
      <c r="A701" s="1">
        <v>1858</v>
      </c>
      <c r="B701" s="1" t="s">
        <v>2220</v>
      </c>
      <c r="D701" s="1" t="s">
        <v>2194</v>
      </c>
      <c r="E701" s="1" t="s">
        <v>2221</v>
      </c>
      <c r="F701" s="1" t="s">
        <v>2065</v>
      </c>
      <c r="G701" s="1" t="s">
        <v>2058</v>
      </c>
    </row>
    <row r="702" spans="1:7">
      <c r="A702" s="1">
        <v>1859</v>
      </c>
      <c r="B702" s="1" t="s">
        <v>2222</v>
      </c>
      <c r="D702" s="1" t="s">
        <v>2194</v>
      </c>
      <c r="E702" s="1" t="s">
        <v>2223</v>
      </c>
      <c r="F702" s="1" t="s">
        <v>2068</v>
      </c>
      <c r="G702" s="1" t="s">
        <v>2062</v>
      </c>
    </row>
    <row r="703" spans="1:7">
      <c r="A703" s="1">
        <v>1861</v>
      </c>
      <c r="B703" s="1" t="s">
        <v>2224</v>
      </c>
      <c r="D703" s="1" t="s">
        <v>2225</v>
      </c>
      <c r="E703" s="1" t="s">
        <v>2226</v>
      </c>
      <c r="F703" s="1" t="s">
        <v>541</v>
      </c>
      <c r="G703" s="1" t="s">
        <v>542</v>
      </c>
    </row>
    <row r="704" spans="1:7">
      <c r="A704" s="1">
        <v>1862</v>
      </c>
      <c r="B704" s="1" t="s">
        <v>2227</v>
      </c>
      <c r="D704" s="1" t="s">
        <v>2225</v>
      </c>
      <c r="E704" s="1" t="s">
        <v>2228</v>
      </c>
      <c r="F704" s="1" t="s">
        <v>1557</v>
      </c>
      <c r="G704" s="1" t="s">
        <v>1558</v>
      </c>
    </row>
    <row r="705" spans="1:7">
      <c r="A705" s="1">
        <v>1863</v>
      </c>
      <c r="B705" s="1" t="s">
        <v>2229</v>
      </c>
      <c r="D705" s="1" t="s">
        <v>2225</v>
      </c>
      <c r="E705" s="1" t="s">
        <v>2230</v>
      </c>
      <c r="F705" s="1" t="s">
        <v>1553</v>
      </c>
      <c r="G705" s="1" t="s">
        <v>1554</v>
      </c>
    </row>
    <row r="706" spans="1:7">
      <c r="A706" s="1">
        <v>1864</v>
      </c>
      <c r="B706" s="1" t="s">
        <v>2231</v>
      </c>
      <c r="D706" s="1" t="s">
        <v>2225</v>
      </c>
      <c r="E706" s="1" t="s">
        <v>2232</v>
      </c>
      <c r="F706" s="1" t="s">
        <v>1561</v>
      </c>
      <c r="G706" s="1" t="s">
        <v>1562</v>
      </c>
    </row>
    <row r="707" spans="1:7">
      <c r="A707" s="1">
        <v>1865</v>
      </c>
      <c r="B707" s="1" t="s">
        <v>2233</v>
      </c>
      <c r="D707" s="1" t="s">
        <v>2225</v>
      </c>
      <c r="E707" s="1" t="s">
        <v>2234</v>
      </c>
      <c r="F707" s="1" t="s">
        <v>2033</v>
      </c>
      <c r="G707" s="1" t="s">
        <v>2034</v>
      </c>
    </row>
    <row r="708" spans="1:7">
      <c r="A708" s="1">
        <v>1866</v>
      </c>
      <c r="B708" s="1" t="s">
        <v>2235</v>
      </c>
      <c r="D708" s="1" t="s">
        <v>2225</v>
      </c>
      <c r="E708" s="1" t="s">
        <v>2236</v>
      </c>
      <c r="F708" s="1" t="s">
        <v>2037</v>
      </c>
      <c r="G708" s="1" t="s">
        <v>2038</v>
      </c>
    </row>
    <row r="709" spans="1:7">
      <c r="A709" s="1">
        <v>1867</v>
      </c>
      <c r="B709" s="1" t="s">
        <v>2237</v>
      </c>
      <c r="D709" s="1" t="s">
        <v>2225</v>
      </c>
      <c r="E709" s="1" t="s">
        <v>2238</v>
      </c>
      <c r="F709" s="1" t="s">
        <v>2041</v>
      </c>
      <c r="G709" s="1" t="s">
        <v>2042</v>
      </c>
    </row>
    <row r="710" spans="1:7">
      <c r="A710" s="1">
        <v>1868</v>
      </c>
      <c r="B710" s="1" t="s">
        <v>2239</v>
      </c>
      <c r="D710" s="1" t="s">
        <v>2225</v>
      </c>
      <c r="E710" s="1" t="s">
        <v>2240</v>
      </c>
      <c r="F710" s="1" t="s">
        <v>2045</v>
      </c>
      <c r="G710" s="1" t="s">
        <v>2046</v>
      </c>
    </row>
    <row r="711" spans="1:7">
      <c r="A711" s="1">
        <v>1869</v>
      </c>
      <c r="B711" s="1" t="s">
        <v>2241</v>
      </c>
      <c r="D711" s="1" t="s">
        <v>2225</v>
      </c>
      <c r="E711" s="1" t="s">
        <v>2242</v>
      </c>
      <c r="F711" s="1" t="s">
        <v>2049</v>
      </c>
      <c r="G711" s="1" t="s">
        <v>2050</v>
      </c>
    </row>
    <row r="712" spans="1:7">
      <c r="A712" s="1">
        <v>1871</v>
      </c>
      <c r="B712" s="1" t="s">
        <v>2243</v>
      </c>
      <c r="D712" s="1" t="s">
        <v>2225</v>
      </c>
      <c r="E712" s="1" t="s">
        <v>2244</v>
      </c>
      <c r="F712" s="1" t="s">
        <v>161</v>
      </c>
      <c r="G712" s="1" t="s">
        <v>162</v>
      </c>
    </row>
    <row r="713" spans="1:7">
      <c r="A713" s="1">
        <v>1872</v>
      </c>
      <c r="B713" s="1" t="s">
        <v>2245</v>
      </c>
      <c r="D713" s="1" t="s">
        <v>2225</v>
      </c>
      <c r="E713" s="1" t="s">
        <v>2246</v>
      </c>
      <c r="F713" s="1" t="s">
        <v>165</v>
      </c>
      <c r="G713" s="1" t="s">
        <v>166</v>
      </c>
    </row>
    <row r="714" spans="1:7">
      <c r="A714" s="1">
        <v>1874</v>
      </c>
      <c r="B714" s="1" t="s">
        <v>2247</v>
      </c>
      <c r="D714" s="1" t="s">
        <v>2225</v>
      </c>
      <c r="E714" s="1" t="s">
        <v>2248</v>
      </c>
      <c r="F714" s="1" t="s">
        <v>2057</v>
      </c>
      <c r="G714" s="1" t="s">
        <v>2058</v>
      </c>
    </row>
    <row r="715" spans="1:7">
      <c r="A715" s="1">
        <v>1875</v>
      </c>
      <c r="B715" s="1" t="s">
        <v>2249</v>
      </c>
      <c r="D715" s="1" t="s">
        <v>2225</v>
      </c>
      <c r="E715" s="1" t="s">
        <v>2250</v>
      </c>
      <c r="F715" s="1" t="s">
        <v>2061</v>
      </c>
      <c r="G715" s="1" t="s">
        <v>2062</v>
      </c>
    </row>
    <row r="716" spans="1:7">
      <c r="A716" s="1">
        <v>1876</v>
      </c>
      <c r="B716" s="1" t="s">
        <v>2251</v>
      </c>
      <c r="D716" s="1" t="s">
        <v>2225</v>
      </c>
      <c r="E716" s="1" t="s">
        <v>2252</v>
      </c>
      <c r="F716" s="1" t="s">
        <v>2065</v>
      </c>
      <c r="G716" s="1" t="s">
        <v>2058</v>
      </c>
    </row>
    <row r="717" spans="1:7">
      <c r="A717" s="1">
        <v>1877</v>
      </c>
      <c r="B717" s="1" t="s">
        <v>2253</v>
      </c>
      <c r="D717" s="1" t="s">
        <v>2225</v>
      </c>
      <c r="E717" s="1" t="s">
        <v>2254</v>
      </c>
      <c r="F717" s="1" t="s">
        <v>2068</v>
      </c>
      <c r="G717" s="1" t="s">
        <v>2062</v>
      </c>
    </row>
    <row r="718" spans="1:7">
      <c r="A718" s="1">
        <v>1879</v>
      </c>
      <c r="B718" s="1" t="s">
        <v>2255</v>
      </c>
      <c r="D718" s="1" t="s">
        <v>2256</v>
      </c>
      <c r="E718" s="1" t="s">
        <v>2257</v>
      </c>
      <c r="F718" s="1" t="s">
        <v>541</v>
      </c>
      <c r="G718" s="1" t="s">
        <v>542</v>
      </c>
    </row>
    <row r="719" spans="1:7">
      <c r="A719" s="1">
        <v>1880</v>
      </c>
      <c r="B719" s="1" t="s">
        <v>2258</v>
      </c>
      <c r="D719" s="1" t="s">
        <v>2256</v>
      </c>
      <c r="E719" s="1" t="s">
        <v>2259</v>
      </c>
      <c r="F719" s="1" t="s">
        <v>1557</v>
      </c>
      <c r="G719" s="1" t="s">
        <v>1558</v>
      </c>
    </row>
    <row r="720" spans="1:7">
      <c r="A720" s="1">
        <v>1881</v>
      </c>
      <c r="B720" s="1" t="s">
        <v>2260</v>
      </c>
      <c r="D720" s="1" t="s">
        <v>2256</v>
      </c>
      <c r="E720" s="1" t="s">
        <v>2261</v>
      </c>
      <c r="F720" s="1" t="s">
        <v>1553</v>
      </c>
      <c r="G720" s="1" t="s">
        <v>1554</v>
      </c>
    </row>
    <row r="721" spans="1:7">
      <c r="A721" s="1">
        <v>1882</v>
      </c>
      <c r="B721" s="1" t="s">
        <v>2262</v>
      </c>
      <c r="D721" s="1" t="s">
        <v>2256</v>
      </c>
      <c r="E721" s="1" t="s">
        <v>2263</v>
      </c>
      <c r="F721" s="1" t="s">
        <v>1561</v>
      </c>
      <c r="G721" s="1" t="s">
        <v>1562</v>
      </c>
    </row>
    <row r="722" spans="1:7">
      <c r="A722" s="1">
        <v>1883</v>
      </c>
      <c r="B722" s="1" t="s">
        <v>2264</v>
      </c>
      <c r="D722" s="1" t="s">
        <v>2256</v>
      </c>
      <c r="E722" s="1" t="s">
        <v>2265</v>
      </c>
      <c r="F722" s="1" t="s">
        <v>2033</v>
      </c>
      <c r="G722" s="1" t="s">
        <v>2034</v>
      </c>
    </row>
    <row r="723" spans="1:7">
      <c r="A723" s="1">
        <v>1884</v>
      </c>
      <c r="B723" s="1" t="s">
        <v>2266</v>
      </c>
      <c r="D723" s="1" t="s">
        <v>2256</v>
      </c>
      <c r="E723" s="1" t="s">
        <v>2267</v>
      </c>
      <c r="F723" s="1" t="s">
        <v>2037</v>
      </c>
      <c r="G723" s="1" t="s">
        <v>2038</v>
      </c>
    </row>
    <row r="724" spans="1:7">
      <c r="A724" s="1">
        <v>1885</v>
      </c>
      <c r="B724" s="1" t="s">
        <v>2268</v>
      </c>
      <c r="D724" s="1" t="s">
        <v>2256</v>
      </c>
      <c r="E724" s="1" t="s">
        <v>2269</v>
      </c>
      <c r="F724" s="1" t="s">
        <v>2041</v>
      </c>
      <c r="G724" s="1" t="s">
        <v>2042</v>
      </c>
    </row>
    <row r="725" spans="1:7">
      <c r="A725" s="1">
        <v>1886</v>
      </c>
      <c r="B725" s="1" t="s">
        <v>2270</v>
      </c>
      <c r="D725" s="1" t="s">
        <v>2256</v>
      </c>
      <c r="E725" s="1" t="s">
        <v>2271</v>
      </c>
      <c r="F725" s="1" t="s">
        <v>2045</v>
      </c>
      <c r="G725" s="1" t="s">
        <v>2046</v>
      </c>
    </row>
    <row r="726" spans="1:7">
      <c r="A726" s="1">
        <v>1887</v>
      </c>
      <c r="B726" s="1" t="s">
        <v>2272</v>
      </c>
      <c r="D726" s="1" t="s">
        <v>2256</v>
      </c>
      <c r="E726" s="1" t="s">
        <v>2273</v>
      </c>
      <c r="F726" s="1" t="s">
        <v>2049</v>
      </c>
      <c r="G726" s="1" t="s">
        <v>2050</v>
      </c>
    </row>
    <row r="727" spans="1:7">
      <c r="A727" s="1">
        <v>1889</v>
      </c>
      <c r="B727" s="1" t="s">
        <v>2274</v>
      </c>
      <c r="D727" s="1" t="s">
        <v>2256</v>
      </c>
      <c r="E727" s="1" t="s">
        <v>2275</v>
      </c>
      <c r="F727" s="1" t="s">
        <v>161</v>
      </c>
      <c r="G727" s="1" t="s">
        <v>162</v>
      </c>
    </row>
    <row r="728" spans="1:7">
      <c r="A728" s="1">
        <v>1890</v>
      </c>
      <c r="B728" s="1" t="s">
        <v>2276</v>
      </c>
      <c r="D728" s="1" t="s">
        <v>2256</v>
      </c>
      <c r="E728" s="1" t="s">
        <v>2277</v>
      </c>
      <c r="F728" s="1" t="s">
        <v>165</v>
      </c>
      <c r="G728" s="1" t="s">
        <v>166</v>
      </c>
    </row>
    <row r="729" spans="1:7">
      <c r="A729" s="1">
        <v>1892</v>
      </c>
      <c r="B729" s="1" t="s">
        <v>2278</v>
      </c>
      <c r="D729" s="1" t="s">
        <v>2256</v>
      </c>
      <c r="E729" s="1" t="s">
        <v>2279</v>
      </c>
      <c r="F729" s="1" t="s">
        <v>2057</v>
      </c>
      <c r="G729" s="1" t="s">
        <v>2058</v>
      </c>
    </row>
    <row r="730" spans="1:7">
      <c r="A730" s="1">
        <v>1893</v>
      </c>
      <c r="B730" s="1" t="s">
        <v>2280</v>
      </c>
      <c r="D730" s="1" t="s">
        <v>2256</v>
      </c>
      <c r="E730" s="1" t="s">
        <v>2281</v>
      </c>
      <c r="F730" s="1" t="s">
        <v>2061</v>
      </c>
      <c r="G730" s="1" t="s">
        <v>2062</v>
      </c>
    </row>
    <row r="731" spans="1:7">
      <c r="A731" s="1">
        <v>1894</v>
      </c>
      <c r="B731" s="1" t="s">
        <v>2282</v>
      </c>
      <c r="D731" s="1" t="s">
        <v>2256</v>
      </c>
      <c r="E731" s="1" t="s">
        <v>2283</v>
      </c>
      <c r="F731" s="1" t="s">
        <v>2065</v>
      </c>
      <c r="G731" s="1" t="s">
        <v>2058</v>
      </c>
    </row>
    <row r="732" spans="1:7">
      <c r="A732" s="1">
        <v>1895</v>
      </c>
      <c r="B732" s="1" t="s">
        <v>2284</v>
      </c>
      <c r="D732" s="1" t="s">
        <v>2256</v>
      </c>
      <c r="E732" s="1" t="s">
        <v>2285</v>
      </c>
      <c r="F732" s="1" t="s">
        <v>2068</v>
      </c>
      <c r="G732" s="1" t="s">
        <v>2062</v>
      </c>
    </row>
    <row r="733" spans="1:7">
      <c r="A733" s="1">
        <v>1897</v>
      </c>
      <c r="B733" s="1" t="s">
        <v>2286</v>
      </c>
      <c r="D733" s="1" t="s">
        <v>2287</v>
      </c>
      <c r="E733" s="1" t="s">
        <v>2288</v>
      </c>
      <c r="F733" s="1" t="s">
        <v>541</v>
      </c>
      <c r="G733" s="1" t="s">
        <v>542</v>
      </c>
    </row>
    <row r="734" spans="1:7">
      <c r="A734" s="1">
        <v>1898</v>
      </c>
      <c r="B734" s="1" t="s">
        <v>2289</v>
      </c>
      <c r="D734" s="1" t="s">
        <v>2287</v>
      </c>
      <c r="E734" s="1" t="s">
        <v>2290</v>
      </c>
      <c r="F734" s="1" t="s">
        <v>1557</v>
      </c>
      <c r="G734" s="1" t="s">
        <v>1558</v>
      </c>
    </row>
    <row r="735" spans="1:7">
      <c r="A735" s="1">
        <v>1899</v>
      </c>
      <c r="B735" s="1" t="s">
        <v>2291</v>
      </c>
      <c r="D735" s="1" t="s">
        <v>2287</v>
      </c>
      <c r="E735" s="1" t="s">
        <v>2292</v>
      </c>
      <c r="F735" s="1" t="s">
        <v>1553</v>
      </c>
      <c r="G735" s="1" t="s">
        <v>1554</v>
      </c>
    </row>
    <row r="736" spans="1:7">
      <c r="A736" s="1">
        <v>1900</v>
      </c>
      <c r="B736" s="1" t="s">
        <v>2293</v>
      </c>
      <c r="D736" s="1" t="s">
        <v>2287</v>
      </c>
      <c r="E736" s="1" t="s">
        <v>2294</v>
      </c>
      <c r="F736" s="1" t="s">
        <v>1561</v>
      </c>
      <c r="G736" s="1" t="s">
        <v>1562</v>
      </c>
    </row>
    <row r="737" spans="1:7">
      <c r="A737" s="1">
        <v>1901</v>
      </c>
      <c r="B737" s="1" t="s">
        <v>2295</v>
      </c>
      <c r="D737" s="1" t="s">
        <v>2287</v>
      </c>
      <c r="E737" s="1" t="s">
        <v>2296</v>
      </c>
      <c r="F737" s="1" t="s">
        <v>2033</v>
      </c>
      <c r="G737" s="1" t="s">
        <v>2034</v>
      </c>
    </row>
    <row r="738" spans="1:7">
      <c r="A738" s="1">
        <v>1902</v>
      </c>
      <c r="B738" s="1" t="s">
        <v>2297</v>
      </c>
      <c r="D738" s="1" t="s">
        <v>2287</v>
      </c>
      <c r="E738" s="1" t="s">
        <v>2298</v>
      </c>
      <c r="F738" s="1" t="s">
        <v>2037</v>
      </c>
      <c r="G738" s="1" t="s">
        <v>2038</v>
      </c>
    </row>
    <row r="739" spans="1:7">
      <c r="A739" s="1">
        <v>1903</v>
      </c>
      <c r="B739" s="1" t="s">
        <v>2299</v>
      </c>
      <c r="D739" s="1" t="s">
        <v>2287</v>
      </c>
      <c r="E739" s="1" t="s">
        <v>2300</v>
      </c>
      <c r="F739" s="1" t="s">
        <v>2041</v>
      </c>
      <c r="G739" s="1" t="s">
        <v>2042</v>
      </c>
    </row>
    <row r="740" spans="1:7">
      <c r="A740" s="1">
        <v>1904</v>
      </c>
      <c r="B740" s="1" t="s">
        <v>2301</v>
      </c>
      <c r="D740" s="1" t="s">
        <v>2287</v>
      </c>
      <c r="E740" s="1" t="s">
        <v>2302</v>
      </c>
      <c r="F740" s="1" t="s">
        <v>2045</v>
      </c>
      <c r="G740" s="1" t="s">
        <v>2046</v>
      </c>
    </row>
    <row r="741" spans="1:7">
      <c r="A741" s="1">
        <v>1905</v>
      </c>
      <c r="B741" s="1" t="s">
        <v>2303</v>
      </c>
      <c r="D741" s="1" t="s">
        <v>2287</v>
      </c>
      <c r="E741" s="1" t="s">
        <v>2304</v>
      </c>
      <c r="F741" s="1" t="s">
        <v>2049</v>
      </c>
      <c r="G741" s="1" t="s">
        <v>2050</v>
      </c>
    </row>
    <row r="742" spans="1:7">
      <c r="A742" s="1">
        <v>1907</v>
      </c>
      <c r="B742" s="1" t="s">
        <v>2305</v>
      </c>
      <c r="D742" s="1" t="s">
        <v>2287</v>
      </c>
      <c r="E742" s="1" t="s">
        <v>2306</v>
      </c>
      <c r="F742" s="1" t="s">
        <v>161</v>
      </c>
      <c r="G742" s="1" t="s">
        <v>162</v>
      </c>
    </row>
    <row r="743" spans="1:7">
      <c r="A743" s="1">
        <v>1908</v>
      </c>
      <c r="B743" s="1" t="s">
        <v>2307</v>
      </c>
      <c r="D743" s="1" t="s">
        <v>2287</v>
      </c>
      <c r="E743" s="1" t="s">
        <v>2308</v>
      </c>
      <c r="F743" s="1" t="s">
        <v>165</v>
      </c>
      <c r="G743" s="1" t="s">
        <v>166</v>
      </c>
    </row>
    <row r="744" spans="1:7">
      <c r="A744" s="1">
        <v>1910</v>
      </c>
      <c r="B744" s="1" t="s">
        <v>2309</v>
      </c>
      <c r="D744" s="1" t="s">
        <v>2287</v>
      </c>
      <c r="E744" s="1" t="s">
        <v>2310</v>
      </c>
      <c r="F744" s="1" t="s">
        <v>2057</v>
      </c>
      <c r="G744" s="1" t="s">
        <v>2058</v>
      </c>
    </row>
    <row r="745" spans="1:7">
      <c r="A745" s="1">
        <v>1911</v>
      </c>
      <c r="B745" s="1" t="s">
        <v>2311</v>
      </c>
      <c r="D745" s="1" t="s">
        <v>2287</v>
      </c>
      <c r="E745" s="1" t="s">
        <v>2312</v>
      </c>
      <c r="F745" s="1" t="s">
        <v>2061</v>
      </c>
      <c r="G745" s="1" t="s">
        <v>2062</v>
      </c>
    </row>
    <row r="746" spans="1:7">
      <c r="A746" s="1">
        <v>1912</v>
      </c>
      <c r="B746" s="1" t="s">
        <v>2313</v>
      </c>
      <c r="D746" s="1" t="s">
        <v>2287</v>
      </c>
      <c r="E746" s="1" t="s">
        <v>2314</v>
      </c>
      <c r="F746" s="1" t="s">
        <v>2065</v>
      </c>
      <c r="G746" s="1" t="s">
        <v>2058</v>
      </c>
    </row>
    <row r="747" spans="1:7">
      <c r="A747" s="1">
        <v>1913</v>
      </c>
      <c r="B747" s="1" t="s">
        <v>2315</v>
      </c>
      <c r="D747" s="1" t="s">
        <v>2287</v>
      </c>
      <c r="E747" s="1" t="s">
        <v>2316</v>
      </c>
      <c r="F747" s="1" t="s">
        <v>2068</v>
      </c>
      <c r="G747" s="1" t="s">
        <v>2062</v>
      </c>
    </row>
    <row r="748" spans="1:7">
      <c r="A748" s="1">
        <v>1915</v>
      </c>
      <c r="B748" s="1" t="s">
        <v>2317</v>
      </c>
      <c r="D748" s="1" t="s">
        <v>2318</v>
      </c>
      <c r="E748" s="1" t="s">
        <v>2319</v>
      </c>
      <c r="F748" s="1" t="s">
        <v>541</v>
      </c>
      <c r="G748" s="1" t="s">
        <v>542</v>
      </c>
    </row>
    <row r="749" spans="1:7">
      <c r="A749" s="1">
        <v>1916</v>
      </c>
      <c r="B749" s="1" t="s">
        <v>2320</v>
      </c>
      <c r="D749" s="1" t="s">
        <v>2318</v>
      </c>
      <c r="E749" s="1" t="s">
        <v>2321</v>
      </c>
      <c r="F749" s="1" t="s">
        <v>1557</v>
      </c>
      <c r="G749" s="1" t="s">
        <v>1558</v>
      </c>
    </row>
    <row r="750" spans="1:7">
      <c r="A750" s="1">
        <v>1917</v>
      </c>
      <c r="B750" s="1" t="s">
        <v>2322</v>
      </c>
      <c r="D750" s="1" t="s">
        <v>2318</v>
      </c>
      <c r="E750" s="1" t="s">
        <v>2323</v>
      </c>
      <c r="F750" s="1" t="s">
        <v>1553</v>
      </c>
      <c r="G750" s="1" t="s">
        <v>1554</v>
      </c>
    </row>
    <row r="751" spans="1:7">
      <c r="A751" s="1">
        <v>1918</v>
      </c>
      <c r="B751" s="1" t="s">
        <v>2324</v>
      </c>
      <c r="D751" s="1" t="s">
        <v>2318</v>
      </c>
      <c r="E751" s="1" t="s">
        <v>2325</v>
      </c>
      <c r="F751" s="1" t="s">
        <v>1561</v>
      </c>
      <c r="G751" s="1" t="s">
        <v>1562</v>
      </c>
    </row>
    <row r="752" spans="1:7">
      <c r="A752" s="1">
        <v>1919</v>
      </c>
      <c r="B752" s="1" t="s">
        <v>2326</v>
      </c>
      <c r="D752" s="1" t="s">
        <v>2318</v>
      </c>
      <c r="E752" s="1" t="s">
        <v>2327</v>
      </c>
      <c r="F752" s="1" t="s">
        <v>2033</v>
      </c>
      <c r="G752" s="1" t="s">
        <v>2034</v>
      </c>
    </row>
    <row r="753" spans="1:7">
      <c r="A753" s="1">
        <v>1920</v>
      </c>
      <c r="B753" s="1" t="s">
        <v>2328</v>
      </c>
      <c r="D753" s="1" t="s">
        <v>2318</v>
      </c>
      <c r="E753" s="1" t="s">
        <v>2329</v>
      </c>
      <c r="F753" s="1" t="s">
        <v>2037</v>
      </c>
      <c r="G753" s="1" t="s">
        <v>2038</v>
      </c>
    </row>
    <row r="754" spans="1:7">
      <c r="A754" s="1">
        <v>1921</v>
      </c>
      <c r="B754" s="1" t="s">
        <v>2330</v>
      </c>
      <c r="D754" s="1" t="s">
        <v>2318</v>
      </c>
      <c r="E754" s="1" t="s">
        <v>2331</v>
      </c>
      <c r="F754" s="1" t="s">
        <v>2041</v>
      </c>
      <c r="G754" s="1" t="s">
        <v>2042</v>
      </c>
    </row>
    <row r="755" spans="1:7">
      <c r="A755" s="1">
        <v>1922</v>
      </c>
      <c r="B755" s="1" t="s">
        <v>2332</v>
      </c>
      <c r="D755" s="1" t="s">
        <v>2318</v>
      </c>
      <c r="E755" s="1" t="s">
        <v>2333</v>
      </c>
      <c r="F755" s="1" t="s">
        <v>2045</v>
      </c>
      <c r="G755" s="1" t="s">
        <v>2046</v>
      </c>
    </row>
    <row r="756" spans="1:7">
      <c r="A756" s="1">
        <v>1923</v>
      </c>
      <c r="B756" s="1" t="s">
        <v>2334</v>
      </c>
      <c r="D756" s="1" t="s">
        <v>2318</v>
      </c>
      <c r="E756" s="1" t="s">
        <v>2335</v>
      </c>
      <c r="F756" s="1" t="s">
        <v>2049</v>
      </c>
      <c r="G756" s="1" t="s">
        <v>2050</v>
      </c>
    </row>
    <row r="757" spans="1:7">
      <c r="A757" s="1">
        <v>1925</v>
      </c>
      <c r="B757" s="1" t="s">
        <v>2336</v>
      </c>
      <c r="D757" s="1" t="s">
        <v>2318</v>
      </c>
      <c r="E757" s="1" t="s">
        <v>2337</v>
      </c>
      <c r="F757" s="1" t="s">
        <v>161</v>
      </c>
      <c r="G757" s="1" t="s">
        <v>162</v>
      </c>
    </row>
    <row r="758" spans="1:7">
      <c r="A758" s="1">
        <v>1926</v>
      </c>
      <c r="B758" s="1" t="s">
        <v>2338</v>
      </c>
      <c r="D758" s="1" t="s">
        <v>2318</v>
      </c>
      <c r="E758" s="1" t="s">
        <v>2339</v>
      </c>
      <c r="F758" s="1" t="s">
        <v>165</v>
      </c>
      <c r="G758" s="1" t="s">
        <v>166</v>
      </c>
    </row>
    <row r="759" spans="1:7">
      <c r="A759" s="1">
        <v>1928</v>
      </c>
      <c r="B759" s="1" t="s">
        <v>2340</v>
      </c>
      <c r="D759" s="1" t="s">
        <v>2318</v>
      </c>
      <c r="E759" s="1" t="s">
        <v>2341</v>
      </c>
      <c r="F759" s="1" t="s">
        <v>2057</v>
      </c>
      <c r="G759" s="1" t="s">
        <v>2058</v>
      </c>
    </row>
    <row r="760" spans="1:7">
      <c r="A760" s="1">
        <v>1929</v>
      </c>
      <c r="B760" s="1" t="s">
        <v>2342</v>
      </c>
      <c r="D760" s="1" t="s">
        <v>2318</v>
      </c>
      <c r="E760" s="1" t="s">
        <v>2343</v>
      </c>
      <c r="F760" s="1" t="s">
        <v>2061</v>
      </c>
      <c r="G760" s="1" t="s">
        <v>2062</v>
      </c>
    </row>
    <row r="761" spans="1:7">
      <c r="A761" s="1">
        <v>1930</v>
      </c>
      <c r="B761" s="1" t="s">
        <v>2344</v>
      </c>
      <c r="D761" s="1" t="s">
        <v>2318</v>
      </c>
      <c r="E761" s="1" t="s">
        <v>2345</v>
      </c>
      <c r="F761" s="1" t="s">
        <v>2065</v>
      </c>
      <c r="G761" s="1" t="s">
        <v>2058</v>
      </c>
    </row>
    <row r="762" spans="1:7">
      <c r="A762" s="1">
        <v>1931</v>
      </c>
      <c r="B762" s="1" t="s">
        <v>2346</v>
      </c>
      <c r="D762" s="1" t="s">
        <v>2318</v>
      </c>
      <c r="E762" s="1" t="s">
        <v>2347</v>
      </c>
      <c r="F762" s="1" t="s">
        <v>2068</v>
      </c>
      <c r="G762" s="1" t="s">
        <v>2062</v>
      </c>
    </row>
    <row r="763" spans="1:7">
      <c r="A763" s="1">
        <v>1933</v>
      </c>
      <c r="B763" s="1" t="s">
        <v>2348</v>
      </c>
      <c r="D763" s="1" t="s">
        <v>2349</v>
      </c>
      <c r="E763" s="1" t="s">
        <v>2350</v>
      </c>
      <c r="F763" s="1" t="s">
        <v>541</v>
      </c>
      <c r="G763" s="1" t="s">
        <v>542</v>
      </c>
    </row>
    <row r="764" spans="1:7">
      <c r="A764" s="1">
        <v>1934</v>
      </c>
      <c r="B764" s="1" t="s">
        <v>2351</v>
      </c>
      <c r="D764" s="1" t="s">
        <v>2349</v>
      </c>
      <c r="E764" s="1" t="s">
        <v>2352</v>
      </c>
      <c r="F764" s="1" t="s">
        <v>1557</v>
      </c>
      <c r="G764" s="1" t="s">
        <v>1558</v>
      </c>
    </row>
    <row r="765" spans="1:7">
      <c r="A765" s="1">
        <v>1935</v>
      </c>
      <c r="B765" s="1" t="s">
        <v>2353</v>
      </c>
      <c r="D765" s="1" t="s">
        <v>2349</v>
      </c>
      <c r="E765" s="1" t="s">
        <v>2354</v>
      </c>
      <c r="F765" s="1" t="s">
        <v>1553</v>
      </c>
      <c r="G765" s="1" t="s">
        <v>1554</v>
      </c>
    </row>
    <row r="766" spans="1:7">
      <c r="A766" s="1">
        <v>1936</v>
      </c>
      <c r="B766" s="1" t="s">
        <v>2355</v>
      </c>
      <c r="D766" s="1" t="s">
        <v>2349</v>
      </c>
      <c r="E766" s="1" t="s">
        <v>2356</v>
      </c>
      <c r="F766" s="1" t="s">
        <v>1561</v>
      </c>
      <c r="G766" s="1" t="s">
        <v>1562</v>
      </c>
    </row>
    <row r="767" spans="1:7">
      <c r="A767" s="1">
        <v>1937</v>
      </c>
      <c r="B767" s="1" t="s">
        <v>2357</v>
      </c>
      <c r="D767" s="1" t="s">
        <v>2349</v>
      </c>
      <c r="E767" s="1" t="s">
        <v>2358</v>
      </c>
      <c r="F767" s="1" t="s">
        <v>2033</v>
      </c>
      <c r="G767" s="1" t="s">
        <v>2034</v>
      </c>
    </row>
    <row r="768" spans="1:7">
      <c r="A768" s="1">
        <v>1938</v>
      </c>
      <c r="B768" s="1" t="s">
        <v>2359</v>
      </c>
      <c r="D768" s="1" t="s">
        <v>2349</v>
      </c>
      <c r="E768" s="1" t="s">
        <v>2360</v>
      </c>
      <c r="F768" s="1" t="s">
        <v>2037</v>
      </c>
      <c r="G768" s="1" t="s">
        <v>2038</v>
      </c>
    </row>
    <row r="769" spans="1:7">
      <c r="A769" s="1">
        <v>1939</v>
      </c>
      <c r="B769" s="1" t="s">
        <v>2361</v>
      </c>
      <c r="D769" s="1" t="s">
        <v>2349</v>
      </c>
      <c r="E769" s="1" t="s">
        <v>2362</v>
      </c>
      <c r="F769" s="1" t="s">
        <v>2041</v>
      </c>
      <c r="G769" s="1" t="s">
        <v>2042</v>
      </c>
    </row>
    <row r="770" spans="1:7">
      <c r="A770" s="1">
        <v>1940</v>
      </c>
      <c r="B770" s="1" t="s">
        <v>2363</v>
      </c>
      <c r="D770" s="1" t="s">
        <v>2349</v>
      </c>
      <c r="E770" s="1" t="s">
        <v>2364</v>
      </c>
      <c r="F770" s="1" t="s">
        <v>2045</v>
      </c>
      <c r="G770" s="1" t="s">
        <v>2046</v>
      </c>
    </row>
    <row r="771" spans="1:7">
      <c r="A771" s="1">
        <v>1941</v>
      </c>
      <c r="B771" s="1" t="s">
        <v>2365</v>
      </c>
      <c r="D771" s="1" t="s">
        <v>2349</v>
      </c>
      <c r="E771" s="1" t="s">
        <v>2366</v>
      </c>
      <c r="F771" s="1" t="s">
        <v>2049</v>
      </c>
      <c r="G771" s="1" t="s">
        <v>2050</v>
      </c>
    </row>
    <row r="772" spans="1:7">
      <c r="A772" s="1">
        <v>1943</v>
      </c>
      <c r="B772" s="1" t="s">
        <v>2367</v>
      </c>
      <c r="D772" s="1" t="s">
        <v>2349</v>
      </c>
      <c r="E772" s="1" t="s">
        <v>2368</v>
      </c>
      <c r="F772" s="1" t="s">
        <v>161</v>
      </c>
      <c r="G772" s="1" t="s">
        <v>162</v>
      </c>
    </row>
    <row r="773" spans="1:7">
      <c r="A773" s="1">
        <v>1944</v>
      </c>
      <c r="B773" s="1" t="s">
        <v>2369</v>
      </c>
      <c r="D773" s="1" t="s">
        <v>2349</v>
      </c>
      <c r="E773" s="1" t="s">
        <v>2370</v>
      </c>
      <c r="F773" s="1" t="s">
        <v>165</v>
      </c>
      <c r="G773" s="1" t="s">
        <v>166</v>
      </c>
    </row>
    <row r="774" spans="1:7">
      <c r="A774" s="1">
        <v>1946</v>
      </c>
      <c r="B774" s="1" t="s">
        <v>2371</v>
      </c>
      <c r="D774" s="1" t="s">
        <v>2349</v>
      </c>
      <c r="E774" s="1" t="s">
        <v>2372</v>
      </c>
      <c r="F774" s="1" t="s">
        <v>2057</v>
      </c>
      <c r="G774" s="1" t="s">
        <v>2058</v>
      </c>
    </row>
    <row r="775" spans="1:7">
      <c r="A775" s="1">
        <v>1947</v>
      </c>
      <c r="B775" s="1" t="s">
        <v>2373</v>
      </c>
      <c r="D775" s="1" t="s">
        <v>2349</v>
      </c>
      <c r="E775" s="1" t="s">
        <v>2374</v>
      </c>
      <c r="F775" s="1" t="s">
        <v>2061</v>
      </c>
      <c r="G775" s="1" t="s">
        <v>2062</v>
      </c>
    </row>
    <row r="776" spans="1:7">
      <c r="A776" s="1">
        <v>1948</v>
      </c>
      <c r="B776" s="1" t="s">
        <v>2375</v>
      </c>
      <c r="D776" s="1" t="s">
        <v>2349</v>
      </c>
      <c r="E776" s="1" t="s">
        <v>2376</v>
      </c>
      <c r="F776" s="1" t="s">
        <v>2065</v>
      </c>
      <c r="G776" s="1" t="s">
        <v>2058</v>
      </c>
    </row>
    <row r="777" spans="1:7">
      <c r="A777" s="1">
        <v>1949</v>
      </c>
      <c r="B777" s="1" t="s">
        <v>2377</v>
      </c>
      <c r="D777" s="1" t="s">
        <v>2349</v>
      </c>
      <c r="E777" s="1" t="s">
        <v>2378</v>
      </c>
      <c r="F777" s="1" t="s">
        <v>2068</v>
      </c>
      <c r="G777" s="1" t="s">
        <v>2062</v>
      </c>
    </row>
    <row r="778" spans="1:7">
      <c r="A778" s="1">
        <v>1951</v>
      </c>
      <c r="B778" s="1" t="s">
        <v>2379</v>
      </c>
      <c r="D778" s="1" t="s">
        <v>2380</v>
      </c>
      <c r="E778" s="1" t="s">
        <v>2381</v>
      </c>
      <c r="F778" s="1" t="s">
        <v>541</v>
      </c>
      <c r="G778" s="1" t="s">
        <v>542</v>
      </c>
    </row>
    <row r="779" spans="1:7">
      <c r="A779" s="1">
        <v>1952</v>
      </c>
      <c r="B779" s="1" t="s">
        <v>2382</v>
      </c>
      <c r="D779" s="1" t="s">
        <v>2380</v>
      </c>
      <c r="E779" s="1" t="s">
        <v>2383</v>
      </c>
      <c r="F779" s="1" t="s">
        <v>1557</v>
      </c>
      <c r="G779" s="1" t="s">
        <v>1558</v>
      </c>
    </row>
    <row r="780" spans="1:7">
      <c r="A780" s="1">
        <v>1953</v>
      </c>
      <c r="B780" s="1" t="s">
        <v>2384</v>
      </c>
      <c r="D780" s="1" t="s">
        <v>2380</v>
      </c>
      <c r="E780" s="1" t="s">
        <v>2385</v>
      </c>
      <c r="F780" s="1" t="s">
        <v>1553</v>
      </c>
      <c r="G780" s="1" t="s">
        <v>1554</v>
      </c>
    </row>
    <row r="781" spans="1:7">
      <c r="A781" s="1">
        <v>1954</v>
      </c>
      <c r="B781" s="1" t="s">
        <v>2386</v>
      </c>
      <c r="D781" s="1" t="s">
        <v>2380</v>
      </c>
      <c r="E781" s="1" t="s">
        <v>2387</v>
      </c>
      <c r="F781" s="1" t="s">
        <v>1561</v>
      </c>
      <c r="G781" s="1" t="s">
        <v>1562</v>
      </c>
    </row>
    <row r="782" spans="1:7">
      <c r="A782" s="1">
        <v>1955</v>
      </c>
      <c r="B782" s="1" t="s">
        <v>2388</v>
      </c>
      <c r="D782" s="1" t="s">
        <v>2380</v>
      </c>
      <c r="E782" s="1" t="s">
        <v>2389</v>
      </c>
      <c r="F782" s="1" t="s">
        <v>2033</v>
      </c>
      <c r="G782" s="1" t="s">
        <v>2034</v>
      </c>
    </row>
    <row r="783" spans="1:7">
      <c r="A783" s="1">
        <v>1956</v>
      </c>
      <c r="B783" s="1" t="s">
        <v>2390</v>
      </c>
      <c r="D783" s="1" t="s">
        <v>2380</v>
      </c>
      <c r="E783" s="1" t="s">
        <v>2391</v>
      </c>
      <c r="F783" s="1" t="s">
        <v>2037</v>
      </c>
      <c r="G783" s="1" t="s">
        <v>2038</v>
      </c>
    </row>
    <row r="784" spans="1:7">
      <c r="A784" s="1">
        <v>1957</v>
      </c>
      <c r="B784" s="1" t="s">
        <v>2392</v>
      </c>
      <c r="D784" s="1" t="s">
        <v>2380</v>
      </c>
      <c r="E784" s="1" t="s">
        <v>2393</v>
      </c>
      <c r="F784" s="1" t="s">
        <v>2041</v>
      </c>
      <c r="G784" s="1" t="s">
        <v>2042</v>
      </c>
    </row>
    <row r="785" spans="1:7">
      <c r="A785" s="1">
        <v>1958</v>
      </c>
      <c r="B785" s="1" t="s">
        <v>2394</v>
      </c>
      <c r="D785" s="1" t="s">
        <v>2380</v>
      </c>
      <c r="E785" s="1" t="s">
        <v>2395</v>
      </c>
      <c r="F785" s="1" t="s">
        <v>2045</v>
      </c>
      <c r="G785" s="1" t="s">
        <v>2046</v>
      </c>
    </row>
    <row r="786" spans="1:7">
      <c r="A786" s="1">
        <v>1959</v>
      </c>
      <c r="B786" s="1" t="s">
        <v>2396</v>
      </c>
      <c r="D786" s="1" t="s">
        <v>2380</v>
      </c>
      <c r="E786" s="1" t="s">
        <v>2397</v>
      </c>
      <c r="F786" s="1" t="s">
        <v>2049</v>
      </c>
      <c r="G786" s="1" t="s">
        <v>2050</v>
      </c>
    </row>
    <row r="787" spans="1:7">
      <c r="A787" s="1">
        <v>1961</v>
      </c>
      <c r="B787" s="1" t="s">
        <v>2398</v>
      </c>
      <c r="D787" s="1" t="s">
        <v>2380</v>
      </c>
      <c r="E787" s="1" t="s">
        <v>2399</v>
      </c>
      <c r="F787" s="1" t="s">
        <v>161</v>
      </c>
      <c r="G787" s="1" t="s">
        <v>162</v>
      </c>
    </row>
    <row r="788" spans="1:7">
      <c r="A788" s="1">
        <v>1962</v>
      </c>
      <c r="B788" s="1" t="s">
        <v>2400</v>
      </c>
      <c r="D788" s="1" t="s">
        <v>2380</v>
      </c>
      <c r="E788" s="1" t="s">
        <v>2401</v>
      </c>
      <c r="F788" s="1" t="s">
        <v>165</v>
      </c>
      <c r="G788" s="1" t="s">
        <v>166</v>
      </c>
    </row>
    <row r="789" spans="1:7">
      <c r="A789" s="1">
        <v>1964</v>
      </c>
      <c r="B789" s="1" t="s">
        <v>2402</v>
      </c>
      <c r="D789" s="1" t="s">
        <v>2380</v>
      </c>
      <c r="E789" s="1" t="s">
        <v>2403</v>
      </c>
      <c r="F789" s="1" t="s">
        <v>2057</v>
      </c>
      <c r="G789" s="1" t="s">
        <v>2058</v>
      </c>
    </row>
    <row r="790" spans="1:7">
      <c r="A790" s="1">
        <v>1965</v>
      </c>
      <c r="B790" s="1" t="s">
        <v>2404</v>
      </c>
      <c r="D790" s="1" t="s">
        <v>2380</v>
      </c>
      <c r="E790" s="1" t="s">
        <v>2405</v>
      </c>
      <c r="F790" s="1" t="s">
        <v>2061</v>
      </c>
      <c r="G790" s="1" t="s">
        <v>2062</v>
      </c>
    </row>
    <row r="791" spans="1:7">
      <c r="A791" s="1">
        <v>1966</v>
      </c>
      <c r="B791" s="1" t="s">
        <v>2406</v>
      </c>
      <c r="D791" s="1" t="s">
        <v>2380</v>
      </c>
      <c r="E791" s="1" t="s">
        <v>2407</v>
      </c>
      <c r="F791" s="1" t="s">
        <v>2065</v>
      </c>
      <c r="G791" s="1" t="s">
        <v>2058</v>
      </c>
    </row>
    <row r="792" spans="1:7">
      <c r="A792" s="1">
        <v>1967</v>
      </c>
      <c r="B792" s="1" t="s">
        <v>2408</v>
      </c>
      <c r="D792" s="1" t="s">
        <v>2380</v>
      </c>
      <c r="E792" s="1" t="s">
        <v>2409</v>
      </c>
      <c r="F792" s="1" t="s">
        <v>2068</v>
      </c>
      <c r="G792" s="1" t="s">
        <v>2062</v>
      </c>
    </row>
    <row r="793" spans="1:7">
      <c r="A793" s="1">
        <v>1969</v>
      </c>
      <c r="B793" s="1" t="s">
        <v>2410</v>
      </c>
      <c r="D793" s="1" t="s">
        <v>2411</v>
      </c>
      <c r="E793" s="1" t="s">
        <v>2412</v>
      </c>
      <c r="F793" s="1" t="s">
        <v>541</v>
      </c>
      <c r="G793" s="1" t="s">
        <v>542</v>
      </c>
    </row>
    <row r="794" spans="1:7">
      <c r="A794" s="1">
        <v>1970</v>
      </c>
      <c r="B794" s="1" t="s">
        <v>2413</v>
      </c>
      <c r="D794" s="1" t="s">
        <v>2411</v>
      </c>
      <c r="E794" s="1" t="s">
        <v>2414</v>
      </c>
      <c r="F794" s="1" t="s">
        <v>1557</v>
      </c>
      <c r="G794" s="1" t="s">
        <v>1558</v>
      </c>
    </row>
    <row r="795" spans="1:7">
      <c r="A795" s="1">
        <v>1971</v>
      </c>
      <c r="B795" s="1" t="s">
        <v>2415</v>
      </c>
      <c r="D795" s="1" t="s">
        <v>2411</v>
      </c>
      <c r="E795" s="1" t="s">
        <v>2416</v>
      </c>
      <c r="F795" s="1" t="s">
        <v>1553</v>
      </c>
      <c r="G795" s="1" t="s">
        <v>1554</v>
      </c>
    </row>
    <row r="796" spans="1:7">
      <c r="A796" s="1">
        <v>1972</v>
      </c>
      <c r="B796" s="1" t="s">
        <v>2417</v>
      </c>
      <c r="D796" s="1" t="s">
        <v>2411</v>
      </c>
      <c r="E796" s="1" t="s">
        <v>2418</v>
      </c>
      <c r="F796" s="1" t="s">
        <v>1561</v>
      </c>
      <c r="G796" s="1" t="s">
        <v>1562</v>
      </c>
    </row>
    <row r="797" spans="1:7">
      <c r="A797" s="1">
        <v>1973</v>
      </c>
      <c r="B797" s="1" t="s">
        <v>2419</v>
      </c>
      <c r="D797" s="1" t="s">
        <v>2411</v>
      </c>
      <c r="E797" s="1" t="s">
        <v>2420</v>
      </c>
      <c r="F797" s="1" t="s">
        <v>2033</v>
      </c>
      <c r="G797" s="1" t="s">
        <v>2034</v>
      </c>
    </row>
    <row r="798" spans="1:7">
      <c r="A798" s="1">
        <v>1974</v>
      </c>
      <c r="B798" s="1" t="s">
        <v>2421</v>
      </c>
      <c r="D798" s="1" t="s">
        <v>2411</v>
      </c>
      <c r="E798" s="1" t="s">
        <v>2422</v>
      </c>
      <c r="F798" s="1" t="s">
        <v>2037</v>
      </c>
      <c r="G798" s="1" t="s">
        <v>2038</v>
      </c>
    </row>
    <row r="799" spans="1:7">
      <c r="A799" s="1">
        <v>1975</v>
      </c>
      <c r="B799" s="1" t="s">
        <v>2423</v>
      </c>
      <c r="D799" s="1" t="s">
        <v>2411</v>
      </c>
      <c r="E799" s="1" t="s">
        <v>2424</v>
      </c>
      <c r="F799" s="1" t="s">
        <v>2041</v>
      </c>
      <c r="G799" s="1" t="s">
        <v>2042</v>
      </c>
    </row>
    <row r="800" spans="1:7">
      <c r="A800" s="1">
        <v>1976</v>
      </c>
      <c r="B800" s="1" t="s">
        <v>2425</v>
      </c>
      <c r="D800" s="1" t="s">
        <v>2411</v>
      </c>
      <c r="E800" s="1" t="s">
        <v>2426</v>
      </c>
      <c r="F800" s="1" t="s">
        <v>2045</v>
      </c>
      <c r="G800" s="1" t="s">
        <v>2046</v>
      </c>
    </row>
    <row r="801" spans="1:7">
      <c r="A801" s="1">
        <v>1977</v>
      </c>
      <c r="B801" s="1" t="s">
        <v>2427</v>
      </c>
      <c r="D801" s="1" t="s">
        <v>2411</v>
      </c>
      <c r="E801" s="1" t="s">
        <v>2428</v>
      </c>
      <c r="F801" s="1" t="s">
        <v>2049</v>
      </c>
      <c r="G801" s="1" t="s">
        <v>2050</v>
      </c>
    </row>
    <row r="802" spans="1:7">
      <c r="A802" s="1">
        <v>1979</v>
      </c>
      <c r="B802" s="1" t="s">
        <v>2429</v>
      </c>
      <c r="D802" s="1" t="s">
        <v>2411</v>
      </c>
      <c r="E802" s="1" t="s">
        <v>2430</v>
      </c>
      <c r="F802" s="1" t="s">
        <v>161</v>
      </c>
      <c r="G802" s="1" t="s">
        <v>162</v>
      </c>
    </row>
    <row r="803" spans="1:7">
      <c r="A803" s="1">
        <v>1980</v>
      </c>
      <c r="B803" s="1" t="s">
        <v>2431</v>
      </c>
      <c r="D803" s="1" t="s">
        <v>2411</v>
      </c>
      <c r="E803" s="1" t="s">
        <v>2432</v>
      </c>
      <c r="F803" s="1" t="s">
        <v>165</v>
      </c>
      <c r="G803" s="1" t="s">
        <v>166</v>
      </c>
    </row>
    <row r="804" spans="1:7">
      <c r="A804" s="1">
        <v>1982</v>
      </c>
      <c r="B804" s="1" t="s">
        <v>2433</v>
      </c>
      <c r="D804" s="1" t="s">
        <v>2411</v>
      </c>
      <c r="E804" s="1" t="s">
        <v>2434</v>
      </c>
      <c r="F804" s="1" t="s">
        <v>2057</v>
      </c>
      <c r="G804" s="1" t="s">
        <v>2058</v>
      </c>
    </row>
    <row r="805" spans="1:7">
      <c r="A805" s="1">
        <v>1983</v>
      </c>
      <c r="B805" s="1" t="s">
        <v>2435</v>
      </c>
      <c r="D805" s="1" t="s">
        <v>2411</v>
      </c>
      <c r="E805" s="1" t="s">
        <v>2436</v>
      </c>
      <c r="F805" s="1" t="s">
        <v>2061</v>
      </c>
      <c r="G805" s="1" t="s">
        <v>2062</v>
      </c>
    </row>
    <row r="806" spans="1:7">
      <c r="A806" s="1">
        <v>1984</v>
      </c>
      <c r="B806" s="1" t="s">
        <v>2437</v>
      </c>
      <c r="D806" s="1" t="s">
        <v>2411</v>
      </c>
      <c r="E806" s="1" t="s">
        <v>2438</v>
      </c>
      <c r="F806" s="1" t="s">
        <v>2065</v>
      </c>
      <c r="G806" s="1" t="s">
        <v>2058</v>
      </c>
    </row>
    <row r="807" spans="1:7">
      <c r="A807" s="1">
        <v>1985</v>
      </c>
      <c r="B807" s="1" t="s">
        <v>2439</v>
      </c>
      <c r="D807" s="1" t="s">
        <v>2411</v>
      </c>
      <c r="E807" s="1" t="s">
        <v>2440</v>
      </c>
      <c r="F807" s="1" t="s">
        <v>2068</v>
      </c>
      <c r="G807" s="1" t="s">
        <v>2062</v>
      </c>
    </row>
    <row r="808" spans="1:7">
      <c r="A808" s="1">
        <v>1987</v>
      </c>
      <c r="B808" s="1" t="s">
        <v>2441</v>
      </c>
      <c r="D808" s="1" t="s">
        <v>2442</v>
      </c>
      <c r="E808" s="1" t="s">
        <v>2443</v>
      </c>
      <c r="F808" s="1" t="s">
        <v>541</v>
      </c>
      <c r="G808" s="1" t="s">
        <v>542</v>
      </c>
    </row>
    <row r="809" spans="1:7">
      <c r="A809" s="1">
        <v>1988</v>
      </c>
      <c r="B809" s="1" t="s">
        <v>2444</v>
      </c>
      <c r="D809" s="1" t="s">
        <v>2442</v>
      </c>
      <c r="E809" s="1" t="s">
        <v>2445</v>
      </c>
      <c r="F809" s="1" t="s">
        <v>1557</v>
      </c>
      <c r="G809" s="1" t="s">
        <v>1558</v>
      </c>
    </row>
    <row r="810" spans="1:7">
      <c r="A810" s="1">
        <v>1989</v>
      </c>
      <c r="B810" s="1" t="s">
        <v>2446</v>
      </c>
      <c r="D810" s="1" t="s">
        <v>2442</v>
      </c>
      <c r="E810" s="1" t="s">
        <v>2447</v>
      </c>
      <c r="F810" s="1" t="s">
        <v>1553</v>
      </c>
      <c r="G810" s="1" t="s">
        <v>1554</v>
      </c>
    </row>
    <row r="811" spans="1:7">
      <c r="A811" s="1">
        <v>1990</v>
      </c>
      <c r="B811" s="1" t="s">
        <v>2448</v>
      </c>
      <c r="D811" s="1" t="s">
        <v>2442</v>
      </c>
      <c r="E811" s="1" t="s">
        <v>2449</v>
      </c>
      <c r="F811" s="1" t="s">
        <v>1561</v>
      </c>
      <c r="G811" s="1" t="s">
        <v>1562</v>
      </c>
    </row>
    <row r="812" spans="1:7">
      <c r="A812" s="1">
        <v>1991</v>
      </c>
      <c r="B812" s="1" t="s">
        <v>2450</v>
      </c>
      <c r="D812" s="1" t="s">
        <v>2442</v>
      </c>
      <c r="E812" s="1" t="s">
        <v>2451</v>
      </c>
      <c r="F812" s="1" t="s">
        <v>2033</v>
      </c>
      <c r="G812" s="1" t="s">
        <v>2034</v>
      </c>
    </row>
    <row r="813" spans="1:7">
      <c r="A813" s="1">
        <v>1992</v>
      </c>
      <c r="B813" s="1" t="s">
        <v>2452</v>
      </c>
      <c r="D813" s="1" t="s">
        <v>2442</v>
      </c>
      <c r="E813" s="1" t="s">
        <v>2453</v>
      </c>
      <c r="F813" s="1" t="s">
        <v>2037</v>
      </c>
      <c r="G813" s="1" t="s">
        <v>2038</v>
      </c>
    </row>
    <row r="814" spans="1:7">
      <c r="A814" s="1">
        <v>1993</v>
      </c>
      <c r="B814" s="1" t="s">
        <v>2454</v>
      </c>
      <c r="D814" s="1" t="s">
        <v>2442</v>
      </c>
      <c r="E814" s="1" t="s">
        <v>2455</v>
      </c>
      <c r="F814" s="1" t="s">
        <v>2041</v>
      </c>
      <c r="G814" s="1" t="s">
        <v>2042</v>
      </c>
    </row>
    <row r="815" spans="1:7">
      <c r="A815" s="1">
        <v>1994</v>
      </c>
      <c r="B815" s="1" t="s">
        <v>2456</v>
      </c>
      <c r="D815" s="1" t="s">
        <v>2442</v>
      </c>
      <c r="E815" s="1" t="s">
        <v>2457</v>
      </c>
      <c r="F815" s="1" t="s">
        <v>2045</v>
      </c>
      <c r="G815" s="1" t="s">
        <v>2046</v>
      </c>
    </row>
    <row r="816" spans="1:7">
      <c r="A816" s="1">
        <v>1995</v>
      </c>
      <c r="B816" s="1" t="s">
        <v>2458</v>
      </c>
      <c r="D816" s="1" t="s">
        <v>2442</v>
      </c>
      <c r="E816" s="1" t="s">
        <v>2459</v>
      </c>
      <c r="F816" s="1" t="s">
        <v>2049</v>
      </c>
      <c r="G816" s="1" t="s">
        <v>2050</v>
      </c>
    </row>
    <row r="817" spans="1:7">
      <c r="A817" s="1">
        <v>1997</v>
      </c>
      <c r="B817" s="1" t="s">
        <v>2460</v>
      </c>
      <c r="D817" s="1" t="s">
        <v>2442</v>
      </c>
      <c r="E817" s="1" t="s">
        <v>2461</v>
      </c>
      <c r="F817" s="1" t="s">
        <v>161</v>
      </c>
      <c r="G817" s="1" t="s">
        <v>162</v>
      </c>
    </row>
    <row r="818" spans="1:7">
      <c r="A818" s="1">
        <v>1998</v>
      </c>
      <c r="B818" s="1" t="s">
        <v>2462</v>
      </c>
      <c r="D818" s="1" t="s">
        <v>2442</v>
      </c>
      <c r="E818" s="1" t="s">
        <v>2463</v>
      </c>
      <c r="F818" s="1" t="s">
        <v>165</v>
      </c>
      <c r="G818" s="1" t="s">
        <v>166</v>
      </c>
    </row>
    <row r="819" spans="1:7">
      <c r="A819" s="1">
        <v>2000</v>
      </c>
      <c r="B819" s="1" t="s">
        <v>2464</v>
      </c>
      <c r="D819" s="1" t="s">
        <v>2442</v>
      </c>
      <c r="E819" s="1" t="s">
        <v>2465</v>
      </c>
      <c r="F819" s="1" t="s">
        <v>2057</v>
      </c>
      <c r="G819" s="1" t="s">
        <v>2058</v>
      </c>
    </row>
    <row r="820" spans="1:7">
      <c r="A820" s="1">
        <v>2001</v>
      </c>
      <c r="B820" s="1" t="s">
        <v>2466</v>
      </c>
      <c r="D820" s="1" t="s">
        <v>2442</v>
      </c>
      <c r="E820" s="1" t="s">
        <v>2467</v>
      </c>
      <c r="F820" s="1" t="s">
        <v>2061</v>
      </c>
      <c r="G820" s="1" t="s">
        <v>2062</v>
      </c>
    </row>
    <row r="821" spans="1:7">
      <c r="A821" s="1">
        <v>2002</v>
      </c>
      <c r="B821" s="1" t="s">
        <v>2468</v>
      </c>
      <c r="D821" s="1" t="s">
        <v>2442</v>
      </c>
      <c r="E821" s="1" t="s">
        <v>2469</v>
      </c>
      <c r="F821" s="1" t="s">
        <v>2065</v>
      </c>
      <c r="G821" s="1" t="s">
        <v>2058</v>
      </c>
    </row>
    <row r="822" spans="1:7">
      <c r="A822" s="1">
        <v>2003</v>
      </c>
      <c r="B822" s="1" t="s">
        <v>2470</v>
      </c>
      <c r="D822" s="1" t="s">
        <v>2442</v>
      </c>
      <c r="E822" s="1" t="s">
        <v>2471</v>
      </c>
      <c r="F822" s="1" t="s">
        <v>2068</v>
      </c>
      <c r="G822" s="1" t="s">
        <v>2062</v>
      </c>
    </row>
    <row r="823" spans="1:7">
      <c r="A823" s="1">
        <v>2005</v>
      </c>
      <c r="B823" s="1" t="s">
        <v>2472</v>
      </c>
      <c r="D823" s="1" t="s">
        <v>2473</v>
      </c>
      <c r="E823" s="1" t="s">
        <v>2474</v>
      </c>
      <c r="F823" s="1" t="s">
        <v>541</v>
      </c>
      <c r="G823" s="1" t="s">
        <v>542</v>
      </c>
    </row>
    <row r="824" spans="1:7">
      <c r="A824" s="1">
        <v>2006</v>
      </c>
      <c r="B824" s="1" t="s">
        <v>2475</v>
      </c>
      <c r="D824" s="1" t="s">
        <v>2473</v>
      </c>
      <c r="E824" s="1" t="s">
        <v>2476</v>
      </c>
      <c r="F824" s="1" t="s">
        <v>1557</v>
      </c>
      <c r="G824" s="1" t="s">
        <v>1558</v>
      </c>
    </row>
    <row r="825" spans="1:7">
      <c r="A825" s="1">
        <v>2007</v>
      </c>
      <c r="B825" s="1" t="s">
        <v>2477</v>
      </c>
      <c r="D825" s="1" t="s">
        <v>2473</v>
      </c>
      <c r="E825" s="1" t="s">
        <v>2478</v>
      </c>
      <c r="F825" s="1" t="s">
        <v>1553</v>
      </c>
      <c r="G825" s="1" t="s">
        <v>1554</v>
      </c>
    </row>
    <row r="826" spans="1:7">
      <c r="A826" s="1">
        <v>2008</v>
      </c>
      <c r="B826" s="1" t="s">
        <v>2479</v>
      </c>
      <c r="D826" s="1" t="s">
        <v>2473</v>
      </c>
      <c r="E826" s="1" t="s">
        <v>2480</v>
      </c>
      <c r="F826" s="1" t="s">
        <v>1561</v>
      </c>
      <c r="G826" s="1" t="s">
        <v>1562</v>
      </c>
    </row>
    <row r="827" spans="1:7">
      <c r="A827" s="1">
        <v>2009</v>
      </c>
      <c r="B827" s="1" t="s">
        <v>2481</v>
      </c>
      <c r="D827" s="1" t="s">
        <v>2473</v>
      </c>
      <c r="E827" s="1" t="s">
        <v>2482</v>
      </c>
      <c r="F827" s="1" t="s">
        <v>2033</v>
      </c>
      <c r="G827" s="1" t="s">
        <v>2034</v>
      </c>
    </row>
    <row r="828" spans="1:7">
      <c r="A828" s="1">
        <v>2010</v>
      </c>
      <c r="B828" s="1" t="s">
        <v>2483</v>
      </c>
      <c r="D828" s="1" t="s">
        <v>2473</v>
      </c>
      <c r="E828" s="1" t="s">
        <v>2484</v>
      </c>
      <c r="F828" s="1" t="s">
        <v>2037</v>
      </c>
      <c r="G828" s="1" t="s">
        <v>2038</v>
      </c>
    </row>
    <row r="829" spans="1:7">
      <c r="A829" s="1">
        <v>2011</v>
      </c>
      <c r="B829" s="1" t="s">
        <v>2485</v>
      </c>
      <c r="D829" s="1" t="s">
        <v>2473</v>
      </c>
      <c r="E829" s="1" t="s">
        <v>2486</v>
      </c>
      <c r="F829" s="1" t="s">
        <v>2041</v>
      </c>
      <c r="G829" s="1" t="s">
        <v>2042</v>
      </c>
    </row>
    <row r="830" spans="1:7">
      <c r="A830" s="1">
        <v>2012</v>
      </c>
      <c r="B830" s="1" t="s">
        <v>2487</v>
      </c>
      <c r="D830" s="1" t="s">
        <v>2473</v>
      </c>
      <c r="E830" s="1" t="s">
        <v>2488</v>
      </c>
      <c r="F830" s="1" t="s">
        <v>2045</v>
      </c>
      <c r="G830" s="1" t="s">
        <v>2046</v>
      </c>
    </row>
    <row r="831" spans="1:7">
      <c r="A831" s="1">
        <v>2013</v>
      </c>
      <c r="B831" s="1" t="s">
        <v>2489</v>
      </c>
      <c r="D831" s="1" t="s">
        <v>2473</v>
      </c>
      <c r="E831" s="1" t="s">
        <v>2490</v>
      </c>
      <c r="F831" s="1" t="s">
        <v>2049</v>
      </c>
      <c r="G831" s="1" t="s">
        <v>2050</v>
      </c>
    </row>
    <row r="832" spans="1:7">
      <c r="A832" s="1">
        <v>2015</v>
      </c>
      <c r="B832" s="1" t="s">
        <v>2491</v>
      </c>
      <c r="D832" s="1" t="s">
        <v>2473</v>
      </c>
      <c r="E832" s="1" t="s">
        <v>2492</v>
      </c>
      <c r="F832" s="1" t="s">
        <v>161</v>
      </c>
      <c r="G832" s="1" t="s">
        <v>162</v>
      </c>
    </row>
    <row r="833" spans="1:7">
      <c r="A833" s="1">
        <v>2016</v>
      </c>
      <c r="B833" s="1" t="s">
        <v>2493</v>
      </c>
      <c r="D833" s="1" t="s">
        <v>2473</v>
      </c>
      <c r="E833" s="1" t="s">
        <v>2494</v>
      </c>
      <c r="F833" s="1" t="s">
        <v>165</v>
      </c>
      <c r="G833" s="1" t="s">
        <v>166</v>
      </c>
    </row>
    <row r="834" spans="1:7">
      <c r="A834" s="1">
        <v>2018</v>
      </c>
      <c r="B834" s="1" t="s">
        <v>2495</v>
      </c>
      <c r="D834" s="1" t="s">
        <v>2473</v>
      </c>
      <c r="E834" s="1" t="s">
        <v>2496</v>
      </c>
      <c r="F834" s="1" t="s">
        <v>2057</v>
      </c>
      <c r="G834" s="1" t="s">
        <v>2058</v>
      </c>
    </row>
    <row r="835" spans="1:7">
      <c r="A835" s="1">
        <v>2019</v>
      </c>
      <c r="B835" s="1" t="s">
        <v>2497</v>
      </c>
      <c r="D835" s="1" t="s">
        <v>2473</v>
      </c>
      <c r="E835" s="1" t="s">
        <v>2498</v>
      </c>
      <c r="F835" s="1" t="s">
        <v>2061</v>
      </c>
      <c r="G835" s="1" t="s">
        <v>2062</v>
      </c>
    </row>
    <row r="836" spans="1:7">
      <c r="A836" s="1">
        <v>2020</v>
      </c>
      <c r="B836" s="1" t="s">
        <v>2499</v>
      </c>
      <c r="D836" s="1" t="s">
        <v>2473</v>
      </c>
      <c r="E836" s="1" t="s">
        <v>2500</v>
      </c>
      <c r="F836" s="1" t="s">
        <v>2065</v>
      </c>
      <c r="G836" s="1" t="s">
        <v>2058</v>
      </c>
    </row>
    <row r="837" spans="1:7">
      <c r="A837" s="1">
        <v>2021</v>
      </c>
      <c r="B837" s="1" t="s">
        <v>2501</v>
      </c>
      <c r="D837" s="1" t="s">
        <v>2473</v>
      </c>
      <c r="E837" s="1" t="s">
        <v>2502</v>
      </c>
      <c r="F837" s="1" t="s">
        <v>2068</v>
      </c>
      <c r="G837" s="1" t="s">
        <v>2062</v>
      </c>
    </row>
    <row r="838" spans="1:7">
      <c r="A838" s="1">
        <v>2023</v>
      </c>
      <c r="B838" s="1" t="s">
        <v>2503</v>
      </c>
      <c r="D838" s="1" t="s">
        <v>2504</v>
      </c>
      <c r="E838" s="1" t="s">
        <v>2505</v>
      </c>
      <c r="F838" s="1" t="s">
        <v>541</v>
      </c>
      <c r="G838" s="1" t="s">
        <v>542</v>
      </c>
    </row>
    <row r="839" spans="1:7">
      <c r="A839" s="1">
        <v>2024</v>
      </c>
      <c r="B839" s="1" t="s">
        <v>2506</v>
      </c>
      <c r="D839" s="1" t="s">
        <v>2504</v>
      </c>
      <c r="E839" s="1" t="s">
        <v>2507</v>
      </c>
      <c r="F839" s="1" t="s">
        <v>1557</v>
      </c>
      <c r="G839" s="1" t="s">
        <v>1558</v>
      </c>
    </row>
    <row r="840" spans="1:7">
      <c r="A840" s="1">
        <v>2025</v>
      </c>
      <c r="B840" s="1" t="s">
        <v>2508</v>
      </c>
      <c r="D840" s="1" t="s">
        <v>2504</v>
      </c>
      <c r="E840" s="1" t="s">
        <v>2509</v>
      </c>
      <c r="F840" s="1" t="s">
        <v>1553</v>
      </c>
      <c r="G840" s="1" t="s">
        <v>1554</v>
      </c>
    </row>
    <row r="841" spans="1:7">
      <c r="A841" s="1">
        <v>2026</v>
      </c>
      <c r="B841" s="1" t="s">
        <v>2510</v>
      </c>
      <c r="D841" s="1" t="s">
        <v>2504</v>
      </c>
      <c r="E841" s="1" t="s">
        <v>2511</v>
      </c>
      <c r="F841" s="1" t="s">
        <v>1561</v>
      </c>
      <c r="G841" s="1" t="s">
        <v>1562</v>
      </c>
    </row>
    <row r="842" spans="1:7">
      <c r="A842" s="1">
        <v>2027</v>
      </c>
      <c r="B842" s="1" t="s">
        <v>2512</v>
      </c>
      <c r="D842" s="1" t="s">
        <v>2504</v>
      </c>
      <c r="E842" s="1" t="s">
        <v>2513</v>
      </c>
      <c r="F842" s="1" t="s">
        <v>2033</v>
      </c>
      <c r="G842" s="1" t="s">
        <v>2034</v>
      </c>
    </row>
    <row r="843" spans="1:7">
      <c r="A843" s="1">
        <v>2028</v>
      </c>
      <c r="B843" s="1" t="s">
        <v>2514</v>
      </c>
      <c r="D843" s="1" t="s">
        <v>2504</v>
      </c>
      <c r="E843" s="1" t="s">
        <v>2515</v>
      </c>
      <c r="F843" s="1" t="s">
        <v>2037</v>
      </c>
      <c r="G843" s="1" t="s">
        <v>2038</v>
      </c>
    </row>
    <row r="844" spans="1:7">
      <c r="A844" s="1">
        <v>2029</v>
      </c>
      <c r="B844" s="1" t="s">
        <v>2516</v>
      </c>
      <c r="D844" s="1" t="s">
        <v>2504</v>
      </c>
      <c r="E844" s="1" t="s">
        <v>2517</v>
      </c>
      <c r="F844" s="1" t="s">
        <v>2041</v>
      </c>
      <c r="G844" s="1" t="s">
        <v>2042</v>
      </c>
    </row>
    <row r="845" spans="1:7">
      <c r="A845" s="1">
        <v>2030</v>
      </c>
      <c r="B845" s="1" t="s">
        <v>2518</v>
      </c>
      <c r="D845" s="1" t="s">
        <v>2504</v>
      </c>
      <c r="E845" s="1" t="s">
        <v>2519</v>
      </c>
      <c r="F845" s="1" t="s">
        <v>2045</v>
      </c>
      <c r="G845" s="1" t="s">
        <v>2046</v>
      </c>
    </row>
    <row r="846" spans="1:7">
      <c r="A846" s="1">
        <v>2031</v>
      </c>
      <c r="B846" s="1" t="s">
        <v>2520</v>
      </c>
      <c r="D846" s="1" t="s">
        <v>2504</v>
      </c>
      <c r="E846" s="1" t="s">
        <v>2521</v>
      </c>
      <c r="F846" s="1" t="s">
        <v>2049</v>
      </c>
      <c r="G846" s="1" t="s">
        <v>2050</v>
      </c>
    </row>
    <row r="847" spans="1:7">
      <c r="A847" s="1">
        <v>2033</v>
      </c>
      <c r="B847" s="1" t="s">
        <v>2522</v>
      </c>
      <c r="D847" s="1" t="s">
        <v>2504</v>
      </c>
      <c r="E847" s="1" t="s">
        <v>2523</v>
      </c>
      <c r="F847" s="1" t="s">
        <v>161</v>
      </c>
      <c r="G847" s="1" t="s">
        <v>162</v>
      </c>
    </row>
    <row r="848" spans="1:7">
      <c r="A848" s="1">
        <v>2034</v>
      </c>
      <c r="B848" s="1" t="s">
        <v>2524</v>
      </c>
      <c r="D848" s="1" t="s">
        <v>2504</v>
      </c>
      <c r="E848" s="1" t="s">
        <v>2525</v>
      </c>
      <c r="F848" s="1" t="s">
        <v>165</v>
      </c>
      <c r="G848" s="1" t="s">
        <v>166</v>
      </c>
    </row>
    <row r="849" spans="1:7">
      <c r="A849" s="1">
        <v>2036</v>
      </c>
      <c r="B849" s="1" t="s">
        <v>2526</v>
      </c>
      <c r="D849" s="1" t="s">
        <v>2504</v>
      </c>
      <c r="E849" s="1" t="s">
        <v>2527</v>
      </c>
      <c r="F849" s="1" t="s">
        <v>2057</v>
      </c>
      <c r="G849" s="1" t="s">
        <v>2058</v>
      </c>
    </row>
    <row r="850" spans="1:7">
      <c r="A850" s="1">
        <v>2037</v>
      </c>
      <c r="B850" s="1" t="s">
        <v>2528</v>
      </c>
      <c r="D850" s="1" t="s">
        <v>2504</v>
      </c>
      <c r="E850" s="1" t="s">
        <v>2529</v>
      </c>
      <c r="F850" s="1" t="s">
        <v>2061</v>
      </c>
      <c r="G850" s="1" t="s">
        <v>2062</v>
      </c>
    </row>
    <row r="851" spans="1:7">
      <c r="A851" s="1">
        <v>2038</v>
      </c>
      <c r="B851" s="1" t="s">
        <v>2530</v>
      </c>
      <c r="D851" s="1" t="s">
        <v>2504</v>
      </c>
      <c r="E851" s="1" t="s">
        <v>2531</v>
      </c>
      <c r="F851" s="1" t="s">
        <v>2065</v>
      </c>
      <c r="G851" s="1" t="s">
        <v>2058</v>
      </c>
    </row>
    <row r="852" spans="1:7">
      <c r="A852" s="1">
        <v>2039</v>
      </c>
      <c r="B852" s="1" t="s">
        <v>2532</v>
      </c>
      <c r="D852" s="1" t="s">
        <v>2504</v>
      </c>
      <c r="E852" s="1" t="s">
        <v>2533</v>
      </c>
      <c r="F852" s="1" t="s">
        <v>2068</v>
      </c>
      <c r="G852" s="1" t="s">
        <v>2062</v>
      </c>
    </row>
    <row r="853" spans="1:7">
      <c r="A853" s="1">
        <v>2041</v>
      </c>
      <c r="B853" s="1" t="s">
        <v>2534</v>
      </c>
      <c r="D853" s="1" t="s">
        <v>2535</v>
      </c>
      <c r="E853" s="1" t="s">
        <v>2536</v>
      </c>
      <c r="F853" s="1" t="s">
        <v>541</v>
      </c>
      <c r="G853" s="1" t="s">
        <v>542</v>
      </c>
    </row>
    <row r="854" spans="1:7">
      <c r="A854" s="1">
        <v>2042</v>
      </c>
      <c r="B854" s="1" t="s">
        <v>2537</v>
      </c>
      <c r="D854" s="1" t="s">
        <v>2535</v>
      </c>
      <c r="E854" s="1" t="s">
        <v>2538</v>
      </c>
      <c r="F854" s="1" t="s">
        <v>1557</v>
      </c>
      <c r="G854" s="1" t="s">
        <v>1558</v>
      </c>
    </row>
    <row r="855" spans="1:7">
      <c r="A855" s="1">
        <v>2043</v>
      </c>
      <c r="B855" s="1" t="s">
        <v>2539</v>
      </c>
      <c r="D855" s="1" t="s">
        <v>2535</v>
      </c>
      <c r="E855" s="1" t="s">
        <v>2540</v>
      </c>
      <c r="F855" s="1" t="s">
        <v>1553</v>
      </c>
      <c r="G855" s="1" t="s">
        <v>1554</v>
      </c>
    </row>
    <row r="856" spans="1:7">
      <c r="A856" s="1">
        <v>2044</v>
      </c>
      <c r="B856" s="1" t="s">
        <v>2541</v>
      </c>
      <c r="D856" s="1" t="s">
        <v>2535</v>
      </c>
      <c r="E856" s="1" t="s">
        <v>2542</v>
      </c>
      <c r="F856" s="1" t="s">
        <v>1561</v>
      </c>
      <c r="G856" s="1" t="s">
        <v>1562</v>
      </c>
    </row>
    <row r="857" spans="1:7">
      <c r="A857" s="1">
        <v>2045</v>
      </c>
      <c r="B857" s="1" t="s">
        <v>2543</v>
      </c>
      <c r="D857" s="1" t="s">
        <v>2535</v>
      </c>
      <c r="E857" s="1" t="s">
        <v>2544</v>
      </c>
      <c r="F857" s="1" t="s">
        <v>2033</v>
      </c>
      <c r="G857" s="1" t="s">
        <v>2034</v>
      </c>
    </row>
    <row r="858" spans="1:7">
      <c r="A858" s="1">
        <v>2046</v>
      </c>
      <c r="B858" s="1" t="s">
        <v>2545</v>
      </c>
      <c r="D858" s="1" t="s">
        <v>2535</v>
      </c>
      <c r="E858" s="1" t="s">
        <v>2546</v>
      </c>
      <c r="F858" s="1" t="s">
        <v>2037</v>
      </c>
      <c r="G858" s="1" t="s">
        <v>2038</v>
      </c>
    </row>
    <row r="859" spans="1:7">
      <c r="A859" s="1">
        <v>2047</v>
      </c>
      <c r="B859" s="1" t="s">
        <v>2547</v>
      </c>
      <c r="D859" s="1" t="s">
        <v>2535</v>
      </c>
      <c r="E859" s="1" t="s">
        <v>2548</v>
      </c>
      <c r="F859" s="1" t="s">
        <v>2041</v>
      </c>
      <c r="G859" s="1" t="s">
        <v>2042</v>
      </c>
    </row>
    <row r="860" spans="1:7">
      <c r="A860" s="1">
        <v>2048</v>
      </c>
      <c r="B860" s="1" t="s">
        <v>2549</v>
      </c>
      <c r="D860" s="1" t="s">
        <v>2535</v>
      </c>
      <c r="E860" s="1" t="s">
        <v>2550</v>
      </c>
      <c r="F860" s="1" t="s">
        <v>2045</v>
      </c>
      <c r="G860" s="1" t="s">
        <v>2046</v>
      </c>
    </row>
    <row r="861" spans="1:7">
      <c r="A861" s="1">
        <v>2049</v>
      </c>
      <c r="B861" s="1" t="s">
        <v>2551</v>
      </c>
      <c r="D861" s="1" t="s">
        <v>2535</v>
      </c>
      <c r="E861" s="1" t="s">
        <v>2552</v>
      </c>
      <c r="F861" s="1" t="s">
        <v>2049</v>
      </c>
      <c r="G861" s="1" t="s">
        <v>2050</v>
      </c>
    </row>
    <row r="862" spans="1:7">
      <c r="A862" s="1">
        <v>2051</v>
      </c>
      <c r="B862" s="1" t="s">
        <v>2553</v>
      </c>
      <c r="D862" s="1" t="s">
        <v>2535</v>
      </c>
      <c r="E862" s="1" t="s">
        <v>2554</v>
      </c>
      <c r="F862" s="1" t="s">
        <v>161</v>
      </c>
      <c r="G862" s="1" t="s">
        <v>162</v>
      </c>
    </row>
    <row r="863" spans="1:7">
      <c r="A863" s="1">
        <v>2052</v>
      </c>
      <c r="B863" s="1" t="s">
        <v>2555</v>
      </c>
      <c r="D863" s="1" t="s">
        <v>2535</v>
      </c>
      <c r="E863" s="1" t="s">
        <v>2556</v>
      </c>
      <c r="F863" s="1" t="s">
        <v>165</v>
      </c>
      <c r="G863" s="1" t="s">
        <v>166</v>
      </c>
    </row>
    <row r="864" spans="1:7">
      <c r="A864" s="1">
        <v>2054</v>
      </c>
      <c r="B864" s="1" t="s">
        <v>2557</v>
      </c>
      <c r="D864" s="1" t="s">
        <v>2535</v>
      </c>
      <c r="E864" s="1" t="s">
        <v>2558</v>
      </c>
      <c r="F864" s="1" t="s">
        <v>2057</v>
      </c>
      <c r="G864" s="1" t="s">
        <v>2058</v>
      </c>
    </row>
    <row r="865" spans="1:7">
      <c r="A865" s="1">
        <v>2055</v>
      </c>
      <c r="B865" s="1" t="s">
        <v>2559</v>
      </c>
      <c r="D865" s="1" t="s">
        <v>2535</v>
      </c>
      <c r="E865" s="1" t="s">
        <v>2560</v>
      </c>
      <c r="F865" s="1" t="s">
        <v>2061</v>
      </c>
      <c r="G865" s="1" t="s">
        <v>2062</v>
      </c>
    </row>
    <row r="866" spans="1:7">
      <c r="A866" s="1">
        <v>2056</v>
      </c>
      <c r="B866" s="1" t="s">
        <v>2561</v>
      </c>
      <c r="D866" s="1" t="s">
        <v>2535</v>
      </c>
      <c r="E866" s="1" t="s">
        <v>2562</v>
      </c>
      <c r="F866" s="1" t="s">
        <v>2065</v>
      </c>
      <c r="G866" s="1" t="s">
        <v>2058</v>
      </c>
    </row>
    <row r="867" spans="1:7">
      <c r="A867" s="1">
        <v>2057</v>
      </c>
      <c r="B867" s="1" t="s">
        <v>2563</v>
      </c>
      <c r="D867" s="1" t="s">
        <v>2535</v>
      </c>
      <c r="E867" s="1" t="s">
        <v>2564</v>
      </c>
      <c r="F867" s="1" t="s">
        <v>2068</v>
      </c>
      <c r="G867" s="1" t="s">
        <v>2062</v>
      </c>
    </row>
    <row r="868" spans="1:7">
      <c r="A868" s="1">
        <v>2059</v>
      </c>
      <c r="B868" s="1" t="s">
        <v>2565</v>
      </c>
      <c r="D868" s="1" t="s">
        <v>2566</v>
      </c>
      <c r="E868" s="1" t="s">
        <v>2567</v>
      </c>
      <c r="F868" s="1" t="s">
        <v>541</v>
      </c>
      <c r="G868" s="1" t="s">
        <v>542</v>
      </c>
    </row>
    <row r="869" spans="1:7">
      <c r="A869" s="1">
        <v>2060</v>
      </c>
      <c r="B869" s="1" t="s">
        <v>2568</v>
      </c>
      <c r="D869" s="1" t="s">
        <v>2566</v>
      </c>
      <c r="E869" s="1" t="s">
        <v>2569</v>
      </c>
      <c r="F869" s="1" t="s">
        <v>1557</v>
      </c>
      <c r="G869" s="1" t="s">
        <v>1558</v>
      </c>
    </row>
    <row r="870" spans="1:7">
      <c r="A870" s="1">
        <v>2061</v>
      </c>
      <c r="B870" s="1" t="s">
        <v>2570</v>
      </c>
      <c r="D870" s="1" t="s">
        <v>2566</v>
      </c>
      <c r="E870" s="1" t="s">
        <v>2571</v>
      </c>
      <c r="F870" s="1" t="s">
        <v>1553</v>
      </c>
      <c r="G870" s="1" t="s">
        <v>1554</v>
      </c>
    </row>
    <row r="871" spans="1:7">
      <c r="A871" s="1">
        <v>2062</v>
      </c>
      <c r="B871" s="1" t="s">
        <v>2572</v>
      </c>
      <c r="D871" s="1" t="s">
        <v>2566</v>
      </c>
      <c r="E871" s="1" t="s">
        <v>2573</v>
      </c>
      <c r="F871" s="1" t="s">
        <v>1561</v>
      </c>
      <c r="G871" s="1" t="s">
        <v>1562</v>
      </c>
    </row>
    <row r="872" spans="1:7">
      <c r="A872" s="1">
        <v>2063</v>
      </c>
      <c r="B872" s="1" t="s">
        <v>2574</v>
      </c>
      <c r="D872" s="1" t="s">
        <v>2566</v>
      </c>
      <c r="E872" s="1" t="s">
        <v>2575</v>
      </c>
      <c r="F872" s="1" t="s">
        <v>2033</v>
      </c>
      <c r="G872" s="1" t="s">
        <v>2034</v>
      </c>
    </row>
    <row r="873" spans="1:7">
      <c r="A873" s="1">
        <v>2064</v>
      </c>
      <c r="B873" s="1" t="s">
        <v>2576</v>
      </c>
      <c r="D873" s="1" t="s">
        <v>2566</v>
      </c>
      <c r="E873" s="1" t="s">
        <v>2577</v>
      </c>
      <c r="F873" s="1" t="s">
        <v>2037</v>
      </c>
      <c r="G873" s="1" t="s">
        <v>2038</v>
      </c>
    </row>
    <row r="874" spans="1:7">
      <c r="A874" s="1">
        <v>2065</v>
      </c>
      <c r="B874" s="1" t="s">
        <v>2578</v>
      </c>
      <c r="D874" s="1" t="s">
        <v>2566</v>
      </c>
      <c r="E874" s="1" t="s">
        <v>2579</v>
      </c>
      <c r="F874" s="1" t="s">
        <v>2041</v>
      </c>
      <c r="G874" s="1" t="s">
        <v>2042</v>
      </c>
    </row>
    <row r="875" spans="1:7">
      <c r="A875" s="1">
        <v>2066</v>
      </c>
      <c r="B875" s="1" t="s">
        <v>2580</v>
      </c>
      <c r="D875" s="1" t="s">
        <v>2566</v>
      </c>
      <c r="E875" s="1" t="s">
        <v>2581</v>
      </c>
      <c r="F875" s="1" t="s">
        <v>2045</v>
      </c>
      <c r="G875" s="1" t="s">
        <v>2046</v>
      </c>
    </row>
    <row r="876" spans="1:7">
      <c r="A876" s="1">
        <v>2067</v>
      </c>
      <c r="B876" s="1" t="s">
        <v>2582</v>
      </c>
      <c r="D876" s="1" t="s">
        <v>2566</v>
      </c>
      <c r="E876" s="1" t="s">
        <v>2583</v>
      </c>
      <c r="F876" s="1" t="s">
        <v>2049</v>
      </c>
      <c r="G876" s="1" t="s">
        <v>2050</v>
      </c>
    </row>
    <row r="877" spans="1:7">
      <c r="A877" s="1">
        <v>2069</v>
      </c>
      <c r="B877" s="1" t="s">
        <v>2584</v>
      </c>
      <c r="D877" s="1" t="s">
        <v>2566</v>
      </c>
      <c r="E877" s="1" t="s">
        <v>2585</v>
      </c>
      <c r="F877" s="1" t="s">
        <v>161</v>
      </c>
      <c r="G877" s="1" t="s">
        <v>162</v>
      </c>
    </row>
    <row r="878" spans="1:7">
      <c r="A878" s="1">
        <v>2070</v>
      </c>
      <c r="B878" s="1" t="s">
        <v>2586</v>
      </c>
      <c r="D878" s="1" t="s">
        <v>2566</v>
      </c>
      <c r="E878" s="1" t="s">
        <v>2587</v>
      </c>
      <c r="F878" s="1" t="s">
        <v>165</v>
      </c>
      <c r="G878" s="1" t="s">
        <v>166</v>
      </c>
    </row>
    <row r="879" spans="1:7">
      <c r="A879" s="1">
        <v>2072</v>
      </c>
      <c r="B879" s="1" t="s">
        <v>2588</v>
      </c>
      <c r="D879" s="1" t="s">
        <v>2566</v>
      </c>
      <c r="E879" s="1" t="s">
        <v>2589</v>
      </c>
      <c r="F879" s="1" t="s">
        <v>2057</v>
      </c>
      <c r="G879" s="1" t="s">
        <v>2058</v>
      </c>
    </row>
    <row r="880" spans="1:7">
      <c r="A880" s="1">
        <v>2073</v>
      </c>
      <c r="B880" s="1" t="s">
        <v>2590</v>
      </c>
      <c r="D880" s="1" t="s">
        <v>2566</v>
      </c>
      <c r="E880" s="1" t="s">
        <v>2591</v>
      </c>
      <c r="F880" s="1" t="s">
        <v>2061</v>
      </c>
      <c r="G880" s="1" t="s">
        <v>2062</v>
      </c>
    </row>
    <row r="881" spans="1:7">
      <c r="A881" s="1">
        <v>2074</v>
      </c>
      <c r="B881" s="1" t="s">
        <v>2592</v>
      </c>
      <c r="D881" s="1" t="s">
        <v>2566</v>
      </c>
      <c r="E881" s="1" t="s">
        <v>2593</v>
      </c>
      <c r="F881" s="1" t="s">
        <v>2065</v>
      </c>
      <c r="G881" s="1" t="s">
        <v>2058</v>
      </c>
    </row>
    <row r="882" spans="1:7">
      <c r="A882" s="1">
        <v>2075</v>
      </c>
      <c r="B882" s="1" t="s">
        <v>2594</v>
      </c>
      <c r="D882" s="1" t="s">
        <v>2566</v>
      </c>
      <c r="E882" s="1" t="s">
        <v>2595</v>
      </c>
      <c r="F882" s="1" t="s">
        <v>2068</v>
      </c>
      <c r="G882" s="1" t="s">
        <v>2062</v>
      </c>
    </row>
    <row r="883" spans="1:7">
      <c r="A883" s="1">
        <v>2077</v>
      </c>
      <c r="B883" s="1" t="s">
        <v>2596</v>
      </c>
      <c r="D883" s="1" t="s">
        <v>2597</v>
      </c>
      <c r="E883" s="1" t="s">
        <v>2598</v>
      </c>
      <c r="F883" s="1" t="s">
        <v>541</v>
      </c>
      <c r="G883" s="1" t="s">
        <v>542</v>
      </c>
    </row>
    <row r="884" spans="1:7">
      <c r="A884" s="1">
        <v>2078</v>
      </c>
      <c r="B884" s="1" t="s">
        <v>2599</v>
      </c>
      <c r="D884" s="1" t="s">
        <v>2597</v>
      </c>
      <c r="E884" s="1" t="s">
        <v>2600</v>
      </c>
      <c r="F884" s="1" t="s">
        <v>1557</v>
      </c>
      <c r="G884" s="1" t="s">
        <v>1558</v>
      </c>
    </row>
    <row r="885" spans="1:7">
      <c r="A885" s="1">
        <v>2079</v>
      </c>
      <c r="B885" s="1" t="s">
        <v>2601</v>
      </c>
      <c r="D885" s="1" t="s">
        <v>2597</v>
      </c>
      <c r="E885" s="1" t="s">
        <v>2602</v>
      </c>
      <c r="F885" s="1" t="s">
        <v>1553</v>
      </c>
      <c r="G885" s="1" t="s">
        <v>1554</v>
      </c>
    </row>
    <row r="886" spans="1:7">
      <c r="A886" s="1">
        <v>2080</v>
      </c>
      <c r="B886" s="1" t="s">
        <v>2603</v>
      </c>
      <c r="D886" s="1" t="s">
        <v>2597</v>
      </c>
      <c r="E886" s="1" t="s">
        <v>2604</v>
      </c>
      <c r="F886" s="1" t="s">
        <v>1561</v>
      </c>
      <c r="G886" s="1" t="s">
        <v>1562</v>
      </c>
    </row>
    <row r="887" spans="1:7">
      <c r="A887" s="1">
        <v>2081</v>
      </c>
      <c r="B887" s="1" t="s">
        <v>2605</v>
      </c>
      <c r="D887" s="1" t="s">
        <v>2597</v>
      </c>
      <c r="E887" s="1" t="s">
        <v>2606</v>
      </c>
      <c r="F887" s="1" t="s">
        <v>2033</v>
      </c>
      <c r="G887" s="1" t="s">
        <v>2034</v>
      </c>
    </row>
    <row r="888" spans="1:7">
      <c r="A888" s="1">
        <v>2082</v>
      </c>
      <c r="B888" s="1" t="s">
        <v>2607</v>
      </c>
      <c r="D888" s="1" t="s">
        <v>2597</v>
      </c>
      <c r="E888" s="1" t="s">
        <v>2608</v>
      </c>
      <c r="F888" s="1" t="s">
        <v>2037</v>
      </c>
      <c r="G888" s="1" t="s">
        <v>2038</v>
      </c>
    </row>
    <row r="889" spans="1:7">
      <c r="A889" s="1">
        <v>2083</v>
      </c>
      <c r="B889" s="1" t="s">
        <v>2609</v>
      </c>
      <c r="D889" s="1" t="s">
        <v>2597</v>
      </c>
      <c r="E889" s="1" t="s">
        <v>2610</v>
      </c>
      <c r="F889" s="1" t="s">
        <v>2041</v>
      </c>
      <c r="G889" s="1" t="s">
        <v>2042</v>
      </c>
    </row>
    <row r="890" spans="1:7">
      <c r="A890" s="1">
        <v>2084</v>
      </c>
      <c r="B890" s="1" t="s">
        <v>2611</v>
      </c>
      <c r="D890" s="1" t="s">
        <v>2597</v>
      </c>
      <c r="E890" s="1" t="s">
        <v>2612</v>
      </c>
      <c r="F890" s="1" t="s">
        <v>2045</v>
      </c>
      <c r="G890" s="1" t="s">
        <v>2046</v>
      </c>
    </row>
    <row r="891" spans="1:7">
      <c r="A891" s="1">
        <v>2085</v>
      </c>
      <c r="B891" s="1" t="s">
        <v>2613</v>
      </c>
      <c r="D891" s="1" t="s">
        <v>2597</v>
      </c>
      <c r="E891" s="1" t="s">
        <v>2614</v>
      </c>
      <c r="F891" s="1" t="s">
        <v>2049</v>
      </c>
      <c r="G891" s="1" t="s">
        <v>2050</v>
      </c>
    </row>
    <row r="892" spans="1:7">
      <c r="A892" s="1">
        <v>2087</v>
      </c>
      <c r="B892" s="1" t="s">
        <v>2615</v>
      </c>
      <c r="D892" s="1" t="s">
        <v>2597</v>
      </c>
      <c r="E892" s="1" t="s">
        <v>2616</v>
      </c>
      <c r="F892" s="1" t="s">
        <v>161</v>
      </c>
      <c r="G892" s="1" t="s">
        <v>162</v>
      </c>
    </row>
    <row r="893" spans="1:7">
      <c r="A893" s="1">
        <v>2088</v>
      </c>
      <c r="B893" s="1" t="s">
        <v>2617</v>
      </c>
      <c r="D893" s="1" t="s">
        <v>2597</v>
      </c>
      <c r="E893" s="1" t="s">
        <v>2618</v>
      </c>
      <c r="F893" s="1" t="s">
        <v>165</v>
      </c>
      <c r="G893" s="1" t="s">
        <v>166</v>
      </c>
    </row>
    <row r="894" spans="1:7">
      <c r="A894" s="1">
        <v>2090</v>
      </c>
      <c r="B894" s="1" t="s">
        <v>2619</v>
      </c>
      <c r="D894" s="1" t="s">
        <v>2597</v>
      </c>
      <c r="E894" s="1" t="s">
        <v>2620</v>
      </c>
      <c r="F894" s="1" t="s">
        <v>2057</v>
      </c>
      <c r="G894" s="1" t="s">
        <v>2058</v>
      </c>
    </row>
    <row r="895" spans="1:7">
      <c r="A895" s="1">
        <v>2091</v>
      </c>
      <c r="B895" s="1" t="s">
        <v>2621</v>
      </c>
      <c r="D895" s="1" t="s">
        <v>2597</v>
      </c>
      <c r="E895" s="1" t="s">
        <v>2622</v>
      </c>
      <c r="F895" s="1" t="s">
        <v>2061</v>
      </c>
      <c r="G895" s="1" t="s">
        <v>2062</v>
      </c>
    </row>
    <row r="896" spans="1:7">
      <c r="A896" s="1">
        <v>2092</v>
      </c>
      <c r="B896" s="1" t="s">
        <v>2623</v>
      </c>
      <c r="D896" s="1" t="s">
        <v>2597</v>
      </c>
      <c r="E896" s="1" t="s">
        <v>2624</v>
      </c>
      <c r="F896" s="1" t="s">
        <v>2065</v>
      </c>
      <c r="G896" s="1" t="s">
        <v>2058</v>
      </c>
    </row>
    <row r="897" spans="1:7">
      <c r="A897" s="1">
        <v>2093</v>
      </c>
      <c r="B897" s="1" t="s">
        <v>2625</v>
      </c>
      <c r="D897" s="1" t="s">
        <v>2597</v>
      </c>
      <c r="E897" s="1" t="s">
        <v>2626</v>
      </c>
      <c r="F897" s="1" t="s">
        <v>2068</v>
      </c>
      <c r="G897" s="1" t="s">
        <v>2062</v>
      </c>
    </row>
    <row r="898" spans="1:7">
      <c r="A898" s="1">
        <v>2095</v>
      </c>
      <c r="B898" s="1" t="s">
        <v>2627</v>
      </c>
      <c r="D898" s="1" t="s">
        <v>2628</v>
      </c>
      <c r="E898" s="1" t="s">
        <v>2629</v>
      </c>
      <c r="F898" s="1" t="s">
        <v>541</v>
      </c>
      <c r="G898" s="1" t="s">
        <v>542</v>
      </c>
    </row>
    <row r="899" spans="1:7">
      <c r="A899" s="1">
        <v>2096</v>
      </c>
      <c r="B899" s="1" t="s">
        <v>2630</v>
      </c>
      <c r="D899" s="1" t="s">
        <v>2628</v>
      </c>
      <c r="E899" s="1" t="s">
        <v>2631</v>
      </c>
      <c r="F899" s="1" t="s">
        <v>1557</v>
      </c>
      <c r="G899" s="1" t="s">
        <v>1558</v>
      </c>
    </row>
    <row r="900" spans="1:7">
      <c r="A900" s="1">
        <v>2097</v>
      </c>
      <c r="B900" s="1" t="s">
        <v>2632</v>
      </c>
      <c r="D900" s="1" t="s">
        <v>2628</v>
      </c>
      <c r="E900" s="1" t="s">
        <v>2633</v>
      </c>
      <c r="F900" s="1" t="s">
        <v>1553</v>
      </c>
      <c r="G900" s="1" t="s">
        <v>1554</v>
      </c>
    </row>
    <row r="901" spans="1:7">
      <c r="A901" s="1">
        <v>2098</v>
      </c>
      <c r="B901" s="1" t="s">
        <v>2634</v>
      </c>
      <c r="D901" s="1" t="s">
        <v>2628</v>
      </c>
      <c r="E901" s="1" t="s">
        <v>2635</v>
      </c>
      <c r="F901" s="1" t="s">
        <v>1561</v>
      </c>
      <c r="G901" s="1" t="s">
        <v>1562</v>
      </c>
    </row>
    <row r="902" spans="1:7">
      <c r="A902" s="1">
        <v>2099</v>
      </c>
      <c r="B902" s="1" t="s">
        <v>2636</v>
      </c>
      <c r="D902" s="1" t="s">
        <v>2628</v>
      </c>
      <c r="E902" s="1" t="s">
        <v>2637</v>
      </c>
      <c r="F902" s="1" t="s">
        <v>2033</v>
      </c>
      <c r="G902" s="1" t="s">
        <v>2034</v>
      </c>
    </row>
    <row r="903" spans="1:7">
      <c r="A903" s="1">
        <v>2100</v>
      </c>
      <c r="B903" s="1" t="s">
        <v>2638</v>
      </c>
      <c r="D903" s="1" t="s">
        <v>2628</v>
      </c>
      <c r="E903" s="1" t="s">
        <v>2639</v>
      </c>
      <c r="F903" s="1" t="s">
        <v>2037</v>
      </c>
      <c r="G903" s="1" t="s">
        <v>2038</v>
      </c>
    </row>
    <row r="904" spans="1:7">
      <c r="A904" s="1">
        <v>2101</v>
      </c>
      <c r="B904" s="1" t="s">
        <v>2640</v>
      </c>
      <c r="D904" s="1" t="s">
        <v>2628</v>
      </c>
      <c r="E904" s="1" t="s">
        <v>2641</v>
      </c>
      <c r="F904" s="1" t="s">
        <v>2041</v>
      </c>
      <c r="G904" s="1" t="s">
        <v>2042</v>
      </c>
    </row>
    <row r="905" spans="1:7">
      <c r="A905" s="1">
        <v>2102</v>
      </c>
      <c r="B905" s="1" t="s">
        <v>2642</v>
      </c>
      <c r="D905" s="1" t="s">
        <v>2628</v>
      </c>
      <c r="E905" s="1" t="s">
        <v>2643</v>
      </c>
      <c r="F905" s="1" t="s">
        <v>2045</v>
      </c>
      <c r="G905" s="1" t="s">
        <v>2046</v>
      </c>
    </row>
    <row r="906" spans="1:7">
      <c r="A906" s="1">
        <v>2103</v>
      </c>
      <c r="B906" s="1" t="s">
        <v>2644</v>
      </c>
      <c r="D906" s="1" t="s">
        <v>2628</v>
      </c>
      <c r="E906" s="1" t="s">
        <v>2645</v>
      </c>
      <c r="F906" s="1" t="s">
        <v>2049</v>
      </c>
      <c r="G906" s="1" t="s">
        <v>2050</v>
      </c>
    </row>
    <row r="907" spans="1:7">
      <c r="A907" s="1">
        <v>2105</v>
      </c>
      <c r="B907" s="1" t="s">
        <v>2646</v>
      </c>
      <c r="D907" s="1" t="s">
        <v>2628</v>
      </c>
      <c r="E907" s="1" t="s">
        <v>2647</v>
      </c>
      <c r="F907" s="1" t="s">
        <v>161</v>
      </c>
      <c r="G907" s="1" t="s">
        <v>162</v>
      </c>
    </row>
    <row r="908" spans="1:7">
      <c r="A908" s="1">
        <v>2106</v>
      </c>
      <c r="B908" s="1" t="s">
        <v>2648</v>
      </c>
      <c r="D908" s="1" t="s">
        <v>2628</v>
      </c>
      <c r="E908" s="1" t="s">
        <v>2649</v>
      </c>
      <c r="F908" s="1" t="s">
        <v>165</v>
      </c>
      <c r="G908" s="1" t="s">
        <v>166</v>
      </c>
    </row>
    <row r="909" spans="1:7">
      <c r="A909" s="1">
        <v>2108</v>
      </c>
      <c r="B909" s="1" t="s">
        <v>2650</v>
      </c>
      <c r="D909" s="1" t="s">
        <v>2628</v>
      </c>
      <c r="E909" s="1" t="s">
        <v>2651</v>
      </c>
      <c r="F909" s="1" t="s">
        <v>2057</v>
      </c>
      <c r="G909" s="1" t="s">
        <v>2058</v>
      </c>
    </row>
    <row r="910" spans="1:7">
      <c r="A910" s="1">
        <v>2109</v>
      </c>
      <c r="B910" s="1" t="s">
        <v>2652</v>
      </c>
      <c r="D910" s="1" t="s">
        <v>2628</v>
      </c>
      <c r="E910" s="1" t="s">
        <v>2653</v>
      </c>
      <c r="F910" s="1" t="s">
        <v>2061</v>
      </c>
      <c r="G910" s="1" t="s">
        <v>2062</v>
      </c>
    </row>
    <row r="911" spans="1:7">
      <c r="A911" s="1">
        <v>2110</v>
      </c>
      <c r="B911" s="1" t="s">
        <v>2654</v>
      </c>
      <c r="D911" s="1" t="s">
        <v>2628</v>
      </c>
      <c r="E911" s="1" t="s">
        <v>2655</v>
      </c>
      <c r="F911" s="1" t="s">
        <v>2065</v>
      </c>
      <c r="G911" s="1" t="s">
        <v>2058</v>
      </c>
    </row>
    <row r="912" spans="1:7">
      <c r="A912" s="1">
        <v>2111</v>
      </c>
      <c r="B912" s="1" t="s">
        <v>2656</v>
      </c>
      <c r="D912" s="1" t="s">
        <v>2628</v>
      </c>
      <c r="E912" s="1" t="s">
        <v>2657</v>
      </c>
      <c r="F912" s="1" t="s">
        <v>2068</v>
      </c>
      <c r="G912" s="1" t="s">
        <v>2062</v>
      </c>
    </row>
    <row r="913" spans="1:7">
      <c r="A913" s="1">
        <v>2113</v>
      </c>
      <c r="B913" s="1" t="s">
        <v>2658</v>
      </c>
      <c r="D913" s="1" t="s">
        <v>2659</v>
      </c>
      <c r="E913" s="1" t="s">
        <v>2660</v>
      </c>
      <c r="F913" s="1" t="s">
        <v>541</v>
      </c>
      <c r="G913" s="1" t="s">
        <v>542</v>
      </c>
    </row>
    <row r="914" spans="1:7">
      <c r="A914" s="1">
        <v>2114</v>
      </c>
      <c r="B914" s="1" t="s">
        <v>2661</v>
      </c>
      <c r="D914" s="1" t="s">
        <v>2659</v>
      </c>
      <c r="E914" s="1" t="s">
        <v>2662</v>
      </c>
      <c r="F914" s="1" t="s">
        <v>1557</v>
      </c>
      <c r="G914" s="1" t="s">
        <v>1558</v>
      </c>
    </row>
    <row r="915" spans="1:7">
      <c r="A915" s="1">
        <v>2115</v>
      </c>
      <c r="B915" s="1" t="s">
        <v>2663</v>
      </c>
      <c r="D915" s="1" t="s">
        <v>2659</v>
      </c>
      <c r="E915" s="1" t="s">
        <v>2664</v>
      </c>
      <c r="F915" s="1" t="s">
        <v>1553</v>
      </c>
      <c r="G915" s="1" t="s">
        <v>1554</v>
      </c>
    </row>
    <row r="916" spans="1:7">
      <c r="A916" s="1">
        <v>2116</v>
      </c>
      <c r="B916" s="1" t="s">
        <v>2665</v>
      </c>
      <c r="D916" s="1" t="s">
        <v>2659</v>
      </c>
      <c r="E916" s="1" t="s">
        <v>2666</v>
      </c>
      <c r="F916" s="1" t="s">
        <v>1561</v>
      </c>
      <c r="G916" s="1" t="s">
        <v>1562</v>
      </c>
    </row>
    <row r="917" spans="1:7">
      <c r="A917" s="1">
        <v>2117</v>
      </c>
      <c r="B917" s="1" t="s">
        <v>2667</v>
      </c>
      <c r="D917" s="1" t="s">
        <v>2659</v>
      </c>
      <c r="E917" s="1" t="s">
        <v>2668</v>
      </c>
      <c r="F917" s="1" t="s">
        <v>2033</v>
      </c>
      <c r="G917" s="1" t="s">
        <v>2034</v>
      </c>
    </row>
    <row r="918" spans="1:7">
      <c r="A918" s="1">
        <v>2118</v>
      </c>
      <c r="B918" s="1" t="s">
        <v>2669</v>
      </c>
      <c r="D918" s="1" t="s">
        <v>2659</v>
      </c>
      <c r="E918" s="1" t="s">
        <v>2670</v>
      </c>
      <c r="F918" s="1" t="s">
        <v>2037</v>
      </c>
      <c r="G918" s="1" t="s">
        <v>2038</v>
      </c>
    </row>
    <row r="919" spans="1:7">
      <c r="A919" s="1">
        <v>2119</v>
      </c>
      <c r="B919" s="1" t="s">
        <v>2671</v>
      </c>
      <c r="D919" s="1" t="s">
        <v>2659</v>
      </c>
      <c r="E919" s="1" t="s">
        <v>2672</v>
      </c>
      <c r="F919" s="1" t="s">
        <v>2041</v>
      </c>
      <c r="G919" s="1" t="s">
        <v>2042</v>
      </c>
    </row>
    <row r="920" spans="1:7">
      <c r="A920" s="1">
        <v>2120</v>
      </c>
      <c r="B920" s="1" t="s">
        <v>2673</v>
      </c>
      <c r="D920" s="1" t="s">
        <v>2659</v>
      </c>
      <c r="E920" s="1" t="s">
        <v>2674</v>
      </c>
      <c r="F920" s="1" t="s">
        <v>2045</v>
      </c>
      <c r="G920" s="1" t="s">
        <v>2046</v>
      </c>
    </row>
    <row r="921" spans="1:7">
      <c r="A921" s="1">
        <v>2121</v>
      </c>
      <c r="B921" s="1" t="s">
        <v>2675</v>
      </c>
      <c r="D921" s="1" t="s">
        <v>2659</v>
      </c>
      <c r="E921" s="1" t="s">
        <v>2676</v>
      </c>
      <c r="F921" s="1" t="s">
        <v>2049</v>
      </c>
      <c r="G921" s="1" t="s">
        <v>2050</v>
      </c>
    </row>
    <row r="922" spans="1:7">
      <c r="A922" s="1">
        <v>2123</v>
      </c>
      <c r="B922" s="1" t="s">
        <v>2677</v>
      </c>
      <c r="D922" s="1" t="s">
        <v>2659</v>
      </c>
      <c r="E922" s="1" t="s">
        <v>2678</v>
      </c>
      <c r="F922" s="1" t="s">
        <v>161</v>
      </c>
      <c r="G922" s="1" t="s">
        <v>162</v>
      </c>
    </row>
    <row r="923" spans="1:7">
      <c r="A923" s="1">
        <v>2124</v>
      </c>
      <c r="B923" s="1" t="s">
        <v>2679</v>
      </c>
      <c r="D923" s="1" t="s">
        <v>2659</v>
      </c>
      <c r="E923" s="1" t="s">
        <v>2680</v>
      </c>
      <c r="F923" s="1" t="s">
        <v>165</v>
      </c>
      <c r="G923" s="1" t="s">
        <v>166</v>
      </c>
    </row>
    <row r="924" spans="1:7">
      <c r="A924" s="1">
        <v>2126</v>
      </c>
      <c r="B924" s="1" t="s">
        <v>2681</v>
      </c>
      <c r="D924" s="1" t="s">
        <v>2659</v>
      </c>
      <c r="E924" s="1" t="s">
        <v>2682</v>
      </c>
      <c r="F924" s="1" t="s">
        <v>2057</v>
      </c>
      <c r="G924" s="1" t="s">
        <v>2058</v>
      </c>
    </row>
    <row r="925" spans="1:7">
      <c r="A925" s="1">
        <v>2127</v>
      </c>
      <c r="B925" s="1" t="s">
        <v>2683</v>
      </c>
      <c r="D925" s="1" t="s">
        <v>2659</v>
      </c>
      <c r="E925" s="1" t="s">
        <v>2684</v>
      </c>
      <c r="F925" s="1" t="s">
        <v>2061</v>
      </c>
      <c r="G925" s="1" t="s">
        <v>2062</v>
      </c>
    </row>
    <row r="926" spans="1:7">
      <c r="A926" s="1">
        <v>2128</v>
      </c>
      <c r="B926" s="1" t="s">
        <v>2685</v>
      </c>
      <c r="D926" s="1" t="s">
        <v>2659</v>
      </c>
      <c r="E926" s="1" t="s">
        <v>2686</v>
      </c>
      <c r="F926" s="1" t="s">
        <v>2065</v>
      </c>
      <c r="G926" s="1" t="s">
        <v>2058</v>
      </c>
    </row>
    <row r="927" spans="1:7">
      <c r="A927" s="1">
        <v>2129</v>
      </c>
      <c r="B927" s="1" t="s">
        <v>2687</v>
      </c>
      <c r="D927" s="1" t="s">
        <v>2659</v>
      </c>
      <c r="E927" s="1" t="s">
        <v>2688</v>
      </c>
      <c r="F927" s="1" t="s">
        <v>2068</v>
      </c>
      <c r="G927" s="1" t="s">
        <v>2062</v>
      </c>
    </row>
    <row r="928" spans="1:7">
      <c r="A928" s="1">
        <v>2131</v>
      </c>
      <c r="B928" s="1" t="s">
        <v>2689</v>
      </c>
      <c r="D928" s="1" t="s">
        <v>2690</v>
      </c>
      <c r="E928" s="1" t="s">
        <v>2691</v>
      </c>
      <c r="F928" s="1" t="s">
        <v>541</v>
      </c>
      <c r="G928" s="1" t="s">
        <v>542</v>
      </c>
    </row>
    <row r="929" spans="1:7">
      <c r="A929" s="1">
        <v>2132</v>
      </c>
      <c r="B929" s="1" t="s">
        <v>2692</v>
      </c>
      <c r="D929" s="1" t="s">
        <v>2690</v>
      </c>
      <c r="E929" s="1" t="s">
        <v>2693</v>
      </c>
      <c r="F929" s="1" t="s">
        <v>1557</v>
      </c>
      <c r="G929" s="1" t="s">
        <v>1558</v>
      </c>
    </row>
    <row r="930" spans="1:7">
      <c r="A930" s="1">
        <v>2133</v>
      </c>
      <c r="B930" s="1" t="s">
        <v>2694</v>
      </c>
      <c r="D930" s="1" t="s">
        <v>2690</v>
      </c>
      <c r="E930" s="1" t="s">
        <v>2695</v>
      </c>
      <c r="F930" s="1" t="s">
        <v>1553</v>
      </c>
      <c r="G930" s="1" t="s">
        <v>1554</v>
      </c>
    </row>
    <row r="931" spans="1:7">
      <c r="A931" s="1">
        <v>2134</v>
      </c>
      <c r="B931" s="1" t="s">
        <v>2696</v>
      </c>
      <c r="D931" s="1" t="s">
        <v>2690</v>
      </c>
      <c r="E931" s="1" t="s">
        <v>2697</v>
      </c>
      <c r="F931" s="1" t="s">
        <v>1561</v>
      </c>
      <c r="G931" s="1" t="s">
        <v>1562</v>
      </c>
    </row>
    <row r="932" spans="1:7">
      <c r="A932" s="1">
        <v>2135</v>
      </c>
      <c r="B932" s="1" t="s">
        <v>2698</v>
      </c>
      <c r="D932" s="1" t="s">
        <v>2690</v>
      </c>
      <c r="E932" s="1" t="s">
        <v>2699</v>
      </c>
      <c r="F932" s="1" t="s">
        <v>2033</v>
      </c>
      <c r="G932" s="1" t="s">
        <v>2034</v>
      </c>
    </row>
    <row r="933" spans="1:7">
      <c r="A933" s="1">
        <v>2136</v>
      </c>
      <c r="B933" s="1" t="s">
        <v>2700</v>
      </c>
      <c r="D933" s="1" t="s">
        <v>2690</v>
      </c>
      <c r="E933" s="1" t="s">
        <v>2701</v>
      </c>
      <c r="F933" s="1" t="s">
        <v>2037</v>
      </c>
      <c r="G933" s="1" t="s">
        <v>2038</v>
      </c>
    </row>
    <row r="934" spans="1:7">
      <c r="A934" s="1">
        <v>2137</v>
      </c>
      <c r="B934" s="1" t="s">
        <v>2702</v>
      </c>
      <c r="D934" s="1" t="s">
        <v>2690</v>
      </c>
      <c r="E934" s="1" t="s">
        <v>2703</v>
      </c>
      <c r="F934" s="1" t="s">
        <v>2041</v>
      </c>
      <c r="G934" s="1" t="s">
        <v>2042</v>
      </c>
    </row>
    <row r="935" spans="1:7">
      <c r="A935" s="1">
        <v>2138</v>
      </c>
      <c r="B935" s="1" t="s">
        <v>2704</v>
      </c>
      <c r="D935" s="1" t="s">
        <v>2690</v>
      </c>
      <c r="E935" s="1" t="s">
        <v>2705</v>
      </c>
      <c r="F935" s="1" t="s">
        <v>2045</v>
      </c>
      <c r="G935" s="1" t="s">
        <v>2046</v>
      </c>
    </row>
    <row r="936" spans="1:7">
      <c r="A936" s="1">
        <v>2139</v>
      </c>
      <c r="B936" s="1" t="s">
        <v>2706</v>
      </c>
      <c r="D936" s="1" t="s">
        <v>2690</v>
      </c>
      <c r="E936" s="1" t="s">
        <v>2707</v>
      </c>
      <c r="F936" s="1" t="s">
        <v>2049</v>
      </c>
      <c r="G936" s="1" t="s">
        <v>2050</v>
      </c>
    </row>
    <row r="937" spans="1:7">
      <c r="A937" s="1">
        <v>2141</v>
      </c>
      <c r="B937" s="1" t="s">
        <v>2708</v>
      </c>
      <c r="D937" s="1" t="s">
        <v>2690</v>
      </c>
      <c r="E937" s="1" t="s">
        <v>2709</v>
      </c>
      <c r="F937" s="1" t="s">
        <v>161</v>
      </c>
      <c r="G937" s="1" t="s">
        <v>162</v>
      </c>
    </row>
    <row r="938" spans="1:7">
      <c r="A938" s="1">
        <v>2142</v>
      </c>
      <c r="B938" s="1" t="s">
        <v>2710</v>
      </c>
      <c r="D938" s="1" t="s">
        <v>2690</v>
      </c>
      <c r="E938" s="1" t="s">
        <v>2711</v>
      </c>
      <c r="F938" s="1" t="s">
        <v>165</v>
      </c>
      <c r="G938" s="1" t="s">
        <v>166</v>
      </c>
    </row>
    <row r="939" spans="1:7">
      <c r="A939" s="1">
        <v>2144</v>
      </c>
      <c r="B939" s="1" t="s">
        <v>2712</v>
      </c>
      <c r="D939" s="1" t="s">
        <v>2690</v>
      </c>
      <c r="E939" s="1" t="s">
        <v>2713</v>
      </c>
      <c r="F939" s="1" t="s">
        <v>2057</v>
      </c>
      <c r="G939" s="1" t="s">
        <v>2058</v>
      </c>
    </row>
    <row r="940" spans="1:7">
      <c r="A940" s="1">
        <v>2145</v>
      </c>
      <c r="B940" s="1" t="s">
        <v>2714</v>
      </c>
      <c r="D940" s="1" t="s">
        <v>2690</v>
      </c>
      <c r="E940" s="1" t="s">
        <v>2715</v>
      </c>
      <c r="F940" s="1" t="s">
        <v>2061</v>
      </c>
      <c r="G940" s="1" t="s">
        <v>2062</v>
      </c>
    </row>
    <row r="941" spans="1:7">
      <c r="A941" s="1">
        <v>2146</v>
      </c>
      <c r="B941" s="1" t="s">
        <v>2716</v>
      </c>
      <c r="D941" s="1" t="s">
        <v>2690</v>
      </c>
      <c r="E941" s="1" t="s">
        <v>2717</v>
      </c>
      <c r="F941" s="1" t="s">
        <v>2065</v>
      </c>
      <c r="G941" s="1" t="s">
        <v>2058</v>
      </c>
    </row>
    <row r="942" spans="1:7">
      <c r="A942" s="1">
        <v>2147</v>
      </c>
      <c r="B942" s="1" t="s">
        <v>2718</v>
      </c>
      <c r="D942" s="1" t="s">
        <v>2690</v>
      </c>
      <c r="E942" s="1" t="s">
        <v>2719</v>
      </c>
      <c r="F942" s="1" t="s">
        <v>2068</v>
      </c>
      <c r="G942" s="1" t="s">
        <v>2062</v>
      </c>
    </row>
    <row r="943" spans="1:7">
      <c r="A943" s="1">
        <v>2149</v>
      </c>
      <c r="B943" s="1" t="s">
        <v>2720</v>
      </c>
      <c r="D943" s="1" t="s">
        <v>2721</v>
      </c>
      <c r="E943" s="1" t="s">
        <v>2722</v>
      </c>
      <c r="F943" s="1" t="s">
        <v>541</v>
      </c>
      <c r="G943" s="1" t="s">
        <v>542</v>
      </c>
    </row>
    <row r="944" spans="1:7">
      <c r="A944" s="1">
        <v>2150</v>
      </c>
      <c r="B944" s="1" t="s">
        <v>2723</v>
      </c>
      <c r="D944" s="1" t="s">
        <v>2721</v>
      </c>
      <c r="E944" s="1" t="s">
        <v>2724</v>
      </c>
      <c r="F944" s="1" t="s">
        <v>1557</v>
      </c>
      <c r="G944" s="1" t="s">
        <v>1558</v>
      </c>
    </row>
    <row r="945" spans="1:7">
      <c r="A945" s="1">
        <v>2151</v>
      </c>
      <c r="B945" s="1" t="s">
        <v>2725</v>
      </c>
      <c r="D945" s="1" t="s">
        <v>2721</v>
      </c>
      <c r="E945" s="1" t="s">
        <v>2726</v>
      </c>
      <c r="F945" s="1" t="s">
        <v>1553</v>
      </c>
      <c r="G945" s="1" t="s">
        <v>1554</v>
      </c>
    </row>
    <row r="946" spans="1:7">
      <c r="A946" s="1">
        <v>2152</v>
      </c>
      <c r="B946" s="1" t="s">
        <v>2727</v>
      </c>
      <c r="D946" s="1" t="s">
        <v>2721</v>
      </c>
      <c r="E946" s="1" t="s">
        <v>2728</v>
      </c>
      <c r="F946" s="1" t="s">
        <v>1561</v>
      </c>
      <c r="G946" s="1" t="s">
        <v>1562</v>
      </c>
    </row>
    <row r="947" spans="1:7">
      <c r="A947" s="1">
        <v>2153</v>
      </c>
      <c r="B947" s="1" t="s">
        <v>2729</v>
      </c>
      <c r="D947" s="1" t="s">
        <v>2721</v>
      </c>
      <c r="E947" s="1" t="s">
        <v>2730</v>
      </c>
      <c r="F947" s="1" t="s">
        <v>2033</v>
      </c>
      <c r="G947" s="1" t="s">
        <v>2034</v>
      </c>
    </row>
    <row r="948" spans="1:7">
      <c r="A948" s="1">
        <v>2154</v>
      </c>
      <c r="B948" s="1" t="s">
        <v>2731</v>
      </c>
      <c r="D948" s="1" t="s">
        <v>2721</v>
      </c>
      <c r="E948" s="1" t="s">
        <v>2732</v>
      </c>
      <c r="F948" s="1" t="s">
        <v>2037</v>
      </c>
      <c r="G948" s="1" t="s">
        <v>2038</v>
      </c>
    </row>
    <row r="949" spans="1:7">
      <c r="A949" s="1">
        <v>2155</v>
      </c>
      <c r="B949" s="1" t="s">
        <v>2733</v>
      </c>
      <c r="D949" s="1" t="s">
        <v>2721</v>
      </c>
      <c r="E949" s="1" t="s">
        <v>2734</v>
      </c>
      <c r="F949" s="1" t="s">
        <v>2041</v>
      </c>
      <c r="G949" s="1" t="s">
        <v>2042</v>
      </c>
    </row>
    <row r="950" spans="1:7">
      <c r="A950" s="1">
        <v>2156</v>
      </c>
      <c r="B950" s="1" t="s">
        <v>2735</v>
      </c>
      <c r="D950" s="1" t="s">
        <v>2721</v>
      </c>
      <c r="E950" s="1" t="s">
        <v>2736</v>
      </c>
      <c r="F950" s="1" t="s">
        <v>2045</v>
      </c>
      <c r="G950" s="1" t="s">
        <v>2046</v>
      </c>
    </row>
    <row r="951" spans="1:7">
      <c r="A951" s="1">
        <v>2157</v>
      </c>
      <c r="B951" s="1" t="s">
        <v>2737</v>
      </c>
      <c r="D951" s="1" t="s">
        <v>2721</v>
      </c>
      <c r="E951" s="1" t="s">
        <v>2738</v>
      </c>
      <c r="F951" s="1" t="s">
        <v>2049</v>
      </c>
      <c r="G951" s="1" t="s">
        <v>2050</v>
      </c>
    </row>
    <row r="952" spans="1:7">
      <c r="A952" s="1">
        <v>2159</v>
      </c>
      <c r="B952" s="1" t="s">
        <v>2739</v>
      </c>
      <c r="D952" s="1" t="s">
        <v>2721</v>
      </c>
      <c r="E952" s="1" t="s">
        <v>2740</v>
      </c>
      <c r="F952" s="1" t="s">
        <v>161</v>
      </c>
      <c r="G952" s="1" t="s">
        <v>162</v>
      </c>
    </row>
    <row r="953" spans="1:7">
      <c r="A953" s="1">
        <v>2160</v>
      </c>
      <c r="B953" s="1" t="s">
        <v>2741</v>
      </c>
      <c r="D953" s="1" t="s">
        <v>2721</v>
      </c>
      <c r="E953" s="1" t="s">
        <v>2742</v>
      </c>
      <c r="F953" s="1" t="s">
        <v>165</v>
      </c>
      <c r="G953" s="1" t="s">
        <v>166</v>
      </c>
    </row>
    <row r="954" spans="1:7">
      <c r="A954" s="1">
        <v>2162</v>
      </c>
      <c r="B954" s="1" t="s">
        <v>2743</v>
      </c>
      <c r="D954" s="1" t="s">
        <v>2721</v>
      </c>
      <c r="E954" s="1" t="s">
        <v>2744</v>
      </c>
      <c r="F954" s="1" t="s">
        <v>2057</v>
      </c>
      <c r="G954" s="1" t="s">
        <v>2058</v>
      </c>
    </row>
    <row r="955" spans="1:7">
      <c r="A955" s="1">
        <v>2163</v>
      </c>
      <c r="B955" s="1" t="s">
        <v>2745</v>
      </c>
      <c r="D955" s="1" t="s">
        <v>2721</v>
      </c>
      <c r="E955" s="1" t="s">
        <v>2746</v>
      </c>
      <c r="F955" s="1" t="s">
        <v>2061</v>
      </c>
      <c r="G955" s="1" t="s">
        <v>2062</v>
      </c>
    </row>
    <row r="956" spans="1:7">
      <c r="A956" s="1">
        <v>2164</v>
      </c>
      <c r="B956" s="1" t="s">
        <v>2747</v>
      </c>
      <c r="D956" s="1" t="s">
        <v>2721</v>
      </c>
      <c r="E956" s="1" t="s">
        <v>2748</v>
      </c>
      <c r="F956" s="1" t="s">
        <v>2065</v>
      </c>
      <c r="G956" s="1" t="s">
        <v>2058</v>
      </c>
    </row>
    <row r="957" spans="1:7">
      <c r="A957" s="1">
        <v>2165</v>
      </c>
      <c r="B957" s="1" t="s">
        <v>2749</v>
      </c>
      <c r="D957" s="1" t="s">
        <v>2721</v>
      </c>
      <c r="E957" s="1" t="s">
        <v>2750</v>
      </c>
      <c r="F957" s="1" t="s">
        <v>2068</v>
      </c>
      <c r="G957" s="1" t="s">
        <v>2062</v>
      </c>
    </row>
    <row r="958" spans="1:7">
      <c r="A958" s="1">
        <v>2167</v>
      </c>
      <c r="B958" s="1" t="s">
        <v>2751</v>
      </c>
      <c r="D958" s="1" t="s">
        <v>2752</v>
      </c>
      <c r="E958" s="1" t="s">
        <v>2753</v>
      </c>
      <c r="F958" s="1" t="s">
        <v>541</v>
      </c>
      <c r="G958" s="1" t="s">
        <v>542</v>
      </c>
    </row>
    <row r="959" spans="1:7">
      <c r="A959" s="1">
        <v>2168</v>
      </c>
      <c r="B959" s="1" t="s">
        <v>2754</v>
      </c>
      <c r="D959" s="1" t="s">
        <v>2752</v>
      </c>
      <c r="E959" s="1" t="s">
        <v>2755</v>
      </c>
      <c r="F959" s="1" t="s">
        <v>1557</v>
      </c>
      <c r="G959" s="1" t="s">
        <v>1558</v>
      </c>
    </row>
    <row r="960" spans="1:7">
      <c r="A960" s="1">
        <v>2169</v>
      </c>
      <c r="B960" s="1" t="s">
        <v>2756</v>
      </c>
      <c r="D960" s="1" t="s">
        <v>2752</v>
      </c>
      <c r="E960" s="1" t="s">
        <v>2757</v>
      </c>
      <c r="F960" s="1" t="s">
        <v>1553</v>
      </c>
      <c r="G960" s="1" t="s">
        <v>1554</v>
      </c>
    </row>
    <row r="961" spans="1:7">
      <c r="A961" s="1">
        <v>2170</v>
      </c>
      <c r="B961" s="1" t="s">
        <v>2758</v>
      </c>
      <c r="D961" s="1" t="s">
        <v>2752</v>
      </c>
      <c r="E961" s="1" t="s">
        <v>2759</v>
      </c>
      <c r="F961" s="1" t="s">
        <v>1561</v>
      </c>
      <c r="G961" s="1" t="s">
        <v>1562</v>
      </c>
    </row>
    <row r="962" spans="1:7">
      <c r="A962" s="1">
        <v>2171</v>
      </c>
      <c r="B962" s="1" t="s">
        <v>2760</v>
      </c>
      <c r="D962" s="1" t="s">
        <v>2752</v>
      </c>
      <c r="E962" s="1" t="s">
        <v>2761</v>
      </c>
      <c r="F962" s="1" t="s">
        <v>2033</v>
      </c>
      <c r="G962" s="1" t="s">
        <v>2034</v>
      </c>
    </row>
    <row r="963" spans="1:7">
      <c r="A963" s="1">
        <v>2172</v>
      </c>
      <c r="B963" s="1" t="s">
        <v>2762</v>
      </c>
      <c r="D963" s="1" t="s">
        <v>2752</v>
      </c>
      <c r="E963" s="1" t="s">
        <v>2763</v>
      </c>
      <c r="F963" s="1" t="s">
        <v>2037</v>
      </c>
      <c r="G963" s="1" t="s">
        <v>2038</v>
      </c>
    </row>
    <row r="964" spans="1:7">
      <c r="A964" s="1">
        <v>2173</v>
      </c>
      <c r="B964" s="1" t="s">
        <v>2764</v>
      </c>
      <c r="D964" s="1" t="s">
        <v>2752</v>
      </c>
      <c r="E964" s="1" t="s">
        <v>2765</v>
      </c>
      <c r="F964" s="1" t="s">
        <v>2041</v>
      </c>
      <c r="G964" s="1" t="s">
        <v>2042</v>
      </c>
    </row>
    <row r="965" spans="1:7">
      <c r="A965" s="1">
        <v>2174</v>
      </c>
      <c r="B965" s="1" t="s">
        <v>2766</v>
      </c>
      <c r="D965" s="1" t="s">
        <v>2752</v>
      </c>
      <c r="E965" s="1" t="s">
        <v>2767</v>
      </c>
      <c r="F965" s="1" t="s">
        <v>2045</v>
      </c>
      <c r="G965" s="1" t="s">
        <v>2046</v>
      </c>
    </row>
    <row r="966" spans="1:7">
      <c r="A966" s="1">
        <v>2175</v>
      </c>
      <c r="B966" s="1" t="s">
        <v>2768</v>
      </c>
      <c r="D966" s="1" t="s">
        <v>2752</v>
      </c>
      <c r="E966" s="1" t="s">
        <v>2769</v>
      </c>
      <c r="F966" s="1" t="s">
        <v>2049</v>
      </c>
      <c r="G966" s="1" t="s">
        <v>2050</v>
      </c>
    </row>
    <row r="967" spans="1:7">
      <c r="A967" s="1">
        <v>2177</v>
      </c>
      <c r="B967" s="1" t="s">
        <v>2770</v>
      </c>
      <c r="D967" s="1" t="s">
        <v>2752</v>
      </c>
      <c r="E967" s="1" t="s">
        <v>2771</v>
      </c>
      <c r="F967" s="1" t="s">
        <v>161</v>
      </c>
      <c r="G967" s="1" t="s">
        <v>162</v>
      </c>
    </row>
    <row r="968" spans="1:7">
      <c r="A968" s="1">
        <v>2178</v>
      </c>
      <c r="B968" s="1" t="s">
        <v>2772</v>
      </c>
      <c r="D968" s="1" t="s">
        <v>2752</v>
      </c>
      <c r="E968" s="1" t="s">
        <v>2773</v>
      </c>
      <c r="F968" s="1" t="s">
        <v>165</v>
      </c>
      <c r="G968" s="1" t="s">
        <v>166</v>
      </c>
    </row>
    <row r="969" spans="1:7">
      <c r="A969" s="1">
        <v>2180</v>
      </c>
      <c r="B969" s="1" t="s">
        <v>2774</v>
      </c>
      <c r="D969" s="1" t="s">
        <v>2752</v>
      </c>
      <c r="E969" s="1" t="s">
        <v>2775</v>
      </c>
      <c r="F969" s="1" t="s">
        <v>2057</v>
      </c>
      <c r="G969" s="1" t="s">
        <v>2058</v>
      </c>
    </row>
    <row r="970" spans="1:7">
      <c r="A970" s="1">
        <v>2181</v>
      </c>
      <c r="B970" s="1" t="s">
        <v>2776</v>
      </c>
      <c r="D970" s="1" t="s">
        <v>2752</v>
      </c>
      <c r="E970" s="1" t="s">
        <v>2777</v>
      </c>
      <c r="F970" s="1" t="s">
        <v>2061</v>
      </c>
      <c r="G970" s="1" t="s">
        <v>2062</v>
      </c>
    </row>
    <row r="971" spans="1:7">
      <c r="A971" s="1">
        <v>2182</v>
      </c>
      <c r="B971" s="1" t="s">
        <v>2778</v>
      </c>
      <c r="D971" s="1" t="s">
        <v>2752</v>
      </c>
      <c r="E971" s="1" t="s">
        <v>2779</v>
      </c>
      <c r="F971" s="1" t="s">
        <v>2065</v>
      </c>
      <c r="G971" s="1" t="s">
        <v>2058</v>
      </c>
    </row>
    <row r="972" spans="1:7">
      <c r="A972" s="1">
        <v>2183</v>
      </c>
      <c r="B972" s="1" t="s">
        <v>2780</v>
      </c>
      <c r="D972" s="1" t="s">
        <v>2752</v>
      </c>
      <c r="E972" s="1" t="s">
        <v>2781</v>
      </c>
      <c r="F972" s="1" t="s">
        <v>2068</v>
      </c>
      <c r="G972" s="1" t="s">
        <v>2062</v>
      </c>
    </row>
    <row r="973" spans="1:7">
      <c r="A973" s="1">
        <v>2185</v>
      </c>
      <c r="B973" s="1" t="s">
        <v>2782</v>
      </c>
      <c r="D973" s="1" t="s">
        <v>2783</v>
      </c>
      <c r="E973" s="1" t="s">
        <v>2784</v>
      </c>
      <c r="F973" s="1" t="s">
        <v>541</v>
      </c>
      <c r="G973" s="1" t="s">
        <v>542</v>
      </c>
    </row>
    <row r="974" spans="1:7">
      <c r="A974" s="1">
        <v>2186</v>
      </c>
      <c r="B974" s="1" t="s">
        <v>2785</v>
      </c>
      <c r="D974" s="1" t="s">
        <v>2783</v>
      </c>
      <c r="E974" s="1" t="s">
        <v>2786</v>
      </c>
      <c r="F974" s="1" t="s">
        <v>1557</v>
      </c>
      <c r="G974" s="1" t="s">
        <v>1558</v>
      </c>
    </row>
    <row r="975" spans="1:7">
      <c r="A975" s="1">
        <v>2187</v>
      </c>
      <c r="B975" s="1" t="s">
        <v>2787</v>
      </c>
      <c r="D975" s="1" t="s">
        <v>2783</v>
      </c>
      <c r="E975" s="1" t="s">
        <v>2788</v>
      </c>
      <c r="F975" s="1" t="s">
        <v>1553</v>
      </c>
      <c r="G975" s="1" t="s">
        <v>1554</v>
      </c>
    </row>
    <row r="976" spans="1:7">
      <c r="A976" s="1">
        <v>2188</v>
      </c>
      <c r="B976" s="1" t="s">
        <v>2789</v>
      </c>
      <c r="D976" s="1" t="s">
        <v>2783</v>
      </c>
      <c r="E976" s="1" t="s">
        <v>2790</v>
      </c>
      <c r="F976" s="1" t="s">
        <v>1561</v>
      </c>
      <c r="G976" s="1" t="s">
        <v>1562</v>
      </c>
    </row>
    <row r="977" spans="1:7">
      <c r="A977" s="1">
        <v>2189</v>
      </c>
      <c r="B977" s="1" t="s">
        <v>2791</v>
      </c>
      <c r="D977" s="1" t="s">
        <v>2783</v>
      </c>
      <c r="E977" s="1" t="s">
        <v>2792</v>
      </c>
      <c r="F977" s="1" t="s">
        <v>2033</v>
      </c>
      <c r="G977" s="1" t="s">
        <v>2034</v>
      </c>
    </row>
    <row r="978" spans="1:7">
      <c r="A978" s="1">
        <v>2190</v>
      </c>
      <c r="B978" s="1" t="s">
        <v>2793</v>
      </c>
      <c r="D978" s="1" t="s">
        <v>2783</v>
      </c>
      <c r="E978" s="1" t="s">
        <v>2794</v>
      </c>
      <c r="F978" s="1" t="s">
        <v>2037</v>
      </c>
      <c r="G978" s="1" t="s">
        <v>2038</v>
      </c>
    </row>
    <row r="979" spans="1:7">
      <c r="A979" s="1">
        <v>2191</v>
      </c>
      <c r="B979" s="1" t="s">
        <v>2795</v>
      </c>
      <c r="D979" s="1" t="s">
        <v>2783</v>
      </c>
      <c r="E979" s="1" t="s">
        <v>2796</v>
      </c>
      <c r="F979" s="1" t="s">
        <v>2041</v>
      </c>
      <c r="G979" s="1" t="s">
        <v>2042</v>
      </c>
    </row>
    <row r="980" spans="1:7">
      <c r="A980" s="1">
        <v>2192</v>
      </c>
      <c r="B980" s="1" t="s">
        <v>2797</v>
      </c>
      <c r="D980" s="1" t="s">
        <v>2783</v>
      </c>
      <c r="E980" s="1" t="s">
        <v>2798</v>
      </c>
      <c r="F980" s="1" t="s">
        <v>2045</v>
      </c>
      <c r="G980" s="1" t="s">
        <v>2046</v>
      </c>
    </row>
    <row r="981" spans="1:7">
      <c r="A981" s="1">
        <v>2193</v>
      </c>
      <c r="B981" s="1" t="s">
        <v>2799</v>
      </c>
      <c r="D981" s="1" t="s">
        <v>2783</v>
      </c>
      <c r="E981" s="1" t="s">
        <v>2800</v>
      </c>
      <c r="F981" s="1" t="s">
        <v>2049</v>
      </c>
      <c r="G981" s="1" t="s">
        <v>2050</v>
      </c>
    </row>
    <row r="982" spans="1:7">
      <c r="A982" s="1">
        <v>2195</v>
      </c>
      <c r="B982" s="1" t="s">
        <v>2801</v>
      </c>
      <c r="D982" s="1" t="s">
        <v>2783</v>
      </c>
      <c r="E982" s="1" t="s">
        <v>2802</v>
      </c>
      <c r="F982" s="1" t="s">
        <v>161</v>
      </c>
      <c r="G982" s="1" t="s">
        <v>162</v>
      </c>
    </row>
    <row r="983" spans="1:7">
      <c r="A983" s="1">
        <v>2196</v>
      </c>
      <c r="B983" s="1" t="s">
        <v>2803</v>
      </c>
      <c r="D983" s="1" t="s">
        <v>2783</v>
      </c>
      <c r="E983" s="1" t="s">
        <v>2804</v>
      </c>
      <c r="F983" s="1" t="s">
        <v>165</v>
      </c>
      <c r="G983" s="1" t="s">
        <v>166</v>
      </c>
    </row>
    <row r="984" spans="1:7">
      <c r="A984" s="1">
        <v>2198</v>
      </c>
      <c r="B984" s="1" t="s">
        <v>2805</v>
      </c>
      <c r="D984" s="1" t="s">
        <v>2783</v>
      </c>
      <c r="E984" s="1" t="s">
        <v>2806</v>
      </c>
      <c r="F984" s="1" t="s">
        <v>2057</v>
      </c>
      <c r="G984" s="1" t="s">
        <v>2058</v>
      </c>
    </row>
    <row r="985" spans="1:7">
      <c r="A985" s="1">
        <v>2199</v>
      </c>
      <c r="B985" s="1" t="s">
        <v>2807</v>
      </c>
      <c r="D985" s="1" t="s">
        <v>2783</v>
      </c>
      <c r="E985" s="1" t="s">
        <v>2808</v>
      </c>
      <c r="F985" s="1" t="s">
        <v>2061</v>
      </c>
      <c r="G985" s="1" t="s">
        <v>2062</v>
      </c>
    </row>
    <row r="986" spans="1:7">
      <c r="A986" s="1">
        <v>2200</v>
      </c>
      <c r="B986" s="1" t="s">
        <v>2809</v>
      </c>
      <c r="D986" s="1" t="s">
        <v>2783</v>
      </c>
      <c r="E986" s="1" t="s">
        <v>2810</v>
      </c>
      <c r="F986" s="1" t="s">
        <v>2065</v>
      </c>
      <c r="G986" s="1" t="s">
        <v>2058</v>
      </c>
    </row>
    <row r="987" spans="1:7">
      <c r="A987" s="1">
        <v>2201</v>
      </c>
      <c r="B987" s="1" t="s">
        <v>2811</v>
      </c>
      <c r="D987" s="1" t="s">
        <v>2783</v>
      </c>
      <c r="E987" s="1" t="s">
        <v>2812</v>
      </c>
      <c r="F987" s="1" t="s">
        <v>2068</v>
      </c>
      <c r="G987" s="1" t="s">
        <v>2062</v>
      </c>
    </row>
    <row r="988" spans="1:7">
      <c r="A988" s="1">
        <v>2203</v>
      </c>
      <c r="B988" s="1" t="s">
        <v>2813</v>
      </c>
      <c r="D988" s="1" t="s">
        <v>2814</v>
      </c>
      <c r="E988" s="1" t="s">
        <v>2815</v>
      </c>
      <c r="F988" s="1" t="s">
        <v>541</v>
      </c>
      <c r="G988" s="1" t="s">
        <v>542</v>
      </c>
    </row>
    <row r="989" spans="1:7">
      <c r="A989" s="1">
        <v>2204</v>
      </c>
      <c r="B989" s="1" t="s">
        <v>2816</v>
      </c>
      <c r="D989" s="1" t="s">
        <v>2814</v>
      </c>
      <c r="E989" s="1" t="s">
        <v>2817</v>
      </c>
      <c r="F989" s="1" t="s">
        <v>1557</v>
      </c>
      <c r="G989" s="1" t="s">
        <v>1558</v>
      </c>
    </row>
    <row r="990" spans="1:7">
      <c r="A990" s="1">
        <v>2205</v>
      </c>
      <c r="B990" s="1" t="s">
        <v>2818</v>
      </c>
      <c r="D990" s="1" t="s">
        <v>2814</v>
      </c>
      <c r="E990" s="1" t="s">
        <v>2819</v>
      </c>
      <c r="F990" s="1" t="s">
        <v>1553</v>
      </c>
      <c r="G990" s="1" t="s">
        <v>1554</v>
      </c>
    </row>
    <row r="991" spans="1:7">
      <c r="A991" s="1">
        <v>2206</v>
      </c>
      <c r="B991" s="1" t="s">
        <v>2820</v>
      </c>
      <c r="D991" s="1" t="s">
        <v>2814</v>
      </c>
      <c r="E991" s="1" t="s">
        <v>2821</v>
      </c>
      <c r="F991" s="1" t="s">
        <v>1561</v>
      </c>
      <c r="G991" s="1" t="s">
        <v>1562</v>
      </c>
    </row>
    <row r="992" spans="1:7">
      <c r="A992" s="1">
        <v>2207</v>
      </c>
      <c r="B992" s="1" t="s">
        <v>2822</v>
      </c>
      <c r="D992" s="1" t="s">
        <v>2814</v>
      </c>
      <c r="E992" s="1" t="s">
        <v>2823</v>
      </c>
      <c r="F992" s="1" t="s">
        <v>2033</v>
      </c>
      <c r="G992" s="1" t="s">
        <v>2034</v>
      </c>
    </row>
    <row r="993" spans="1:7">
      <c r="A993" s="1">
        <v>2208</v>
      </c>
      <c r="B993" s="1" t="s">
        <v>2824</v>
      </c>
      <c r="D993" s="1" t="s">
        <v>2814</v>
      </c>
      <c r="E993" s="1" t="s">
        <v>2825</v>
      </c>
      <c r="F993" s="1" t="s">
        <v>2037</v>
      </c>
      <c r="G993" s="1" t="s">
        <v>2038</v>
      </c>
    </row>
    <row r="994" spans="1:7">
      <c r="A994" s="1">
        <v>2209</v>
      </c>
      <c r="B994" s="1" t="s">
        <v>2826</v>
      </c>
      <c r="D994" s="1" t="s">
        <v>2814</v>
      </c>
      <c r="E994" s="1" t="s">
        <v>2827</v>
      </c>
      <c r="F994" s="1" t="s">
        <v>2041</v>
      </c>
      <c r="G994" s="1" t="s">
        <v>2042</v>
      </c>
    </row>
    <row r="995" spans="1:7">
      <c r="A995" s="1">
        <v>2210</v>
      </c>
      <c r="B995" s="1" t="s">
        <v>2828</v>
      </c>
      <c r="D995" s="1" t="s">
        <v>2814</v>
      </c>
      <c r="E995" s="1" t="s">
        <v>2829</v>
      </c>
      <c r="F995" s="1" t="s">
        <v>2045</v>
      </c>
      <c r="G995" s="1" t="s">
        <v>2046</v>
      </c>
    </row>
    <row r="996" spans="1:7">
      <c r="A996" s="1">
        <v>2211</v>
      </c>
      <c r="B996" s="1" t="s">
        <v>2830</v>
      </c>
      <c r="D996" s="1" t="s">
        <v>2814</v>
      </c>
      <c r="E996" s="1" t="s">
        <v>2831</v>
      </c>
      <c r="F996" s="1" t="s">
        <v>2049</v>
      </c>
      <c r="G996" s="1" t="s">
        <v>2050</v>
      </c>
    </row>
    <row r="997" spans="1:7">
      <c r="A997" s="1">
        <v>2213</v>
      </c>
      <c r="B997" s="1" t="s">
        <v>2832</v>
      </c>
      <c r="D997" s="1" t="s">
        <v>2814</v>
      </c>
      <c r="E997" s="1" t="s">
        <v>2833</v>
      </c>
      <c r="F997" s="1" t="s">
        <v>161</v>
      </c>
      <c r="G997" s="1" t="s">
        <v>162</v>
      </c>
    </row>
    <row r="998" spans="1:7">
      <c r="A998" s="1">
        <v>2214</v>
      </c>
      <c r="B998" s="1" t="s">
        <v>2834</v>
      </c>
      <c r="D998" s="1" t="s">
        <v>2814</v>
      </c>
      <c r="E998" s="1" t="s">
        <v>2835</v>
      </c>
      <c r="F998" s="1" t="s">
        <v>165</v>
      </c>
      <c r="G998" s="1" t="s">
        <v>166</v>
      </c>
    </row>
    <row r="999" spans="1:7">
      <c r="A999" s="1">
        <v>2216</v>
      </c>
      <c r="B999" s="1" t="s">
        <v>2836</v>
      </c>
      <c r="D999" s="1" t="s">
        <v>2814</v>
      </c>
      <c r="E999" s="1" t="s">
        <v>2837</v>
      </c>
      <c r="F999" s="1" t="s">
        <v>2057</v>
      </c>
      <c r="G999" s="1" t="s">
        <v>2058</v>
      </c>
    </row>
    <row r="1000" spans="1:7">
      <c r="A1000" s="1">
        <v>2217</v>
      </c>
      <c r="B1000" s="1" t="s">
        <v>2838</v>
      </c>
      <c r="D1000" s="1" t="s">
        <v>2814</v>
      </c>
      <c r="E1000" s="1" t="s">
        <v>2839</v>
      </c>
      <c r="F1000" s="1" t="s">
        <v>2061</v>
      </c>
      <c r="G1000" s="1" t="s">
        <v>2062</v>
      </c>
    </row>
    <row r="1001" spans="1:7">
      <c r="A1001" s="1">
        <v>2218</v>
      </c>
      <c r="B1001" s="1" t="s">
        <v>2840</v>
      </c>
      <c r="D1001" s="1" t="s">
        <v>2814</v>
      </c>
      <c r="E1001" s="1" t="s">
        <v>2841</v>
      </c>
      <c r="F1001" s="1" t="s">
        <v>2065</v>
      </c>
      <c r="G1001" s="1" t="s">
        <v>2058</v>
      </c>
    </row>
    <row r="1002" spans="1:7">
      <c r="A1002" s="1">
        <v>2219</v>
      </c>
      <c r="B1002" s="1" t="s">
        <v>2842</v>
      </c>
      <c r="D1002" s="1" t="s">
        <v>2814</v>
      </c>
      <c r="E1002" s="1" t="s">
        <v>2843</v>
      </c>
      <c r="F1002" s="1" t="s">
        <v>2068</v>
      </c>
      <c r="G1002" s="1" t="s">
        <v>2062</v>
      </c>
    </row>
    <row r="1003" spans="1:7">
      <c r="A1003" s="1">
        <v>2221</v>
      </c>
      <c r="B1003" s="1" t="s">
        <v>2844</v>
      </c>
      <c r="D1003" s="1" t="s">
        <v>2845</v>
      </c>
      <c r="E1003" s="1" t="s">
        <v>2846</v>
      </c>
      <c r="F1003" s="1" t="s">
        <v>541</v>
      </c>
      <c r="G1003" s="1" t="s">
        <v>542</v>
      </c>
    </row>
    <row r="1004" spans="1:7">
      <c r="A1004" s="1">
        <v>2222</v>
      </c>
      <c r="B1004" s="1" t="s">
        <v>2847</v>
      </c>
      <c r="D1004" s="1" t="s">
        <v>2845</v>
      </c>
      <c r="E1004" s="1" t="s">
        <v>2848</v>
      </c>
      <c r="F1004" s="1" t="s">
        <v>1557</v>
      </c>
      <c r="G1004" s="1" t="s">
        <v>1558</v>
      </c>
    </row>
    <row r="1005" spans="1:7">
      <c r="A1005" s="1">
        <v>2223</v>
      </c>
      <c r="B1005" s="1" t="s">
        <v>2849</v>
      </c>
      <c r="D1005" s="1" t="s">
        <v>2845</v>
      </c>
      <c r="E1005" s="1" t="s">
        <v>2850</v>
      </c>
      <c r="F1005" s="1" t="s">
        <v>1553</v>
      </c>
      <c r="G1005" s="1" t="s">
        <v>1554</v>
      </c>
    </row>
    <row r="1006" spans="1:7">
      <c r="A1006" s="1">
        <v>2224</v>
      </c>
      <c r="B1006" s="1" t="s">
        <v>2851</v>
      </c>
      <c r="D1006" s="1" t="s">
        <v>2845</v>
      </c>
      <c r="E1006" s="1" t="s">
        <v>2852</v>
      </c>
      <c r="F1006" s="1" t="s">
        <v>1561</v>
      </c>
      <c r="G1006" s="1" t="s">
        <v>1562</v>
      </c>
    </row>
    <row r="1007" spans="1:7">
      <c r="A1007" s="1">
        <v>2225</v>
      </c>
      <c r="B1007" s="1" t="s">
        <v>2853</v>
      </c>
      <c r="D1007" s="1" t="s">
        <v>2845</v>
      </c>
      <c r="E1007" s="1" t="s">
        <v>2854</v>
      </c>
      <c r="F1007" s="1" t="s">
        <v>2033</v>
      </c>
      <c r="G1007" s="1" t="s">
        <v>2034</v>
      </c>
    </row>
    <row r="1008" spans="1:7">
      <c r="A1008" s="1">
        <v>2226</v>
      </c>
      <c r="B1008" s="1" t="s">
        <v>2855</v>
      </c>
      <c r="D1008" s="1" t="s">
        <v>2845</v>
      </c>
      <c r="E1008" s="1" t="s">
        <v>2856</v>
      </c>
      <c r="F1008" s="1" t="s">
        <v>2037</v>
      </c>
      <c r="G1008" s="1" t="s">
        <v>2038</v>
      </c>
    </row>
    <row r="1009" spans="1:7">
      <c r="A1009" s="1">
        <v>2227</v>
      </c>
      <c r="B1009" s="1" t="s">
        <v>2857</v>
      </c>
      <c r="D1009" s="1" t="s">
        <v>2845</v>
      </c>
      <c r="E1009" s="1" t="s">
        <v>2858</v>
      </c>
      <c r="F1009" s="1" t="s">
        <v>2041</v>
      </c>
      <c r="G1009" s="1" t="s">
        <v>2042</v>
      </c>
    </row>
    <row r="1010" spans="1:7">
      <c r="A1010" s="1">
        <v>2228</v>
      </c>
      <c r="B1010" s="1" t="s">
        <v>2859</v>
      </c>
      <c r="D1010" s="1" t="s">
        <v>2845</v>
      </c>
      <c r="E1010" s="1" t="s">
        <v>2860</v>
      </c>
      <c r="F1010" s="1" t="s">
        <v>2045</v>
      </c>
      <c r="G1010" s="1" t="s">
        <v>2046</v>
      </c>
    </row>
    <row r="1011" spans="1:7">
      <c r="A1011" s="1">
        <v>2229</v>
      </c>
      <c r="B1011" s="1" t="s">
        <v>2861</v>
      </c>
      <c r="D1011" s="1" t="s">
        <v>2845</v>
      </c>
      <c r="E1011" s="1" t="s">
        <v>2862</v>
      </c>
      <c r="F1011" s="1" t="s">
        <v>2049</v>
      </c>
      <c r="G1011" s="1" t="s">
        <v>2050</v>
      </c>
    </row>
    <row r="1012" spans="1:7">
      <c r="A1012" s="1">
        <v>2231</v>
      </c>
      <c r="B1012" s="1" t="s">
        <v>2863</v>
      </c>
      <c r="D1012" s="1" t="s">
        <v>2845</v>
      </c>
      <c r="E1012" s="1" t="s">
        <v>2864</v>
      </c>
      <c r="F1012" s="1" t="s">
        <v>161</v>
      </c>
      <c r="G1012" s="1" t="s">
        <v>162</v>
      </c>
    </row>
    <row r="1013" spans="1:7">
      <c r="A1013" s="1">
        <v>2232</v>
      </c>
      <c r="B1013" s="1" t="s">
        <v>2865</v>
      </c>
      <c r="D1013" s="1" t="s">
        <v>2845</v>
      </c>
      <c r="E1013" s="1" t="s">
        <v>2866</v>
      </c>
      <c r="F1013" s="1" t="s">
        <v>165</v>
      </c>
      <c r="G1013" s="1" t="s">
        <v>166</v>
      </c>
    </row>
    <row r="1014" spans="1:7">
      <c r="A1014" s="1">
        <v>2234</v>
      </c>
      <c r="B1014" s="1" t="s">
        <v>2867</v>
      </c>
      <c r="D1014" s="1" t="s">
        <v>2845</v>
      </c>
      <c r="E1014" s="1" t="s">
        <v>2868</v>
      </c>
      <c r="F1014" s="1" t="s">
        <v>2057</v>
      </c>
      <c r="G1014" s="1" t="s">
        <v>2058</v>
      </c>
    </row>
    <row r="1015" spans="1:7">
      <c r="A1015" s="1">
        <v>2235</v>
      </c>
      <c r="B1015" s="1" t="s">
        <v>2869</v>
      </c>
      <c r="D1015" s="1" t="s">
        <v>2845</v>
      </c>
      <c r="E1015" s="1" t="s">
        <v>2870</v>
      </c>
      <c r="F1015" s="1" t="s">
        <v>2061</v>
      </c>
      <c r="G1015" s="1" t="s">
        <v>2062</v>
      </c>
    </row>
    <row r="1016" spans="1:7">
      <c r="A1016" s="1">
        <v>2236</v>
      </c>
      <c r="B1016" s="1" t="s">
        <v>2871</v>
      </c>
      <c r="D1016" s="1" t="s">
        <v>2845</v>
      </c>
      <c r="E1016" s="1" t="s">
        <v>2872</v>
      </c>
      <c r="F1016" s="1" t="s">
        <v>2065</v>
      </c>
      <c r="G1016" s="1" t="s">
        <v>2058</v>
      </c>
    </row>
    <row r="1017" spans="1:7">
      <c r="A1017" s="1">
        <v>2237</v>
      </c>
      <c r="B1017" s="1" t="s">
        <v>2873</v>
      </c>
      <c r="D1017" s="1" t="s">
        <v>2845</v>
      </c>
      <c r="E1017" s="1" t="s">
        <v>2874</v>
      </c>
      <c r="F1017" s="1" t="s">
        <v>2068</v>
      </c>
      <c r="G1017" s="1" t="s">
        <v>2062</v>
      </c>
    </row>
    <row r="1018" spans="1:7">
      <c r="A1018" s="1">
        <v>2239</v>
      </c>
      <c r="B1018" s="1" t="s">
        <v>2875</v>
      </c>
      <c r="D1018" s="1" t="s">
        <v>2876</v>
      </c>
      <c r="E1018" s="1" t="s">
        <v>2877</v>
      </c>
      <c r="F1018" s="1" t="s">
        <v>541</v>
      </c>
      <c r="G1018" s="1" t="s">
        <v>542</v>
      </c>
    </row>
    <row r="1019" spans="1:7">
      <c r="A1019" s="1">
        <v>2240</v>
      </c>
      <c r="B1019" s="1" t="s">
        <v>2878</v>
      </c>
      <c r="D1019" s="1" t="s">
        <v>2876</v>
      </c>
      <c r="E1019" s="1" t="s">
        <v>2879</v>
      </c>
      <c r="F1019" s="1" t="s">
        <v>1557</v>
      </c>
      <c r="G1019" s="1" t="s">
        <v>1558</v>
      </c>
    </row>
    <row r="1020" spans="1:7">
      <c r="A1020" s="1">
        <v>2241</v>
      </c>
      <c r="B1020" s="1" t="s">
        <v>2880</v>
      </c>
      <c r="D1020" s="1" t="s">
        <v>2876</v>
      </c>
      <c r="E1020" s="1" t="s">
        <v>2881</v>
      </c>
      <c r="F1020" s="1" t="s">
        <v>1553</v>
      </c>
      <c r="G1020" s="1" t="s">
        <v>1554</v>
      </c>
    </row>
    <row r="1021" spans="1:7">
      <c r="A1021" s="1">
        <v>2242</v>
      </c>
      <c r="B1021" s="1" t="s">
        <v>2882</v>
      </c>
      <c r="D1021" s="1" t="s">
        <v>2876</v>
      </c>
      <c r="E1021" s="1" t="s">
        <v>2883</v>
      </c>
      <c r="F1021" s="1" t="s">
        <v>1561</v>
      </c>
      <c r="G1021" s="1" t="s">
        <v>1562</v>
      </c>
    </row>
    <row r="1022" spans="1:7">
      <c r="A1022" s="1">
        <v>2243</v>
      </c>
      <c r="B1022" s="1" t="s">
        <v>2884</v>
      </c>
      <c r="D1022" s="1" t="s">
        <v>2876</v>
      </c>
      <c r="E1022" s="1" t="s">
        <v>2885</v>
      </c>
      <c r="F1022" s="1" t="s">
        <v>2033</v>
      </c>
      <c r="G1022" s="1" t="s">
        <v>2034</v>
      </c>
    </row>
    <row r="1023" spans="1:7">
      <c r="A1023" s="1">
        <v>2244</v>
      </c>
      <c r="B1023" s="1" t="s">
        <v>2886</v>
      </c>
      <c r="D1023" s="1" t="s">
        <v>2876</v>
      </c>
      <c r="E1023" s="1" t="s">
        <v>2887</v>
      </c>
      <c r="F1023" s="1" t="s">
        <v>2037</v>
      </c>
      <c r="G1023" s="1" t="s">
        <v>2038</v>
      </c>
    </row>
    <row r="1024" spans="1:7">
      <c r="A1024" s="1">
        <v>2245</v>
      </c>
      <c r="B1024" s="1" t="s">
        <v>2888</v>
      </c>
      <c r="D1024" s="1" t="s">
        <v>2876</v>
      </c>
      <c r="E1024" s="1" t="s">
        <v>2889</v>
      </c>
      <c r="F1024" s="1" t="s">
        <v>2041</v>
      </c>
      <c r="G1024" s="1" t="s">
        <v>2042</v>
      </c>
    </row>
    <row r="1025" spans="1:7">
      <c r="A1025" s="1">
        <v>2246</v>
      </c>
      <c r="B1025" s="1" t="s">
        <v>2890</v>
      </c>
      <c r="D1025" s="1" t="s">
        <v>2876</v>
      </c>
      <c r="E1025" s="1" t="s">
        <v>2891</v>
      </c>
      <c r="F1025" s="1" t="s">
        <v>2045</v>
      </c>
      <c r="G1025" s="1" t="s">
        <v>2046</v>
      </c>
    </row>
    <row r="1026" spans="1:7">
      <c r="A1026" s="1">
        <v>2247</v>
      </c>
      <c r="B1026" s="1" t="s">
        <v>2892</v>
      </c>
      <c r="D1026" s="1" t="s">
        <v>2876</v>
      </c>
      <c r="E1026" s="1" t="s">
        <v>2893</v>
      </c>
      <c r="F1026" s="1" t="s">
        <v>2049</v>
      </c>
      <c r="G1026" s="1" t="s">
        <v>2050</v>
      </c>
    </row>
    <row r="1027" spans="1:7">
      <c r="A1027" s="1">
        <v>2249</v>
      </c>
      <c r="B1027" s="1" t="s">
        <v>2894</v>
      </c>
      <c r="D1027" s="1" t="s">
        <v>2876</v>
      </c>
      <c r="E1027" s="1" t="s">
        <v>2895</v>
      </c>
      <c r="F1027" s="1" t="s">
        <v>161</v>
      </c>
      <c r="G1027" s="1" t="s">
        <v>162</v>
      </c>
    </row>
    <row r="1028" spans="1:7">
      <c r="A1028" s="1">
        <v>2250</v>
      </c>
      <c r="B1028" s="1" t="s">
        <v>2896</v>
      </c>
      <c r="D1028" s="1" t="s">
        <v>2876</v>
      </c>
      <c r="E1028" s="1" t="s">
        <v>2897</v>
      </c>
      <c r="F1028" s="1" t="s">
        <v>165</v>
      </c>
      <c r="G1028" s="1" t="s">
        <v>166</v>
      </c>
    </row>
    <row r="1029" spans="1:7">
      <c r="A1029" s="1">
        <v>2252</v>
      </c>
      <c r="B1029" s="1" t="s">
        <v>2898</v>
      </c>
      <c r="D1029" s="1" t="s">
        <v>2876</v>
      </c>
      <c r="E1029" s="1" t="s">
        <v>2899</v>
      </c>
      <c r="F1029" s="1" t="s">
        <v>2057</v>
      </c>
      <c r="G1029" s="1" t="s">
        <v>2058</v>
      </c>
    </row>
    <row r="1030" spans="1:7">
      <c r="A1030" s="1">
        <v>2253</v>
      </c>
      <c r="B1030" s="1" t="s">
        <v>2900</v>
      </c>
      <c r="D1030" s="1" t="s">
        <v>2876</v>
      </c>
      <c r="E1030" s="1" t="s">
        <v>2901</v>
      </c>
      <c r="F1030" s="1" t="s">
        <v>2061</v>
      </c>
      <c r="G1030" s="1" t="s">
        <v>2062</v>
      </c>
    </row>
    <row r="1031" spans="1:7">
      <c r="A1031" s="1">
        <v>2254</v>
      </c>
      <c r="B1031" s="1" t="s">
        <v>2902</v>
      </c>
      <c r="D1031" s="1" t="s">
        <v>2876</v>
      </c>
      <c r="E1031" s="1" t="s">
        <v>2903</v>
      </c>
      <c r="F1031" s="1" t="s">
        <v>2065</v>
      </c>
      <c r="G1031" s="1" t="s">
        <v>2058</v>
      </c>
    </row>
    <row r="1032" spans="1:7">
      <c r="A1032" s="1">
        <v>2255</v>
      </c>
      <c r="B1032" s="1" t="s">
        <v>2904</v>
      </c>
      <c r="D1032" s="1" t="s">
        <v>2876</v>
      </c>
      <c r="E1032" s="1" t="s">
        <v>2905</v>
      </c>
      <c r="F1032" s="1" t="s">
        <v>2068</v>
      </c>
      <c r="G1032" s="1" t="s">
        <v>2062</v>
      </c>
    </row>
    <row r="1033" spans="1:7">
      <c r="A1033" s="1">
        <v>2257</v>
      </c>
      <c r="B1033" s="1" t="s">
        <v>2906</v>
      </c>
      <c r="D1033" s="1" t="s">
        <v>2907</v>
      </c>
      <c r="E1033" s="1" t="s">
        <v>2908</v>
      </c>
      <c r="F1033" s="1" t="s">
        <v>541</v>
      </c>
      <c r="G1033" s="1" t="s">
        <v>542</v>
      </c>
    </row>
    <row r="1034" spans="1:7">
      <c r="A1034" s="1">
        <v>2258</v>
      </c>
      <c r="B1034" s="1" t="s">
        <v>2909</v>
      </c>
      <c r="D1034" s="1" t="s">
        <v>2907</v>
      </c>
      <c r="E1034" s="1" t="s">
        <v>2910</v>
      </c>
      <c r="F1034" s="1" t="s">
        <v>1557</v>
      </c>
      <c r="G1034" s="1" t="s">
        <v>1558</v>
      </c>
    </row>
    <row r="1035" spans="1:7">
      <c r="A1035" s="1">
        <v>2259</v>
      </c>
      <c r="B1035" s="1" t="s">
        <v>2911</v>
      </c>
      <c r="D1035" s="1" t="s">
        <v>2907</v>
      </c>
      <c r="E1035" s="1" t="s">
        <v>2912</v>
      </c>
      <c r="F1035" s="1" t="s">
        <v>1553</v>
      </c>
      <c r="G1035" s="1" t="s">
        <v>1554</v>
      </c>
    </row>
    <row r="1036" spans="1:7">
      <c r="A1036" s="1">
        <v>2260</v>
      </c>
      <c r="B1036" s="1" t="s">
        <v>2913</v>
      </c>
      <c r="D1036" s="1" t="s">
        <v>2907</v>
      </c>
      <c r="E1036" s="1" t="s">
        <v>2914</v>
      </c>
      <c r="F1036" s="1" t="s">
        <v>1561</v>
      </c>
      <c r="G1036" s="1" t="s">
        <v>1562</v>
      </c>
    </row>
    <row r="1037" spans="1:7">
      <c r="A1037" s="1">
        <v>2261</v>
      </c>
      <c r="B1037" s="1" t="s">
        <v>2915</v>
      </c>
      <c r="D1037" s="1" t="s">
        <v>2907</v>
      </c>
      <c r="E1037" s="1" t="s">
        <v>2916</v>
      </c>
      <c r="F1037" s="1" t="s">
        <v>2033</v>
      </c>
      <c r="G1037" s="1" t="s">
        <v>2034</v>
      </c>
    </row>
    <row r="1038" spans="1:7">
      <c r="A1038" s="1">
        <v>2262</v>
      </c>
      <c r="B1038" s="1" t="s">
        <v>2917</v>
      </c>
      <c r="D1038" s="1" t="s">
        <v>2907</v>
      </c>
      <c r="E1038" s="1" t="s">
        <v>2918</v>
      </c>
      <c r="F1038" s="1" t="s">
        <v>2037</v>
      </c>
      <c r="G1038" s="1" t="s">
        <v>2038</v>
      </c>
    </row>
    <row r="1039" spans="1:7">
      <c r="A1039" s="1">
        <v>2263</v>
      </c>
      <c r="B1039" s="1" t="s">
        <v>2919</v>
      </c>
      <c r="D1039" s="1" t="s">
        <v>2907</v>
      </c>
      <c r="E1039" s="1" t="s">
        <v>2920</v>
      </c>
      <c r="F1039" s="1" t="s">
        <v>2041</v>
      </c>
      <c r="G1039" s="1" t="s">
        <v>2042</v>
      </c>
    </row>
    <row r="1040" spans="1:7">
      <c r="A1040" s="1">
        <v>2264</v>
      </c>
      <c r="B1040" s="1" t="s">
        <v>2921</v>
      </c>
      <c r="D1040" s="1" t="s">
        <v>2907</v>
      </c>
      <c r="E1040" s="1" t="s">
        <v>2922</v>
      </c>
      <c r="F1040" s="1" t="s">
        <v>2045</v>
      </c>
      <c r="G1040" s="1" t="s">
        <v>2046</v>
      </c>
    </row>
    <row r="1041" spans="1:7">
      <c r="A1041" s="1">
        <v>2265</v>
      </c>
      <c r="B1041" s="1" t="s">
        <v>2923</v>
      </c>
      <c r="D1041" s="1" t="s">
        <v>2907</v>
      </c>
      <c r="E1041" s="1" t="s">
        <v>2924</v>
      </c>
      <c r="F1041" s="1" t="s">
        <v>2049</v>
      </c>
      <c r="G1041" s="1" t="s">
        <v>2050</v>
      </c>
    </row>
    <row r="1042" spans="1:7">
      <c r="A1042" s="1">
        <v>2267</v>
      </c>
      <c r="B1042" s="1" t="s">
        <v>2925</v>
      </c>
      <c r="D1042" s="1" t="s">
        <v>2907</v>
      </c>
      <c r="E1042" s="1" t="s">
        <v>2926</v>
      </c>
      <c r="F1042" s="1" t="s">
        <v>161</v>
      </c>
      <c r="G1042" s="1" t="s">
        <v>162</v>
      </c>
    </row>
    <row r="1043" spans="1:7">
      <c r="A1043" s="1">
        <v>2268</v>
      </c>
      <c r="B1043" s="1" t="s">
        <v>2927</v>
      </c>
      <c r="D1043" s="1" t="s">
        <v>2907</v>
      </c>
      <c r="E1043" s="1" t="s">
        <v>2928</v>
      </c>
      <c r="F1043" s="1" t="s">
        <v>165</v>
      </c>
      <c r="G1043" s="1" t="s">
        <v>166</v>
      </c>
    </row>
    <row r="1044" spans="1:7">
      <c r="A1044" s="1">
        <v>2270</v>
      </c>
      <c r="B1044" s="1" t="s">
        <v>2929</v>
      </c>
      <c r="D1044" s="1" t="s">
        <v>2907</v>
      </c>
      <c r="E1044" s="1" t="s">
        <v>2930</v>
      </c>
      <c r="F1044" s="1" t="s">
        <v>2057</v>
      </c>
      <c r="G1044" s="1" t="s">
        <v>2058</v>
      </c>
    </row>
    <row r="1045" spans="1:7">
      <c r="A1045" s="1">
        <v>2271</v>
      </c>
      <c r="B1045" s="1" t="s">
        <v>2931</v>
      </c>
      <c r="D1045" s="1" t="s">
        <v>2907</v>
      </c>
      <c r="E1045" s="1" t="s">
        <v>2932</v>
      </c>
      <c r="F1045" s="1" t="s">
        <v>2061</v>
      </c>
      <c r="G1045" s="1" t="s">
        <v>2062</v>
      </c>
    </row>
    <row r="1046" spans="1:7">
      <c r="A1046" s="1">
        <v>2272</v>
      </c>
      <c r="B1046" s="1" t="s">
        <v>2933</v>
      </c>
      <c r="D1046" s="1" t="s">
        <v>2907</v>
      </c>
      <c r="E1046" s="1" t="s">
        <v>2934</v>
      </c>
      <c r="F1046" s="1" t="s">
        <v>2065</v>
      </c>
      <c r="G1046" s="1" t="s">
        <v>2058</v>
      </c>
    </row>
    <row r="1047" spans="1:7">
      <c r="A1047" s="1">
        <v>2273</v>
      </c>
      <c r="B1047" s="1" t="s">
        <v>2935</v>
      </c>
      <c r="D1047" s="1" t="s">
        <v>2907</v>
      </c>
      <c r="E1047" s="1" t="s">
        <v>2936</v>
      </c>
      <c r="F1047" s="1" t="s">
        <v>2068</v>
      </c>
      <c r="G1047" s="1" t="s">
        <v>2062</v>
      </c>
    </row>
    <row r="1048" spans="1:7">
      <c r="A1048" s="1">
        <v>2275</v>
      </c>
      <c r="B1048" s="1" t="s">
        <v>2937</v>
      </c>
      <c r="D1048" s="1" t="s">
        <v>2938</v>
      </c>
      <c r="E1048" s="1" t="s">
        <v>2939</v>
      </c>
      <c r="F1048" s="1" t="s">
        <v>541</v>
      </c>
      <c r="G1048" s="1" t="s">
        <v>542</v>
      </c>
    </row>
    <row r="1049" spans="1:7">
      <c r="A1049" s="1">
        <v>2276</v>
      </c>
      <c r="B1049" s="1" t="s">
        <v>2940</v>
      </c>
      <c r="D1049" s="1" t="s">
        <v>2938</v>
      </c>
      <c r="E1049" s="1" t="s">
        <v>2941</v>
      </c>
      <c r="F1049" s="1" t="s">
        <v>1557</v>
      </c>
      <c r="G1049" s="1" t="s">
        <v>1558</v>
      </c>
    </row>
    <row r="1050" spans="1:7">
      <c r="A1050" s="1">
        <v>2277</v>
      </c>
      <c r="B1050" s="1" t="s">
        <v>2942</v>
      </c>
      <c r="D1050" s="1" t="s">
        <v>2938</v>
      </c>
      <c r="E1050" s="1" t="s">
        <v>2943</v>
      </c>
      <c r="F1050" s="1" t="s">
        <v>1553</v>
      </c>
      <c r="G1050" s="1" t="s">
        <v>1554</v>
      </c>
    </row>
    <row r="1051" spans="1:7">
      <c r="A1051" s="1">
        <v>2278</v>
      </c>
      <c r="B1051" s="1" t="s">
        <v>2944</v>
      </c>
      <c r="D1051" s="1" t="s">
        <v>2938</v>
      </c>
      <c r="E1051" s="1" t="s">
        <v>2945</v>
      </c>
      <c r="F1051" s="1" t="s">
        <v>1561</v>
      </c>
      <c r="G1051" s="1" t="s">
        <v>1562</v>
      </c>
    </row>
    <row r="1052" spans="1:7">
      <c r="A1052" s="1">
        <v>2279</v>
      </c>
      <c r="B1052" s="1" t="s">
        <v>2946</v>
      </c>
      <c r="D1052" s="1" t="s">
        <v>2938</v>
      </c>
      <c r="E1052" s="1" t="s">
        <v>2947</v>
      </c>
      <c r="F1052" s="1" t="s">
        <v>2033</v>
      </c>
      <c r="G1052" s="1" t="s">
        <v>2034</v>
      </c>
    </row>
    <row r="1053" spans="1:7">
      <c r="A1053" s="1">
        <v>2280</v>
      </c>
      <c r="B1053" s="1" t="s">
        <v>2948</v>
      </c>
      <c r="D1053" s="1" t="s">
        <v>2938</v>
      </c>
      <c r="E1053" s="1" t="s">
        <v>2949</v>
      </c>
      <c r="F1053" s="1" t="s">
        <v>2037</v>
      </c>
      <c r="G1053" s="1" t="s">
        <v>2038</v>
      </c>
    </row>
    <row r="1054" spans="1:7">
      <c r="A1054" s="1">
        <v>2281</v>
      </c>
      <c r="B1054" s="1" t="s">
        <v>2950</v>
      </c>
      <c r="D1054" s="1" t="s">
        <v>2938</v>
      </c>
      <c r="E1054" s="1" t="s">
        <v>2951</v>
      </c>
      <c r="F1054" s="1" t="s">
        <v>2041</v>
      </c>
      <c r="G1054" s="1" t="s">
        <v>2042</v>
      </c>
    </row>
    <row r="1055" spans="1:7">
      <c r="A1055" s="1">
        <v>2282</v>
      </c>
      <c r="B1055" s="1" t="s">
        <v>2952</v>
      </c>
      <c r="D1055" s="1" t="s">
        <v>2938</v>
      </c>
      <c r="E1055" s="1" t="s">
        <v>2953</v>
      </c>
      <c r="F1055" s="1" t="s">
        <v>2045</v>
      </c>
      <c r="G1055" s="1" t="s">
        <v>2046</v>
      </c>
    </row>
    <row r="1056" spans="1:7">
      <c r="A1056" s="1">
        <v>2283</v>
      </c>
      <c r="B1056" s="1" t="s">
        <v>2954</v>
      </c>
      <c r="D1056" s="1" t="s">
        <v>2938</v>
      </c>
      <c r="E1056" s="1" t="s">
        <v>2955</v>
      </c>
      <c r="F1056" s="1" t="s">
        <v>2049</v>
      </c>
      <c r="G1056" s="1" t="s">
        <v>2050</v>
      </c>
    </row>
    <row r="1057" spans="1:7">
      <c r="A1057" s="1">
        <v>2285</v>
      </c>
      <c r="B1057" s="1" t="s">
        <v>2956</v>
      </c>
      <c r="D1057" s="1" t="s">
        <v>2938</v>
      </c>
      <c r="E1057" s="1" t="s">
        <v>2957</v>
      </c>
      <c r="F1057" s="1" t="s">
        <v>161</v>
      </c>
      <c r="G1057" s="1" t="s">
        <v>162</v>
      </c>
    </row>
    <row r="1058" spans="1:7">
      <c r="A1058" s="1">
        <v>2286</v>
      </c>
      <c r="B1058" s="1" t="s">
        <v>2958</v>
      </c>
      <c r="D1058" s="1" t="s">
        <v>2938</v>
      </c>
      <c r="E1058" s="1" t="s">
        <v>2959</v>
      </c>
      <c r="F1058" s="1" t="s">
        <v>165</v>
      </c>
      <c r="G1058" s="1" t="s">
        <v>166</v>
      </c>
    </row>
    <row r="1059" spans="1:7">
      <c r="A1059" s="1">
        <v>2288</v>
      </c>
      <c r="B1059" s="1" t="s">
        <v>2960</v>
      </c>
      <c r="D1059" s="1" t="s">
        <v>2938</v>
      </c>
      <c r="E1059" s="1" t="s">
        <v>2961</v>
      </c>
      <c r="F1059" s="1" t="s">
        <v>2057</v>
      </c>
      <c r="G1059" s="1" t="s">
        <v>2058</v>
      </c>
    </row>
    <row r="1060" spans="1:7">
      <c r="A1060" s="1">
        <v>2289</v>
      </c>
      <c r="B1060" s="1" t="s">
        <v>2962</v>
      </c>
      <c r="D1060" s="1" t="s">
        <v>2938</v>
      </c>
      <c r="E1060" s="1" t="s">
        <v>2963</v>
      </c>
      <c r="F1060" s="1" t="s">
        <v>2061</v>
      </c>
      <c r="G1060" s="1" t="s">
        <v>2062</v>
      </c>
    </row>
    <row r="1061" spans="1:7">
      <c r="A1061" s="1">
        <v>2290</v>
      </c>
      <c r="B1061" s="1" t="s">
        <v>2964</v>
      </c>
      <c r="D1061" s="1" t="s">
        <v>2938</v>
      </c>
      <c r="E1061" s="1" t="s">
        <v>2965</v>
      </c>
      <c r="F1061" s="1" t="s">
        <v>2065</v>
      </c>
      <c r="G1061" s="1" t="s">
        <v>2058</v>
      </c>
    </row>
    <row r="1062" spans="1:7">
      <c r="A1062" s="1">
        <v>2291</v>
      </c>
      <c r="B1062" s="1" t="s">
        <v>2966</v>
      </c>
      <c r="D1062" s="1" t="s">
        <v>2938</v>
      </c>
      <c r="E1062" s="1" t="s">
        <v>2967</v>
      </c>
      <c r="F1062" s="1" t="s">
        <v>2068</v>
      </c>
      <c r="G1062" s="1" t="s">
        <v>2062</v>
      </c>
    </row>
    <row r="1063" spans="1:7">
      <c r="A1063" s="1">
        <v>2293</v>
      </c>
      <c r="B1063" s="1" t="s">
        <v>2968</v>
      </c>
      <c r="D1063" s="1" t="s">
        <v>2969</v>
      </c>
      <c r="E1063" s="1" t="s">
        <v>2970</v>
      </c>
      <c r="F1063" s="1" t="s">
        <v>541</v>
      </c>
      <c r="G1063" s="1" t="s">
        <v>542</v>
      </c>
    </row>
    <row r="1064" spans="1:7">
      <c r="A1064" s="1">
        <v>2294</v>
      </c>
      <c r="B1064" s="1" t="s">
        <v>2971</v>
      </c>
      <c r="D1064" s="1" t="s">
        <v>2969</v>
      </c>
      <c r="E1064" s="1" t="s">
        <v>2972</v>
      </c>
      <c r="F1064" s="1" t="s">
        <v>1557</v>
      </c>
      <c r="G1064" s="1" t="s">
        <v>1558</v>
      </c>
    </row>
    <row r="1065" spans="1:7">
      <c r="A1065" s="1">
        <v>2295</v>
      </c>
      <c r="B1065" s="1" t="s">
        <v>2973</v>
      </c>
      <c r="D1065" s="1" t="s">
        <v>2969</v>
      </c>
      <c r="E1065" s="1" t="s">
        <v>2974</v>
      </c>
      <c r="F1065" s="1" t="s">
        <v>1553</v>
      </c>
      <c r="G1065" s="1" t="s">
        <v>1554</v>
      </c>
    </row>
    <row r="1066" spans="1:7">
      <c r="A1066" s="1">
        <v>2296</v>
      </c>
      <c r="B1066" s="1" t="s">
        <v>2975</v>
      </c>
      <c r="D1066" s="1" t="s">
        <v>2969</v>
      </c>
      <c r="E1066" s="1" t="s">
        <v>2976</v>
      </c>
      <c r="F1066" s="1" t="s">
        <v>1561</v>
      </c>
      <c r="G1066" s="1" t="s">
        <v>1562</v>
      </c>
    </row>
    <row r="1067" spans="1:7">
      <c r="A1067" s="1">
        <v>2297</v>
      </c>
      <c r="B1067" s="1" t="s">
        <v>2977</v>
      </c>
      <c r="D1067" s="1" t="s">
        <v>2969</v>
      </c>
      <c r="E1067" s="1" t="s">
        <v>2978</v>
      </c>
      <c r="F1067" s="1" t="s">
        <v>2033</v>
      </c>
      <c r="G1067" s="1" t="s">
        <v>2034</v>
      </c>
    </row>
    <row r="1068" spans="1:7">
      <c r="A1068" s="1">
        <v>2298</v>
      </c>
      <c r="B1068" s="1" t="s">
        <v>2979</v>
      </c>
      <c r="D1068" s="1" t="s">
        <v>2969</v>
      </c>
      <c r="E1068" s="1" t="s">
        <v>2980</v>
      </c>
      <c r="F1068" s="1" t="s">
        <v>2037</v>
      </c>
      <c r="G1068" s="1" t="s">
        <v>2038</v>
      </c>
    </row>
    <row r="1069" spans="1:7">
      <c r="A1069" s="1">
        <v>2299</v>
      </c>
      <c r="B1069" s="1" t="s">
        <v>2981</v>
      </c>
      <c r="D1069" s="1" t="s">
        <v>2969</v>
      </c>
      <c r="E1069" s="1" t="s">
        <v>2982</v>
      </c>
      <c r="F1069" s="1" t="s">
        <v>2041</v>
      </c>
      <c r="G1069" s="1" t="s">
        <v>2042</v>
      </c>
    </row>
    <row r="1070" spans="1:7">
      <c r="A1070" s="1">
        <v>2300</v>
      </c>
      <c r="B1070" s="1" t="s">
        <v>2983</v>
      </c>
      <c r="D1070" s="1" t="s">
        <v>2969</v>
      </c>
      <c r="E1070" s="1" t="s">
        <v>2984</v>
      </c>
      <c r="F1070" s="1" t="s">
        <v>2045</v>
      </c>
      <c r="G1070" s="1" t="s">
        <v>2046</v>
      </c>
    </row>
    <row r="1071" spans="1:7">
      <c r="A1071" s="1">
        <v>2301</v>
      </c>
      <c r="B1071" s="1" t="s">
        <v>2985</v>
      </c>
      <c r="D1071" s="1" t="s">
        <v>2969</v>
      </c>
      <c r="E1071" s="1" t="s">
        <v>2986</v>
      </c>
      <c r="F1071" s="1" t="s">
        <v>2049</v>
      </c>
      <c r="G1071" s="1" t="s">
        <v>2050</v>
      </c>
    </row>
    <row r="1072" spans="1:7">
      <c r="A1072" s="1">
        <v>2303</v>
      </c>
      <c r="B1072" s="1" t="s">
        <v>2987</v>
      </c>
      <c r="D1072" s="1" t="s">
        <v>2969</v>
      </c>
      <c r="E1072" s="1" t="s">
        <v>2988</v>
      </c>
      <c r="F1072" s="1" t="s">
        <v>161</v>
      </c>
      <c r="G1072" s="1" t="s">
        <v>162</v>
      </c>
    </row>
    <row r="1073" spans="1:7">
      <c r="A1073" s="1">
        <v>2304</v>
      </c>
      <c r="B1073" s="1" t="s">
        <v>2989</v>
      </c>
      <c r="D1073" s="1" t="s">
        <v>2969</v>
      </c>
      <c r="E1073" s="1" t="s">
        <v>2990</v>
      </c>
      <c r="F1073" s="1" t="s">
        <v>165</v>
      </c>
      <c r="G1073" s="1" t="s">
        <v>166</v>
      </c>
    </row>
    <row r="1074" spans="1:7">
      <c r="A1074" s="1">
        <v>2306</v>
      </c>
      <c r="B1074" s="1" t="s">
        <v>2991</v>
      </c>
      <c r="D1074" s="1" t="s">
        <v>2969</v>
      </c>
      <c r="E1074" s="1" t="s">
        <v>2992</v>
      </c>
      <c r="F1074" s="1" t="s">
        <v>2057</v>
      </c>
      <c r="G1074" s="1" t="s">
        <v>2058</v>
      </c>
    </row>
    <row r="1075" spans="1:7">
      <c r="A1075" s="1">
        <v>2307</v>
      </c>
      <c r="B1075" s="1" t="s">
        <v>2993</v>
      </c>
      <c r="D1075" s="1" t="s">
        <v>2969</v>
      </c>
      <c r="E1075" s="1" t="s">
        <v>2994</v>
      </c>
      <c r="F1075" s="1" t="s">
        <v>2061</v>
      </c>
      <c r="G1075" s="1" t="s">
        <v>2062</v>
      </c>
    </row>
    <row r="1076" spans="1:7">
      <c r="A1076" s="1">
        <v>2308</v>
      </c>
      <c r="B1076" s="1" t="s">
        <v>2995</v>
      </c>
      <c r="D1076" s="1" t="s">
        <v>2969</v>
      </c>
      <c r="E1076" s="1" t="s">
        <v>2996</v>
      </c>
      <c r="F1076" s="1" t="s">
        <v>2065</v>
      </c>
      <c r="G1076" s="1" t="s">
        <v>2058</v>
      </c>
    </row>
    <row r="1077" spans="1:7">
      <c r="A1077" s="1">
        <v>2309</v>
      </c>
      <c r="B1077" s="1" t="s">
        <v>2997</v>
      </c>
      <c r="D1077" s="1" t="s">
        <v>2969</v>
      </c>
      <c r="E1077" s="1" t="s">
        <v>2998</v>
      </c>
      <c r="F1077" s="1" t="s">
        <v>2068</v>
      </c>
      <c r="G1077" s="1" t="s">
        <v>2062</v>
      </c>
    </row>
    <row r="1078" spans="1:7">
      <c r="A1078" s="1">
        <v>2311</v>
      </c>
      <c r="B1078" s="1" t="s">
        <v>2999</v>
      </c>
      <c r="D1078" s="1" t="s">
        <v>3000</v>
      </c>
      <c r="E1078" s="1" t="s">
        <v>3001</v>
      </c>
      <c r="F1078" s="1" t="s">
        <v>541</v>
      </c>
      <c r="G1078" s="1" t="s">
        <v>542</v>
      </c>
    </row>
    <row r="1079" spans="1:7">
      <c r="A1079" s="1">
        <v>2312</v>
      </c>
      <c r="B1079" s="1" t="s">
        <v>3002</v>
      </c>
      <c r="D1079" s="1" t="s">
        <v>3000</v>
      </c>
      <c r="E1079" s="1" t="s">
        <v>3003</v>
      </c>
      <c r="F1079" s="1" t="s">
        <v>1557</v>
      </c>
      <c r="G1079" s="1" t="s">
        <v>1558</v>
      </c>
    </row>
    <row r="1080" spans="1:7">
      <c r="A1080" s="1">
        <v>2313</v>
      </c>
      <c r="B1080" s="1" t="s">
        <v>3004</v>
      </c>
      <c r="D1080" s="1" t="s">
        <v>3000</v>
      </c>
      <c r="E1080" s="1" t="s">
        <v>3005</v>
      </c>
      <c r="F1080" s="1" t="s">
        <v>1553</v>
      </c>
      <c r="G1080" s="1" t="s">
        <v>1554</v>
      </c>
    </row>
    <row r="1081" spans="1:7">
      <c r="A1081" s="1">
        <v>2314</v>
      </c>
      <c r="B1081" s="1" t="s">
        <v>3006</v>
      </c>
      <c r="D1081" s="1" t="s">
        <v>3000</v>
      </c>
      <c r="E1081" s="1" t="s">
        <v>3007</v>
      </c>
      <c r="F1081" s="1" t="s">
        <v>1561</v>
      </c>
      <c r="G1081" s="1" t="s">
        <v>1562</v>
      </c>
    </row>
    <row r="1082" spans="1:7">
      <c r="A1082" s="1">
        <v>2315</v>
      </c>
      <c r="B1082" s="1" t="s">
        <v>3008</v>
      </c>
      <c r="D1082" s="1" t="s">
        <v>3000</v>
      </c>
      <c r="E1082" s="1" t="s">
        <v>3009</v>
      </c>
      <c r="F1082" s="1" t="s">
        <v>2033</v>
      </c>
      <c r="G1082" s="1" t="s">
        <v>2034</v>
      </c>
    </row>
    <row r="1083" spans="1:7">
      <c r="A1083" s="1">
        <v>2316</v>
      </c>
      <c r="B1083" s="1" t="s">
        <v>3010</v>
      </c>
      <c r="D1083" s="1" t="s">
        <v>3000</v>
      </c>
      <c r="E1083" s="1" t="s">
        <v>3011</v>
      </c>
      <c r="F1083" s="1" t="s">
        <v>2037</v>
      </c>
      <c r="G1083" s="1" t="s">
        <v>2038</v>
      </c>
    </row>
    <row r="1084" spans="1:7">
      <c r="A1084" s="1">
        <v>2317</v>
      </c>
      <c r="B1084" s="1" t="s">
        <v>3012</v>
      </c>
      <c r="D1084" s="1" t="s">
        <v>3000</v>
      </c>
      <c r="E1084" s="1" t="s">
        <v>3013</v>
      </c>
      <c r="F1084" s="1" t="s">
        <v>2041</v>
      </c>
      <c r="G1084" s="1" t="s">
        <v>2042</v>
      </c>
    </row>
    <row r="1085" spans="1:7">
      <c r="A1085" s="1">
        <v>2318</v>
      </c>
      <c r="B1085" s="1" t="s">
        <v>3014</v>
      </c>
      <c r="D1085" s="1" t="s">
        <v>3000</v>
      </c>
      <c r="E1085" s="1" t="s">
        <v>3015</v>
      </c>
      <c r="F1085" s="1" t="s">
        <v>2045</v>
      </c>
      <c r="G1085" s="1" t="s">
        <v>2046</v>
      </c>
    </row>
    <row r="1086" spans="1:7">
      <c r="A1086" s="1">
        <v>2319</v>
      </c>
      <c r="B1086" s="1" t="s">
        <v>3016</v>
      </c>
      <c r="D1086" s="1" t="s">
        <v>3000</v>
      </c>
      <c r="E1086" s="1" t="s">
        <v>3017</v>
      </c>
      <c r="F1086" s="1" t="s">
        <v>2049</v>
      </c>
      <c r="G1086" s="1" t="s">
        <v>2050</v>
      </c>
    </row>
    <row r="1087" spans="1:7">
      <c r="A1087" s="1">
        <v>2321</v>
      </c>
      <c r="B1087" s="1" t="s">
        <v>3018</v>
      </c>
      <c r="D1087" s="1" t="s">
        <v>3000</v>
      </c>
      <c r="E1087" s="1" t="s">
        <v>3019</v>
      </c>
      <c r="F1087" s="1" t="s">
        <v>161</v>
      </c>
      <c r="G1087" s="1" t="s">
        <v>162</v>
      </c>
    </row>
    <row r="1088" spans="1:7">
      <c r="A1088" s="1">
        <v>2322</v>
      </c>
      <c r="B1088" s="1" t="s">
        <v>3020</v>
      </c>
      <c r="D1088" s="1" t="s">
        <v>3000</v>
      </c>
      <c r="E1088" s="1" t="s">
        <v>3021</v>
      </c>
      <c r="F1088" s="1" t="s">
        <v>165</v>
      </c>
      <c r="G1088" s="1" t="s">
        <v>166</v>
      </c>
    </row>
    <row r="1089" spans="1:7">
      <c r="A1089" s="1">
        <v>2324</v>
      </c>
      <c r="B1089" s="1" t="s">
        <v>3022</v>
      </c>
      <c r="D1089" s="1" t="s">
        <v>3000</v>
      </c>
      <c r="E1089" s="1" t="s">
        <v>3023</v>
      </c>
      <c r="F1089" s="1" t="s">
        <v>2057</v>
      </c>
      <c r="G1089" s="1" t="s">
        <v>2058</v>
      </c>
    </row>
    <row r="1090" spans="1:7">
      <c r="A1090" s="1">
        <v>2325</v>
      </c>
      <c r="B1090" s="1" t="s">
        <v>3024</v>
      </c>
      <c r="D1090" s="1" t="s">
        <v>3000</v>
      </c>
      <c r="E1090" s="1" t="s">
        <v>3025</v>
      </c>
      <c r="F1090" s="1" t="s">
        <v>2061</v>
      </c>
      <c r="G1090" s="1" t="s">
        <v>2062</v>
      </c>
    </row>
    <row r="1091" spans="1:7">
      <c r="A1091" s="1">
        <v>2326</v>
      </c>
      <c r="B1091" s="1" t="s">
        <v>3026</v>
      </c>
      <c r="D1091" s="1" t="s">
        <v>3000</v>
      </c>
      <c r="E1091" s="1" t="s">
        <v>3027</v>
      </c>
      <c r="F1091" s="1" t="s">
        <v>2065</v>
      </c>
      <c r="G1091" s="1" t="s">
        <v>2058</v>
      </c>
    </row>
    <row r="1092" spans="1:7">
      <c r="A1092" s="1">
        <v>2327</v>
      </c>
      <c r="B1092" s="1" t="s">
        <v>3028</v>
      </c>
      <c r="D1092" s="1" t="s">
        <v>3000</v>
      </c>
      <c r="E1092" s="1" t="s">
        <v>3029</v>
      </c>
      <c r="F1092" s="1" t="s">
        <v>2068</v>
      </c>
      <c r="G1092" s="1" t="s">
        <v>2062</v>
      </c>
    </row>
    <row r="1093" spans="1:7">
      <c r="A1093" s="1">
        <v>2329</v>
      </c>
      <c r="B1093" s="1" t="s">
        <v>3030</v>
      </c>
      <c r="D1093" s="1" t="s">
        <v>3031</v>
      </c>
      <c r="E1093" s="1" t="s">
        <v>3032</v>
      </c>
      <c r="F1093" s="1" t="s">
        <v>541</v>
      </c>
      <c r="G1093" s="1" t="s">
        <v>542</v>
      </c>
    </row>
    <row r="1094" spans="1:7">
      <c r="A1094" s="1">
        <v>2330</v>
      </c>
      <c r="B1094" s="1" t="s">
        <v>3033</v>
      </c>
      <c r="D1094" s="1" t="s">
        <v>3031</v>
      </c>
      <c r="E1094" s="1" t="s">
        <v>3034</v>
      </c>
      <c r="F1094" s="1" t="s">
        <v>1557</v>
      </c>
      <c r="G1094" s="1" t="s">
        <v>1558</v>
      </c>
    </row>
    <row r="1095" spans="1:7">
      <c r="A1095" s="1">
        <v>2331</v>
      </c>
      <c r="B1095" s="1" t="s">
        <v>3035</v>
      </c>
      <c r="D1095" s="1" t="s">
        <v>3031</v>
      </c>
      <c r="E1095" s="1" t="s">
        <v>3036</v>
      </c>
      <c r="F1095" s="1" t="s">
        <v>1553</v>
      </c>
      <c r="G1095" s="1" t="s">
        <v>1554</v>
      </c>
    </row>
    <row r="1096" spans="1:7">
      <c r="A1096" s="1">
        <v>2332</v>
      </c>
      <c r="B1096" s="1" t="s">
        <v>3037</v>
      </c>
      <c r="D1096" s="1" t="s">
        <v>3031</v>
      </c>
      <c r="E1096" s="1" t="s">
        <v>3038</v>
      </c>
      <c r="F1096" s="1" t="s">
        <v>1561</v>
      </c>
      <c r="G1096" s="1" t="s">
        <v>1562</v>
      </c>
    </row>
    <row r="1097" spans="1:7">
      <c r="A1097" s="1">
        <v>2333</v>
      </c>
      <c r="B1097" s="1" t="s">
        <v>3039</v>
      </c>
      <c r="D1097" s="1" t="s">
        <v>3031</v>
      </c>
      <c r="E1097" s="1" t="s">
        <v>3040</v>
      </c>
      <c r="F1097" s="1" t="s">
        <v>2033</v>
      </c>
      <c r="G1097" s="1" t="s">
        <v>2034</v>
      </c>
    </row>
    <row r="1098" spans="1:7">
      <c r="A1098" s="1">
        <v>2334</v>
      </c>
      <c r="B1098" s="1" t="s">
        <v>3041</v>
      </c>
      <c r="D1098" s="1" t="s">
        <v>3031</v>
      </c>
      <c r="E1098" s="1" t="s">
        <v>3042</v>
      </c>
      <c r="F1098" s="1" t="s">
        <v>2037</v>
      </c>
      <c r="G1098" s="1" t="s">
        <v>2038</v>
      </c>
    </row>
    <row r="1099" spans="1:7">
      <c r="A1099" s="1">
        <v>2335</v>
      </c>
      <c r="B1099" s="1" t="s">
        <v>3043</v>
      </c>
      <c r="D1099" s="1" t="s">
        <v>3031</v>
      </c>
      <c r="E1099" s="1" t="s">
        <v>3044</v>
      </c>
      <c r="F1099" s="1" t="s">
        <v>2041</v>
      </c>
      <c r="G1099" s="1" t="s">
        <v>2042</v>
      </c>
    </row>
    <row r="1100" spans="1:7">
      <c r="A1100" s="1">
        <v>2336</v>
      </c>
      <c r="B1100" s="1" t="s">
        <v>3045</v>
      </c>
      <c r="D1100" s="1" t="s">
        <v>3031</v>
      </c>
      <c r="E1100" s="1" t="s">
        <v>3046</v>
      </c>
      <c r="F1100" s="1" t="s">
        <v>2045</v>
      </c>
      <c r="G1100" s="1" t="s">
        <v>2046</v>
      </c>
    </row>
    <row r="1101" spans="1:7">
      <c r="A1101" s="1">
        <v>2337</v>
      </c>
      <c r="B1101" s="1" t="s">
        <v>3047</v>
      </c>
      <c r="D1101" s="1" t="s">
        <v>3031</v>
      </c>
      <c r="E1101" s="1" t="s">
        <v>3048</v>
      </c>
      <c r="F1101" s="1" t="s">
        <v>2049</v>
      </c>
      <c r="G1101" s="1" t="s">
        <v>2050</v>
      </c>
    </row>
    <row r="1102" spans="1:7">
      <c r="A1102" s="1">
        <v>2339</v>
      </c>
      <c r="B1102" s="1" t="s">
        <v>3049</v>
      </c>
      <c r="D1102" s="1" t="s">
        <v>3031</v>
      </c>
      <c r="E1102" s="1" t="s">
        <v>3050</v>
      </c>
      <c r="F1102" s="1" t="s">
        <v>161</v>
      </c>
      <c r="G1102" s="1" t="s">
        <v>162</v>
      </c>
    </row>
    <row r="1103" spans="1:7">
      <c r="A1103" s="1">
        <v>2340</v>
      </c>
      <c r="B1103" s="1" t="s">
        <v>3051</v>
      </c>
      <c r="D1103" s="1" t="s">
        <v>3031</v>
      </c>
      <c r="E1103" s="1" t="s">
        <v>3052</v>
      </c>
      <c r="F1103" s="1" t="s">
        <v>165</v>
      </c>
      <c r="G1103" s="1" t="s">
        <v>166</v>
      </c>
    </row>
    <row r="1104" spans="1:7">
      <c r="A1104" s="1">
        <v>2342</v>
      </c>
      <c r="B1104" s="1" t="s">
        <v>3053</v>
      </c>
      <c r="D1104" s="1" t="s">
        <v>3031</v>
      </c>
      <c r="E1104" s="1" t="s">
        <v>3054</v>
      </c>
      <c r="F1104" s="1" t="s">
        <v>2057</v>
      </c>
      <c r="G1104" s="1" t="s">
        <v>2058</v>
      </c>
    </row>
    <row r="1105" spans="1:7">
      <c r="A1105" s="1">
        <v>2343</v>
      </c>
      <c r="B1105" s="1" t="s">
        <v>3055</v>
      </c>
      <c r="D1105" s="1" t="s">
        <v>3031</v>
      </c>
      <c r="E1105" s="1" t="s">
        <v>3056</v>
      </c>
      <c r="F1105" s="1" t="s">
        <v>2061</v>
      </c>
      <c r="G1105" s="1" t="s">
        <v>2062</v>
      </c>
    </row>
    <row r="1106" spans="1:7">
      <c r="A1106" s="1">
        <v>2344</v>
      </c>
      <c r="B1106" s="1" t="s">
        <v>3057</v>
      </c>
      <c r="D1106" s="1" t="s">
        <v>3031</v>
      </c>
      <c r="E1106" s="1" t="s">
        <v>3058</v>
      </c>
      <c r="F1106" s="1" t="s">
        <v>2065</v>
      </c>
      <c r="G1106" s="1" t="s">
        <v>2058</v>
      </c>
    </row>
    <row r="1107" spans="1:7">
      <c r="A1107" s="1">
        <v>2345</v>
      </c>
      <c r="B1107" s="1" t="s">
        <v>3059</v>
      </c>
      <c r="D1107" s="1" t="s">
        <v>3031</v>
      </c>
      <c r="E1107" s="1" t="s">
        <v>3060</v>
      </c>
      <c r="F1107" s="1" t="s">
        <v>2068</v>
      </c>
      <c r="G1107" s="1" t="s">
        <v>2062</v>
      </c>
    </row>
    <row r="1108" spans="1:7">
      <c r="A1108" s="1">
        <v>2347</v>
      </c>
      <c r="B1108" s="1" t="s">
        <v>3061</v>
      </c>
      <c r="D1108" s="1" t="s">
        <v>3062</v>
      </c>
      <c r="E1108" s="1" t="s">
        <v>3063</v>
      </c>
      <c r="F1108" s="1" t="s">
        <v>541</v>
      </c>
      <c r="G1108" s="1" t="s">
        <v>542</v>
      </c>
    </row>
    <row r="1109" spans="1:7">
      <c r="A1109" s="1">
        <v>2348</v>
      </c>
      <c r="B1109" s="1" t="s">
        <v>3064</v>
      </c>
      <c r="D1109" s="1" t="s">
        <v>3062</v>
      </c>
      <c r="E1109" s="1" t="s">
        <v>3065</v>
      </c>
      <c r="F1109" s="1" t="s">
        <v>1557</v>
      </c>
      <c r="G1109" s="1" t="s">
        <v>1558</v>
      </c>
    </row>
    <row r="1110" spans="1:7">
      <c r="A1110" s="1">
        <v>2349</v>
      </c>
      <c r="B1110" s="1" t="s">
        <v>3066</v>
      </c>
      <c r="D1110" s="1" t="s">
        <v>3062</v>
      </c>
      <c r="E1110" s="1" t="s">
        <v>3067</v>
      </c>
      <c r="F1110" s="1" t="s">
        <v>1553</v>
      </c>
      <c r="G1110" s="1" t="s">
        <v>1554</v>
      </c>
    </row>
    <row r="1111" spans="1:7">
      <c r="A1111" s="1">
        <v>2350</v>
      </c>
      <c r="B1111" s="1" t="s">
        <v>3068</v>
      </c>
      <c r="D1111" s="1" t="s">
        <v>3062</v>
      </c>
      <c r="E1111" s="1" t="s">
        <v>3069</v>
      </c>
      <c r="F1111" s="1" t="s">
        <v>1561</v>
      </c>
      <c r="G1111" s="1" t="s">
        <v>1562</v>
      </c>
    </row>
    <row r="1112" spans="1:7">
      <c r="A1112" s="1">
        <v>2351</v>
      </c>
      <c r="B1112" s="1" t="s">
        <v>3070</v>
      </c>
      <c r="D1112" s="1" t="s">
        <v>3062</v>
      </c>
      <c r="E1112" s="1" t="s">
        <v>3071</v>
      </c>
      <c r="F1112" s="1" t="s">
        <v>2033</v>
      </c>
      <c r="G1112" s="1" t="s">
        <v>2034</v>
      </c>
    </row>
    <row r="1113" spans="1:7">
      <c r="A1113" s="1">
        <v>2352</v>
      </c>
      <c r="B1113" s="1" t="s">
        <v>3072</v>
      </c>
      <c r="D1113" s="1" t="s">
        <v>3062</v>
      </c>
      <c r="E1113" s="1" t="s">
        <v>3073</v>
      </c>
      <c r="F1113" s="1" t="s">
        <v>2037</v>
      </c>
      <c r="G1113" s="1" t="s">
        <v>2038</v>
      </c>
    </row>
    <row r="1114" spans="1:7">
      <c r="A1114" s="1">
        <v>2353</v>
      </c>
      <c r="B1114" s="1" t="s">
        <v>3074</v>
      </c>
      <c r="D1114" s="1" t="s">
        <v>3062</v>
      </c>
      <c r="E1114" s="1" t="s">
        <v>3075</v>
      </c>
      <c r="F1114" s="1" t="s">
        <v>2041</v>
      </c>
      <c r="G1114" s="1" t="s">
        <v>2042</v>
      </c>
    </row>
    <row r="1115" spans="1:7">
      <c r="A1115" s="1">
        <v>2354</v>
      </c>
      <c r="B1115" s="1" t="s">
        <v>3076</v>
      </c>
      <c r="D1115" s="1" t="s">
        <v>3062</v>
      </c>
      <c r="E1115" s="1" t="s">
        <v>3077</v>
      </c>
      <c r="F1115" s="1" t="s">
        <v>2045</v>
      </c>
      <c r="G1115" s="1" t="s">
        <v>2046</v>
      </c>
    </row>
    <row r="1116" spans="1:7">
      <c r="A1116" s="1">
        <v>2355</v>
      </c>
      <c r="B1116" s="1" t="s">
        <v>3078</v>
      </c>
      <c r="D1116" s="1" t="s">
        <v>3062</v>
      </c>
      <c r="E1116" s="1" t="s">
        <v>3079</v>
      </c>
      <c r="F1116" s="1" t="s">
        <v>2049</v>
      </c>
      <c r="G1116" s="1" t="s">
        <v>2050</v>
      </c>
    </row>
    <row r="1117" spans="1:7">
      <c r="A1117" s="1">
        <v>2357</v>
      </c>
      <c r="B1117" s="1" t="s">
        <v>3080</v>
      </c>
      <c r="D1117" s="1" t="s">
        <v>3062</v>
      </c>
      <c r="E1117" s="1" t="s">
        <v>3081</v>
      </c>
      <c r="F1117" s="1" t="s">
        <v>161</v>
      </c>
      <c r="G1117" s="1" t="s">
        <v>162</v>
      </c>
    </row>
    <row r="1118" spans="1:7">
      <c r="A1118" s="1">
        <v>2358</v>
      </c>
      <c r="B1118" s="1" t="s">
        <v>3082</v>
      </c>
      <c r="D1118" s="1" t="s">
        <v>3062</v>
      </c>
      <c r="E1118" s="1" t="s">
        <v>3083</v>
      </c>
      <c r="F1118" s="1" t="s">
        <v>165</v>
      </c>
      <c r="G1118" s="1" t="s">
        <v>166</v>
      </c>
    </row>
    <row r="1119" spans="1:7">
      <c r="A1119" s="1">
        <v>2360</v>
      </c>
      <c r="B1119" s="1" t="s">
        <v>3084</v>
      </c>
      <c r="D1119" s="1" t="s">
        <v>3062</v>
      </c>
      <c r="E1119" s="1" t="s">
        <v>3085</v>
      </c>
      <c r="F1119" s="1" t="s">
        <v>2057</v>
      </c>
      <c r="G1119" s="1" t="s">
        <v>2058</v>
      </c>
    </row>
    <row r="1120" spans="1:7">
      <c r="A1120" s="1">
        <v>2361</v>
      </c>
      <c r="B1120" s="1" t="s">
        <v>3086</v>
      </c>
      <c r="D1120" s="1" t="s">
        <v>3062</v>
      </c>
      <c r="E1120" s="1" t="s">
        <v>3087</v>
      </c>
      <c r="F1120" s="1" t="s">
        <v>2061</v>
      </c>
      <c r="G1120" s="1" t="s">
        <v>2062</v>
      </c>
    </row>
    <row r="1121" spans="1:7">
      <c r="A1121" s="1">
        <v>2362</v>
      </c>
      <c r="B1121" s="1" t="s">
        <v>3088</v>
      </c>
      <c r="D1121" s="1" t="s">
        <v>3062</v>
      </c>
      <c r="E1121" s="1" t="s">
        <v>3089</v>
      </c>
      <c r="F1121" s="1" t="s">
        <v>2065</v>
      </c>
      <c r="G1121" s="1" t="s">
        <v>2058</v>
      </c>
    </row>
    <row r="1122" spans="1:7">
      <c r="A1122" s="1">
        <v>2363</v>
      </c>
      <c r="B1122" s="1" t="s">
        <v>3090</v>
      </c>
      <c r="D1122" s="1" t="s">
        <v>3062</v>
      </c>
      <c r="E1122" s="1" t="s">
        <v>3091</v>
      </c>
      <c r="F1122" s="1" t="s">
        <v>2068</v>
      </c>
      <c r="G1122" s="1" t="s">
        <v>2062</v>
      </c>
    </row>
    <row r="1123" spans="1:7">
      <c r="A1123" s="1">
        <v>2365</v>
      </c>
      <c r="B1123" s="1" t="s">
        <v>3092</v>
      </c>
      <c r="D1123" s="1" t="s">
        <v>3093</v>
      </c>
      <c r="E1123" s="1" t="s">
        <v>3094</v>
      </c>
      <c r="F1123" s="1" t="s">
        <v>541</v>
      </c>
      <c r="G1123" s="1" t="s">
        <v>542</v>
      </c>
    </row>
    <row r="1124" spans="1:7">
      <c r="A1124" s="1">
        <v>2366</v>
      </c>
      <c r="B1124" s="1" t="s">
        <v>3095</v>
      </c>
      <c r="D1124" s="1" t="s">
        <v>3093</v>
      </c>
      <c r="E1124" s="1" t="s">
        <v>3096</v>
      </c>
      <c r="F1124" s="1" t="s">
        <v>1557</v>
      </c>
      <c r="G1124" s="1" t="s">
        <v>1558</v>
      </c>
    </row>
    <row r="1125" spans="1:7">
      <c r="A1125" s="1">
        <v>2367</v>
      </c>
      <c r="B1125" s="1" t="s">
        <v>3097</v>
      </c>
      <c r="D1125" s="1" t="s">
        <v>3093</v>
      </c>
      <c r="E1125" s="1" t="s">
        <v>3098</v>
      </c>
      <c r="F1125" s="1" t="s">
        <v>1553</v>
      </c>
      <c r="G1125" s="1" t="s">
        <v>1554</v>
      </c>
    </row>
    <row r="1126" spans="1:7">
      <c r="A1126" s="1">
        <v>2368</v>
      </c>
      <c r="B1126" s="1" t="s">
        <v>3099</v>
      </c>
      <c r="D1126" s="1" t="s">
        <v>3093</v>
      </c>
      <c r="E1126" s="1" t="s">
        <v>3100</v>
      </c>
      <c r="F1126" s="1" t="s">
        <v>1561</v>
      </c>
      <c r="G1126" s="1" t="s">
        <v>1562</v>
      </c>
    </row>
    <row r="1127" spans="1:7">
      <c r="A1127" s="1">
        <v>2369</v>
      </c>
      <c r="B1127" s="1" t="s">
        <v>3101</v>
      </c>
      <c r="D1127" s="1" t="s">
        <v>3093</v>
      </c>
      <c r="E1127" s="1" t="s">
        <v>3102</v>
      </c>
      <c r="F1127" s="1" t="s">
        <v>2033</v>
      </c>
      <c r="G1127" s="1" t="s">
        <v>2034</v>
      </c>
    </row>
    <row r="1128" spans="1:7">
      <c r="A1128" s="1">
        <v>2370</v>
      </c>
      <c r="B1128" s="1" t="s">
        <v>3103</v>
      </c>
      <c r="D1128" s="1" t="s">
        <v>3093</v>
      </c>
      <c r="E1128" s="1" t="s">
        <v>3104</v>
      </c>
      <c r="F1128" s="1" t="s">
        <v>2037</v>
      </c>
      <c r="G1128" s="1" t="s">
        <v>2038</v>
      </c>
    </row>
    <row r="1129" spans="1:7">
      <c r="A1129" s="1">
        <v>2371</v>
      </c>
      <c r="B1129" s="1" t="s">
        <v>3105</v>
      </c>
      <c r="D1129" s="1" t="s">
        <v>3093</v>
      </c>
      <c r="E1129" s="1" t="s">
        <v>3106</v>
      </c>
      <c r="F1129" s="1" t="s">
        <v>2041</v>
      </c>
      <c r="G1129" s="1" t="s">
        <v>2042</v>
      </c>
    </row>
    <row r="1130" spans="1:7">
      <c r="A1130" s="1">
        <v>2372</v>
      </c>
      <c r="B1130" s="1" t="s">
        <v>3107</v>
      </c>
      <c r="D1130" s="1" t="s">
        <v>3093</v>
      </c>
      <c r="E1130" s="1" t="s">
        <v>3108</v>
      </c>
      <c r="F1130" s="1" t="s">
        <v>2045</v>
      </c>
      <c r="G1130" s="1" t="s">
        <v>2046</v>
      </c>
    </row>
    <row r="1131" spans="1:7">
      <c r="A1131" s="1">
        <v>2373</v>
      </c>
      <c r="B1131" s="1" t="s">
        <v>3109</v>
      </c>
      <c r="D1131" s="1" t="s">
        <v>3093</v>
      </c>
      <c r="E1131" s="1" t="s">
        <v>3110</v>
      </c>
      <c r="F1131" s="1" t="s">
        <v>2049</v>
      </c>
      <c r="G1131" s="1" t="s">
        <v>2050</v>
      </c>
    </row>
    <row r="1132" spans="1:7">
      <c r="A1132" s="1">
        <v>2375</v>
      </c>
      <c r="B1132" s="1" t="s">
        <v>3111</v>
      </c>
      <c r="D1132" s="1" t="s">
        <v>3093</v>
      </c>
      <c r="E1132" s="1" t="s">
        <v>3112</v>
      </c>
      <c r="F1132" s="1" t="s">
        <v>161</v>
      </c>
      <c r="G1132" s="1" t="s">
        <v>162</v>
      </c>
    </row>
    <row r="1133" spans="1:7">
      <c r="A1133" s="1">
        <v>2376</v>
      </c>
      <c r="B1133" s="1" t="s">
        <v>3113</v>
      </c>
      <c r="D1133" s="1" t="s">
        <v>3093</v>
      </c>
      <c r="E1133" s="1" t="s">
        <v>3114</v>
      </c>
      <c r="F1133" s="1" t="s">
        <v>165</v>
      </c>
      <c r="G1133" s="1" t="s">
        <v>166</v>
      </c>
    </row>
    <row r="1134" spans="1:7">
      <c r="A1134" s="1">
        <v>2378</v>
      </c>
      <c r="B1134" s="1" t="s">
        <v>3115</v>
      </c>
      <c r="D1134" s="1" t="s">
        <v>3093</v>
      </c>
      <c r="E1134" s="1" t="s">
        <v>3116</v>
      </c>
      <c r="F1134" s="1" t="s">
        <v>2057</v>
      </c>
      <c r="G1134" s="1" t="s">
        <v>2058</v>
      </c>
    </row>
    <row r="1135" spans="1:7">
      <c r="A1135" s="1">
        <v>2379</v>
      </c>
      <c r="B1135" s="1" t="s">
        <v>3117</v>
      </c>
      <c r="D1135" s="1" t="s">
        <v>3093</v>
      </c>
      <c r="E1135" s="1" t="s">
        <v>3118</v>
      </c>
      <c r="F1135" s="1" t="s">
        <v>2061</v>
      </c>
      <c r="G1135" s="1" t="s">
        <v>2062</v>
      </c>
    </row>
    <row r="1136" spans="1:7">
      <c r="A1136" s="1">
        <v>2380</v>
      </c>
      <c r="B1136" s="1" t="s">
        <v>3119</v>
      </c>
      <c r="D1136" s="1" t="s">
        <v>3093</v>
      </c>
      <c r="E1136" s="1" t="s">
        <v>3120</v>
      </c>
      <c r="F1136" s="1" t="s">
        <v>2065</v>
      </c>
      <c r="G1136" s="1" t="s">
        <v>2058</v>
      </c>
    </row>
    <row r="1137" spans="1:7">
      <c r="A1137" s="1">
        <v>2381</v>
      </c>
      <c r="B1137" s="1" t="s">
        <v>3121</v>
      </c>
      <c r="D1137" s="1" t="s">
        <v>3093</v>
      </c>
      <c r="E1137" s="1" t="s">
        <v>3122</v>
      </c>
      <c r="F1137" s="1" t="s">
        <v>2068</v>
      </c>
      <c r="G1137" s="1" t="s">
        <v>2062</v>
      </c>
    </row>
    <row r="1138" spans="1:7">
      <c r="A1138" s="1">
        <v>2383</v>
      </c>
      <c r="B1138" s="1" t="s">
        <v>3123</v>
      </c>
      <c r="D1138" s="1" t="s">
        <v>3124</v>
      </c>
      <c r="E1138" s="1" t="s">
        <v>3125</v>
      </c>
      <c r="F1138" s="1" t="s">
        <v>541</v>
      </c>
      <c r="G1138" s="1" t="s">
        <v>542</v>
      </c>
    </row>
    <row r="1139" spans="1:7">
      <c r="A1139" s="1">
        <v>2384</v>
      </c>
      <c r="B1139" s="1" t="s">
        <v>3126</v>
      </c>
      <c r="D1139" s="1" t="s">
        <v>3124</v>
      </c>
      <c r="E1139" s="1" t="s">
        <v>3127</v>
      </c>
      <c r="F1139" s="1" t="s">
        <v>1557</v>
      </c>
      <c r="G1139" s="1" t="s">
        <v>1558</v>
      </c>
    </row>
    <row r="1140" spans="1:7">
      <c r="A1140" s="1">
        <v>2385</v>
      </c>
      <c r="B1140" s="1" t="s">
        <v>3128</v>
      </c>
      <c r="D1140" s="1" t="s">
        <v>3124</v>
      </c>
      <c r="E1140" s="1" t="s">
        <v>3129</v>
      </c>
      <c r="F1140" s="1" t="s">
        <v>1553</v>
      </c>
      <c r="G1140" s="1" t="s">
        <v>1554</v>
      </c>
    </row>
    <row r="1141" spans="1:7">
      <c r="A1141" s="1">
        <v>2386</v>
      </c>
      <c r="B1141" s="1" t="s">
        <v>3130</v>
      </c>
      <c r="D1141" s="1" t="s">
        <v>3124</v>
      </c>
      <c r="E1141" s="1" t="s">
        <v>3131</v>
      </c>
      <c r="F1141" s="1" t="s">
        <v>1561</v>
      </c>
      <c r="G1141" s="1" t="s">
        <v>1562</v>
      </c>
    </row>
    <row r="1142" spans="1:7">
      <c r="A1142" s="1">
        <v>2387</v>
      </c>
      <c r="B1142" s="1" t="s">
        <v>3132</v>
      </c>
      <c r="D1142" s="1" t="s">
        <v>3124</v>
      </c>
      <c r="E1142" s="1" t="s">
        <v>3133</v>
      </c>
      <c r="F1142" s="1" t="s">
        <v>2033</v>
      </c>
      <c r="G1142" s="1" t="s">
        <v>2034</v>
      </c>
    </row>
    <row r="1143" spans="1:7">
      <c r="A1143" s="1">
        <v>2388</v>
      </c>
      <c r="B1143" s="1" t="s">
        <v>3134</v>
      </c>
      <c r="D1143" s="1" t="s">
        <v>3124</v>
      </c>
      <c r="E1143" s="1" t="s">
        <v>3135</v>
      </c>
      <c r="F1143" s="1" t="s">
        <v>2037</v>
      </c>
      <c r="G1143" s="1" t="s">
        <v>2038</v>
      </c>
    </row>
    <row r="1144" spans="1:7">
      <c r="A1144" s="1">
        <v>2389</v>
      </c>
      <c r="B1144" s="1" t="s">
        <v>3136</v>
      </c>
      <c r="D1144" s="1" t="s">
        <v>3124</v>
      </c>
      <c r="E1144" s="1" t="s">
        <v>3137</v>
      </c>
      <c r="F1144" s="1" t="s">
        <v>2041</v>
      </c>
      <c r="G1144" s="1" t="s">
        <v>2042</v>
      </c>
    </row>
    <row r="1145" spans="1:7">
      <c r="A1145" s="1">
        <v>2390</v>
      </c>
      <c r="B1145" s="1" t="s">
        <v>3138</v>
      </c>
      <c r="D1145" s="1" t="s">
        <v>3124</v>
      </c>
      <c r="E1145" s="1" t="s">
        <v>3139</v>
      </c>
      <c r="F1145" s="1" t="s">
        <v>2045</v>
      </c>
      <c r="G1145" s="1" t="s">
        <v>2046</v>
      </c>
    </row>
    <row r="1146" spans="1:7">
      <c r="A1146" s="1">
        <v>2391</v>
      </c>
      <c r="B1146" s="1" t="s">
        <v>3140</v>
      </c>
      <c r="D1146" s="1" t="s">
        <v>3124</v>
      </c>
      <c r="E1146" s="1" t="s">
        <v>3141</v>
      </c>
      <c r="F1146" s="1" t="s">
        <v>2049</v>
      </c>
      <c r="G1146" s="1" t="s">
        <v>2050</v>
      </c>
    </row>
    <row r="1147" spans="1:7">
      <c r="A1147" s="1">
        <v>2393</v>
      </c>
      <c r="B1147" s="1" t="s">
        <v>3142</v>
      </c>
      <c r="D1147" s="1" t="s">
        <v>3124</v>
      </c>
      <c r="E1147" s="1" t="s">
        <v>3143</v>
      </c>
      <c r="F1147" s="1" t="s">
        <v>161</v>
      </c>
      <c r="G1147" s="1" t="s">
        <v>162</v>
      </c>
    </row>
    <row r="1148" spans="1:7">
      <c r="A1148" s="1">
        <v>2394</v>
      </c>
      <c r="B1148" s="1" t="s">
        <v>3144</v>
      </c>
      <c r="D1148" s="1" t="s">
        <v>3124</v>
      </c>
      <c r="E1148" s="1" t="s">
        <v>3145</v>
      </c>
      <c r="F1148" s="1" t="s">
        <v>165</v>
      </c>
      <c r="G1148" s="1" t="s">
        <v>166</v>
      </c>
    </row>
    <row r="1149" spans="1:7">
      <c r="A1149" s="1">
        <v>2396</v>
      </c>
      <c r="B1149" s="1" t="s">
        <v>3146</v>
      </c>
      <c r="D1149" s="1" t="s">
        <v>3124</v>
      </c>
      <c r="E1149" s="1" t="s">
        <v>3147</v>
      </c>
      <c r="F1149" s="1" t="s">
        <v>2057</v>
      </c>
      <c r="G1149" s="1" t="s">
        <v>2058</v>
      </c>
    </row>
    <row r="1150" spans="1:7">
      <c r="A1150" s="1">
        <v>2397</v>
      </c>
      <c r="B1150" s="1" t="s">
        <v>3148</v>
      </c>
      <c r="D1150" s="1" t="s">
        <v>3124</v>
      </c>
      <c r="E1150" s="1" t="s">
        <v>3149</v>
      </c>
      <c r="F1150" s="1" t="s">
        <v>2061</v>
      </c>
      <c r="G1150" s="1" t="s">
        <v>2062</v>
      </c>
    </row>
    <row r="1151" spans="1:7">
      <c r="A1151" s="1">
        <v>2398</v>
      </c>
      <c r="B1151" s="1" t="s">
        <v>3150</v>
      </c>
      <c r="D1151" s="1" t="s">
        <v>3124</v>
      </c>
      <c r="E1151" s="1" t="s">
        <v>3151</v>
      </c>
      <c r="F1151" s="1" t="s">
        <v>2065</v>
      </c>
      <c r="G1151" s="1" t="s">
        <v>2058</v>
      </c>
    </row>
    <row r="1152" spans="1:7">
      <c r="A1152" s="1">
        <v>2399</v>
      </c>
      <c r="B1152" s="1" t="s">
        <v>3152</v>
      </c>
      <c r="D1152" s="1" t="s">
        <v>3124</v>
      </c>
      <c r="E1152" s="1" t="s">
        <v>3153</v>
      </c>
      <c r="F1152" s="1" t="s">
        <v>2068</v>
      </c>
      <c r="G1152" s="1" t="s">
        <v>2062</v>
      </c>
    </row>
    <row r="1153" spans="1:7">
      <c r="A1153" s="1">
        <v>2401</v>
      </c>
      <c r="B1153" s="1" t="s">
        <v>3154</v>
      </c>
      <c r="D1153" s="1" t="s">
        <v>3155</v>
      </c>
      <c r="E1153" s="1" t="s">
        <v>3156</v>
      </c>
      <c r="F1153" s="1" t="s">
        <v>541</v>
      </c>
      <c r="G1153" s="1" t="s">
        <v>542</v>
      </c>
    </row>
    <row r="1154" spans="1:7">
      <c r="A1154" s="1">
        <v>2402</v>
      </c>
      <c r="B1154" s="1" t="s">
        <v>3157</v>
      </c>
      <c r="D1154" s="1" t="s">
        <v>3155</v>
      </c>
      <c r="E1154" s="1" t="s">
        <v>3158</v>
      </c>
      <c r="F1154" s="1" t="s">
        <v>1557</v>
      </c>
      <c r="G1154" s="1" t="s">
        <v>1558</v>
      </c>
    </row>
    <row r="1155" spans="1:7">
      <c r="A1155" s="1">
        <v>2403</v>
      </c>
      <c r="B1155" s="1" t="s">
        <v>3159</v>
      </c>
      <c r="D1155" s="1" t="s">
        <v>3155</v>
      </c>
      <c r="E1155" s="1" t="s">
        <v>3160</v>
      </c>
      <c r="F1155" s="1" t="s">
        <v>1553</v>
      </c>
      <c r="G1155" s="1" t="s">
        <v>1554</v>
      </c>
    </row>
    <row r="1156" spans="1:7">
      <c r="A1156" s="1">
        <v>2404</v>
      </c>
      <c r="B1156" s="1" t="s">
        <v>3161</v>
      </c>
      <c r="D1156" s="1" t="s">
        <v>3155</v>
      </c>
      <c r="E1156" s="1" t="s">
        <v>3162</v>
      </c>
      <c r="F1156" s="1" t="s">
        <v>1561</v>
      </c>
      <c r="G1156" s="1" t="s">
        <v>1562</v>
      </c>
    </row>
    <row r="1157" spans="1:7">
      <c r="A1157" s="1">
        <v>2405</v>
      </c>
      <c r="B1157" s="1" t="s">
        <v>3163</v>
      </c>
      <c r="D1157" s="1" t="s">
        <v>3155</v>
      </c>
      <c r="E1157" s="1" t="s">
        <v>3164</v>
      </c>
      <c r="F1157" s="1" t="s">
        <v>2033</v>
      </c>
      <c r="G1157" s="1" t="s">
        <v>2034</v>
      </c>
    </row>
    <row r="1158" spans="1:7">
      <c r="A1158" s="1">
        <v>2406</v>
      </c>
      <c r="B1158" s="1" t="s">
        <v>3165</v>
      </c>
      <c r="D1158" s="1" t="s">
        <v>3155</v>
      </c>
      <c r="E1158" s="1" t="s">
        <v>3166</v>
      </c>
      <c r="F1158" s="1" t="s">
        <v>2037</v>
      </c>
      <c r="G1158" s="1" t="s">
        <v>2038</v>
      </c>
    </row>
    <row r="1159" spans="1:7">
      <c r="A1159" s="1">
        <v>2407</v>
      </c>
      <c r="B1159" s="1" t="s">
        <v>3167</v>
      </c>
      <c r="D1159" s="1" t="s">
        <v>3155</v>
      </c>
      <c r="E1159" s="1" t="s">
        <v>3168</v>
      </c>
      <c r="F1159" s="1" t="s">
        <v>2041</v>
      </c>
      <c r="G1159" s="1" t="s">
        <v>2042</v>
      </c>
    </row>
    <row r="1160" spans="1:7">
      <c r="A1160" s="1">
        <v>2408</v>
      </c>
      <c r="B1160" s="1" t="s">
        <v>3169</v>
      </c>
      <c r="D1160" s="1" t="s">
        <v>3155</v>
      </c>
      <c r="E1160" s="1" t="s">
        <v>3170</v>
      </c>
      <c r="F1160" s="1" t="s">
        <v>2045</v>
      </c>
      <c r="G1160" s="1" t="s">
        <v>2046</v>
      </c>
    </row>
    <row r="1161" spans="1:7">
      <c r="A1161" s="1">
        <v>2409</v>
      </c>
      <c r="B1161" s="1" t="s">
        <v>3171</v>
      </c>
      <c r="D1161" s="1" t="s">
        <v>3155</v>
      </c>
      <c r="E1161" s="1" t="s">
        <v>3172</v>
      </c>
      <c r="F1161" s="1" t="s">
        <v>2049</v>
      </c>
      <c r="G1161" s="1" t="s">
        <v>2050</v>
      </c>
    </row>
    <row r="1162" spans="1:7">
      <c r="A1162" s="1">
        <v>2411</v>
      </c>
      <c r="B1162" s="1" t="s">
        <v>3173</v>
      </c>
      <c r="D1162" s="1" t="s">
        <v>3155</v>
      </c>
      <c r="E1162" s="1" t="s">
        <v>3174</v>
      </c>
      <c r="F1162" s="1" t="s">
        <v>161</v>
      </c>
      <c r="G1162" s="1" t="s">
        <v>162</v>
      </c>
    </row>
    <row r="1163" spans="1:7">
      <c r="A1163" s="1">
        <v>2412</v>
      </c>
      <c r="B1163" s="1" t="s">
        <v>3175</v>
      </c>
      <c r="D1163" s="1" t="s">
        <v>3155</v>
      </c>
      <c r="E1163" s="1" t="s">
        <v>3176</v>
      </c>
      <c r="F1163" s="1" t="s">
        <v>165</v>
      </c>
      <c r="G1163" s="1" t="s">
        <v>166</v>
      </c>
    </row>
    <row r="1164" spans="1:7">
      <c r="A1164" s="1">
        <v>2414</v>
      </c>
      <c r="B1164" s="1" t="s">
        <v>3177</v>
      </c>
      <c r="D1164" s="1" t="s">
        <v>3155</v>
      </c>
      <c r="E1164" s="1" t="s">
        <v>3178</v>
      </c>
      <c r="F1164" s="1" t="s">
        <v>2057</v>
      </c>
      <c r="G1164" s="1" t="s">
        <v>2058</v>
      </c>
    </row>
    <row r="1165" spans="1:7">
      <c r="A1165" s="1">
        <v>2415</v>
      </c>
      <c r="B1165" s="1" t="s">
        <v>3179</v>
      </c>
      <c r="D1165" s="1" t="s">
        <v>3155</v>
      </c>
      <c r="E1165" s="1" t="s">
        <v>3180</v>
      </c>
      <c r="F1165" s="1" t="s">
        <v>2061</v>
      </c>
      <c r="G1165" s="1" t="s">
        <v>2062</v>
      </c>
    </row>
    <row r="1166" spans="1:7">
      <c r="A1166" s="1">
        <v>2416</v>
      </c>
      <c r="B1166" s="1" t="s">
        <v>3181</v>
      </c>
      <c r="D1166" s="1" t="s">
        <v>3155</v>
      </c>
      <c r="E1166" s="1" t="s">
        <v>3182</v>
      </c>
      <c r="F1166" s="1" t="s">
        <v>2065</v>
      </c>
      <c r="G1166" s="1" t="s">
        <v>2058</v>
      </c>
    </row>
    <row r="1167" spans="1:7">
      <c r="A1167" s="1">
        <v>2417</v>
      </c>
      <c r="B1167" s="1" t="s">
        <v>3183</v>
      </c>
      <c r="D1167" s="1" t="s">
        <v>3155</v>
      </c>
      <c r="E1167" s="1" t="s">
        <v>3184</v>
      </c>
      <c r="F1167" s="1" t="s">
        <v>2068</v>
      </c>
      <c r="G1167" s="1" t="s">
        <v>2062</v>
      </c>
    </row>
    <row r="1168" spans="1:7">
      <c r="A1168" s="1">
        <v>2419</v>
      </c>
      <c r="B1168" s="1" t="s">
        <v>3185</v>
      </c>
      <c r="D1168" s="1" t="s">
        <v>3186</v>
      </c>
      <c r="E1168" s="1" t="s">
        <v>3187</v>
      </c>
      <c r="F1168" s="1" t="s">
        <v>541</v>
      </c>
      <c r="G1168" s="1" t="s">
        <v>542</v>
      </c>
    </row>
    <row r="1169" spans="1:7">
      <c r="A1169" s="1">
        <v>2420</v>
      </c>
      <c r="B1169" s="1" t="s">
        <v>3188</v>
      </c>
      <c r="D1169" s="1" t="s">
        <v>3186</v>
      </c>
      <c r="E1169" s="1" t="s">
        <v>3189</v>
      </c>
      <c r="F1169" s="1" t="s">
        <v>1557</v>
      </c>
      <c r="G1169" s="1" t="s">
        <v>1558</v>
      </c>
    </row>
    <row r="1170" spans="1:7">
      <c r="A1170" s="1">
        <v>2421</v>
      </c>
      <c r="B1170" s="1" t="s">
        <v>3190</v>
      </c>
      <c r="D1170" s="1" t="s">
        <v>3186</v>
      </c>
      <c r="E1170" s="1" t="s">
        <v>3191</v>
      </c>
      <c r="F1170" s="1" t="s">
        <v>1553</v>
      </c>
      <c r="G1170" s="1" t="s">
        <v>1554</v>
      </c>
    </row>
    <row r="1171" spans="1:7">
      <c r="A1171" s="1">
        <v>2422</v>
      </c>
      <c r="B1171" s="1" t="s">
        <v>3192</v>
      </c>
      <c r="D1171" s="1" t="s">
        <v>3186</v>
      </c>
      <c r="E1171" s="1" t="s">
        <v>3193</v>
      </c>
      <c r="F1171" s="1" t="s">
        <v>1561</v>
      </c>
      <c r="G1171" s="1" t="s">
        <v>1562</v>
      </c>
    </row>
    <row r="1172" spans="1:7">
      <c r="A1172" s="1">
        <v>2423</v>
      </c>
      <c r="B1172" s="1" t="s">
        <v>3194</v>
      </c>
      <c r="D1172" s="1" t="s">
        <v>3186</v>
      </c>
      <c r="E1172" s="1" t="s">
        <v>3195</v>
      </c>
      <c r="F1172" s="1" t="s">
        <v>2033</v>
      </c>
      <c r="G1172" s="1" t="s">
        <v>2034</v>
      </c>
    </row>
    <row r="1173" spans="1:7">
      <c r="A1173" s="1">
        <v>2424</v>
      </c>
      <c r="B1173" s="1" t="s">
        <v>3196</v>
      </c>
      <c r="D1173" s="1" t="s">
        <v>3186</v>
      </c>
      <c r="E1173" s="1" t="s">
        <v>3197</v>
      </c>
      <c r="F1173" s="1" t="s">
        <v>2037</v>
      </c>
      <c r="G1173" s="1" t="s">
        <v>2038</v>
      </c>
    </row>
    <row r="1174" spans="1:7">
      <c r="A1174" s="1">
        <v>2425</v>
      </c>
      <c r="B1174" s="1" t="s">
        <v>3198</v>
      </c>
      <c r="D1174" s="1" t="s">
        <v>3186</v>
      </c>
      <c r="E1174" s="1" t="s">
        <v>3199</v>
      </c>
      <c r="F1174" s="1" t="s">
        <v>2041</v>
      </c>
      <c r="G1174" s="1" t="s">
        <v>2042</v>
      </c>
    </row>
    <row r="1175" spans="1:7">
      <c r="A1175" s="1">
        <v>2426</v>
      </c>
      <c r="B1175" s="1" t="s">
        <v>3200</v>
      </c>
      <c r="D1175" s="1" t="s">
        <v>3186</v>
      </c>
      <c r="E1175" s="1" t="s">
        <v>3201</v>
      </c>
      <c r="F1175" s="1" t="s">
        <v>2045</v>
      </c>
      <c r="G1175" s="1" t="s">
        <v>2046</v>
      </c>
    </row>
    <row r="1176" spans="1:7">
      <c r="A1176" s="1">
        <v>2427</v>
      </c>
      <c r="B1176" s="1" t="s">
        <v>3202</v>
      </c>
      <c r="D1176" s="1" t="s">
        <v>3186</v>
      </c>
      <c r="E1176" s="1" t="s">
        <v>3203</v>
      </c>
      <c r="F1176" s="1" t="s">
        <v>2049</v>
      </c>
      <c r="G1176" s="1" t="s">
        <v>2050</v>
      </c>
    </row>
    <row r="1177" spans="1:7">
      <c r="A1177" s="1">
        <v>2429</v>
      </c>
      <c r="B1177" s="1" t="s">
        <v>3204</v>
      </c>
      <c r="D1177" s="1" t="s">
        <v>3186</v>
      </c>
      <c r="E1177" s="1" t="s">
        <v>3205</v>
      </c>
      <c r="F1177" s="1" t="s">
        <v>161</v>
      </c>
      <c r="G1177" s="1" t="s">
        <v>162</v>
      </c>
    </row>
    <row r="1178" spans="1:7">
      <c r="A1178" s="1">
        <v>2430</v>
      </c>
      <c r="B1178" s="1" t="s">
        <v>3206</v>
      </c>
      <c r="D1178" s="1" t="s">
        <v>3186</v>
      </c>
      <c r="E1178" s="1" t="s">
        <v>3207</v>
      </c>
      <c r="F1178" s="1" t="s">
        <v>165</v>
      </c>
      <c r="G1178" s="1" t="s">
        <v>166</v>
      </c>
    </row>
    <row r="1179" spans="1:7">
      <c r="A1179" s="1">
        <v>2432</v>
      </c>
      <c r="B1179" s="1" t="s">
        <v>3208</v>
      </c>
      <c r="D1179" s="1" t="s">
        <v>3186</v>
      </c>
      <c r="E1179" s="1" t="s">
        <v>3209</v>
      </c>
      <c r="F1179" s="1" t="s">
        <v>2057</v>
      </c>
      <c r="G1179" s="1" t="s">
        <v>2058</v>
      </c>
    </row>
    <row r="1180" spans="1:7">
      <c r="A1180" s="1">
        <v>2433</v>
      </c>
      <c r="B1180" s="1" t="s">
        <v>3210</v>
      </c>
      <c r="D1180" s="1" t="s">
        <v>3186</v>
      </c>
      <c r="E1180" s="1" t="s">
        <v>3211</v>
      </c>
      <c r="F1180" s="1" t="s">
        <v>2061</v>
      </c>
      <c r="G1180" s="1" t="s">
        <v>2062</v>
      </c>
    </row>
    <row r="1181" spans="1:7">
      <c r="A1181" s="1">
        <v>2434</v>
      </c>
      <c r="B1181" s="1" t="s">
        <v>3212</v>
      </c>
      <c r="D1181" s="1" t="s">
        <v>3186</v>
      </c>
      <c r="E1181" s="1" t="s">
        <v>3213</v>
      </c>
      <c r="F1181" s="1" t="s">
        <v>2065</v>
      </c>
      <c r="G1181" s="1" t="s">
        <v>2058</v>
      </c>
    </row>
    <row r="1182" spans="1:7">
      <c r="A1182" s="1">
        <v>2435</v>
      </c>
      <c r="B1182" s="1" t="s">
        <v>3214</v>
      </c>
      <c r="D1182" s="1" t="s">
        <v>3186</v>
      </c>
      <c r="E1182" s="1" t="s">
        <v>3215</v>
      </c>
      <c r="F1182" s="1" t="s">
        <v>2068</v>
      </c>
      <c r="G1182" s="1" t="s">
        <v>2062</v>
      </c>
    </row>
    <row r="1183" spans="1:7">
      <c r="A1183" s="1">
        <v>2437</v>
      </c>
      <c r="B1183" s="1" t="s">
        <v>3216</v>
      </c>
      <c r="D1183" s="1" t="s">
        <v>3217</v>
      </c>
      <c r="E1183" s="1" t="s">
        <v>3218</v>
      </c>
      <c r="F1183" s="1" t="s">
        <v>541</v>
      </c>
      <c r="G1183" s="1" t="s">
        <v>542</v>
      </c>
    </row>
    <row r="1184" spans="1:7">
      <c r="A1184" s="1">
        <v>2438</v>
      </c>
      <c r="B1184" s="1" t="s">
        <v>3219</v>
      </c>
      <c r="D1184" s="1" t="s">
        <v>3217</v>
      </c>
      <c r="E1184" s="1" t="s">
        <v>3220</v>
      </c>
      <c r="F1184" s="1" t="s">
        <v>1557</v>
      </c>
      <c r="G1184" s="1" t="s">
        <v>1558</v>
      </c>
    </row>
    <row r="1185" spans="1:7">
      <c r="A1185" s="1">
        <v>2439</v>
      </c>
      <c r="B1185" s="1" t="s">
        <v>3221</v>
      </c>
      <c r="D1185" s="1" t="s">
        <v>3217</v>
      </c>
      <c r="E1185" s="1" t="s">
        <v>3222</v>
      </c>
      <c r="F1185" s="1" t="s">
        <v>1553</v>
      </c>
      <c r="G1185" s="1" t="s">
        <v>1554</v>
      </c>
    </row>
    <row r="1186" spans="1:7">
      <c r="A1186" s="1">
        <v>2440</v>
      </c>
      <c r="B1186" s="1" t="s">
        <v>3223</v>
      </c>
      <c r="D1186" s="1" t="s">
        <v>3217</v>
      </c>
      <c r="E1186" s="1" t="s">
        <v>3224</v>
      </c>
      <c r="F1186" s="1" t="s">
        <v>1561</v>
      </c>
      <c r="G1186" s="1" t="s">
        <v>1562</v>
      </c>
    </row>
    <row r="1187" spans="1:7">
      <c r="A1187" s="1">
        <v>2441</v>
      </c>
      <c r="B1187" s="1" t="s">
        <v>3225</v>
      </c>
      <c r="D1187" s="1" t="s">
        <v>3217</v>
      </c>
      <c r="E1187" s="1" t="s">
        <v>3226</v>
      </c>
      <c r="F1187" s="1" t="s">
        <v>2033</v>
      </c>
      <c r="G1187" s="1" t="s">
        <v>2034</v>
      </c>
    </row>
    <row r="1188" spans="1:7">
      <c r="A1188" s="1">
        <v>2442</v>
      </c>
      <c r="B1188" s="1" t="s">
        <v>3227</v>
      </c>
      <c r="D1188" s="1" t="s">
        <v>3217</v>
      </c>
      <c r="E1188" s="1" t="s">
        <v>3228</v>
      </c>
      <c r="F1188" s="1" t="s">
        <v>2037</v>
      </c>
      <c r="G1188" s="1" t="s">
        <v>2038</v>
      </c>
    </row>
    <row r="1189" spans="1:7">
      <c r="A1189" s="1">
        <v>2443</v>
      </c>
      <c r="B1189" s="1" t="s">
        <v>3229</v>
      </c>
      <c r="D1189" s="1" t="s">
        <v>3217</v>
      </c>
      <c r="E1189" s="1" t="s">
        <v>3230</v>
      </c>
      <c r="F1189" s="1" t="s">
        <v>2041</v>
      </c>
      <c r="G1189" s="1" t="s">
        <v>2042</v>
      </c>
    </row>
    <row r="1190" spans="1:7">
      <c r="A1190" s="1">
        <v>2444</v>
      </c>
      <c r="B1190" s="1" t="s">
        <v>3231</v>
      </c>
      <c r="D1190" s="1" t="s">
        <v>3217</v>
      </c>
      <c r="E1190" s="1" t="s">
        <v>3232</v>
      </c>
      <c r="F1190" s="1" t="s">
        <v>2045</v>
      </c>
      <c r="G1190" s="1" t="s">
        <v>2046</v>
      </c>
    </row>
    <row r="1191" spans="1:7">
      <c r="A1191" s="1">
        <v>2445</v>
      </c>
      <c r="B1191" s="1" t="s">
        <v>3233</v>
      </c>
      <c r="D1191" s="1" t="s">
        <v>3217</v>
      </c>
      <c r="E1191" s="1" t="s">
        <v>3234</v>
      </c>
      <c r="F1191" s="1" t="s">
        <v>2049</v>
      </c>
      <c r="G1191" s="1" t="s">
        <v>2050</v>
      </c>
    </row>
    <row r="1192" spans="1:7">
      <c r="A1192" s="1">
        <v>2447</v>
      </c>
      <c r="B1192" s="1" t="s">
        <v>3235</v>
      </c>
      <c r="D1192" s="1" t="s">
        <v>3217</v>
      </c>
      <c r="E1192" s="1" t="s">
        <v>3236</v>
      </c>
      <c r="F1192" s="1" t="s">
        <v>161</v>
      </c>
      <c r="G1192" s="1" t="s">
        <v>162</v>
      </c>
    </row>
    <row r="1193" spans="1:7">
      <c r="A1193" s="1">
        <v>2448</v>
      </c>
      <c r="B1193" s="1" t="s">
        <v>3237</v>
      </c>
      <c r="D1193" s="1" t="s">
        <v>3217</v>
      </c>
      <c r="E1193" s="1" t="s">
        <v>3238</v>
      </c>
      <c r="F1193" s="1" t="s">
        <v>165</v>
      </c>
      <c r="G1193" s="1" t="s">
        <v>166</v>
      </c>
    </row>
    <row r="1194" spans="1:7">
      <c r="A1194" s="1">
        <v>2450</v>
      </c>
      <c r="B1194" s="1" t="s">
        <v>3239</v>
      </c>
      <c r="D1194" s="1" t="s">
        <v>3217</v>
      </c>
      <c r="E1194" s="1" t="s">
        <v>3240</v>
      </c>
      <c r="F1194" s="1" t="s">
        <v>2057</v>
      </c>
      <c r="G1194" s="1" t="s">
        <v>2058</v>
      </c>
    </row>
    <row r="1195" spans="1:7">
      <c r="A1195" s="1">
        <v>2451</v>
      </c>
      <c r="B1195" s="1" t="s">
        <v>3241</v>
      </c>
      <c r="D1195" s="1" t="s">
        <v>3217</v>
      </c>
      <c r="E1195" s="1" t="s">
        <v>3242</v>
      </c>
      <c r="F1195" s="1" t="s">
        <v>2061</v>
      </c>
      <c r="G1195" s="1" t="s">
        <v>2062</v>
      </c>
    </row>
    <row r="1196" spans="1:7">
      <c r="A1196" s="1">
        <v>2452</v>
      </c>
      <c r="B1196" s="1" t="s">
        <v>3243</v>
      </c>
      <c r="D1196" s="1" t="s">
        <v>3217</v>
      </c>
      <c r="E1196" s="1" t="s">
        <v>3244</v>
      </c>
      <c r="F1196" s="1" t="s">
        <v>2065</v>
      </c>
      <c r="G1196" s="1" t="s">
        <v>2058</v>
      </c>
    </row>
    <row r="1197" spans="1:7">
      <c r="A1197" s="1">
        <v>2453</v>
      </c>
      <c r="B1197" s="1" t="s">
        <v>3245</v>
      </c>
      <c r="D1197" s="1" t="s">
        <v>3217</v>
      </c>
      <c r="E1197" s="1" t="s">
        <v>3246</v>
      </c>
      <c r="F1197" s="1" t="s">
        <v>2068</v>
      </c>
      <c r="G1197" s="1" t="s">
        <v>2062</v>
      </c>
    </row>
    <row r="1198" spans="1:7">
      <c r="A1198" s="1">
        <v>2455</v>
      </c>
      <c r="B1198" s="1" t="s">
        <v>3247</v>
      </c>
      <c r="D1198" s="1" t="s">
        <v>3248</v>
      </c>
      <c r="E1198" s="1" t="s">
        <v>3249</v>
      </c>
      <c r="F1198" s="1" t="s">
        <v>541</v>
      </c>
      <c r="G1198" s="1" t="s">
        <v>542</v>
      </c>
    </row>
    <row r="1199" spans="1:7">
      <c r="A1199" s="1">
        <v>2456</v>
      </c>
      <c r="B1199" s="1" t="s">
        <v>3250</v>
      </c>
      <c r="D1199" s="1" t="s">
        <v>3248</v>
      </c>
      <c r="E1199" s="1" t="s">
        <v>3251</v>
      </c>
      <c r="F1199" s="1" t="s">
        <v>1557</v>
      </c>
      <c r="G1199" s="1" t="s">
        <v>1558</v>
      </c>
    </row>
    <row r="1200" spans="1:7">
      <c r="A1200" s="1">
        <v>2457</v>
      </c>
      <c r="B1200" s="1" t="s">
        <v>3252</v>
      </c>
      <c r="D1200" s="1" t="s">
        <v>3248</v>
      </c>
      <c r="E1200" s="1" t="s">
        <v>3253</v>
      </c>
      <c r="F1200" s="1" t="s">
        <v>1553</v>
      </c>
      <c r="G1200" s="1" t="s">
        <v>1554</v>
      </c>
    </row>
    <row r="1201" spans="1:7">
      <c r="A1201" s="1">
        <v>2458</v>
      </c>
      <c r="B1201" s="1" t="s">
        <v>3254</v>
      </c>
      <c r="D1201" s="1" t="s">
        <v>3248</v>
      </c>
      <c r="E1201" s="1" t="s">
        <v>3255</v>
      </c>
      <c r="F1201" s="1" t="s">
        <v>1561</v>
      </c>
      <c r="G1201" s="1" t="s">
        <v>1562</v>
      </c>
    </row>
    <row r="1202" spans="1:7">
      <c r="A1202" s="1">
        <v>2459</v>
      </c>
      <c r="B1202" s="1" t="s">
        <v>3256</v>
      </c>
      <c r="D1202" s="1" t="s">
        <v>3248</v>
      </c>
      <c r="E1202" s="1" t="s">
        <v>3257</v>
      </c>
      <c r="F1202" s="1" t="s">
        <v>2033</v>
      </c>
      <c r="G1202" s="1" t="s">
        <v>2034</v>
      </c>
    </row>
    <row r="1203" spans="1:7">
      <c r="A1203" s="1">
        <v>2460</v>
      </c>
      <c r="B1203" s="1" t="s">
        <v>3258</v>
      </c>
      <c r="D1203" s="1" t="s">
        <v>3248</v>
      </c>
      <c r="E1203" s="1" t="s">
        <v>3259</v>
      </c>
      <c r="F1203" s="1" t="s">
        <v>2037</v>
      </c>
      <c r="G1203" s="1" t="s">
        <v>2038</v>
      </c>
    </row>
    <row r="1204" spans="1:7">
      <c r="A1204" s="1">
        <v>2461</v>
      </c>
      <c r="B1204" s="1" t="s">
        <v>3260</v>
      </c>
      <c r="D1204" s="1" t="s">
        <v>3248</v>
      </c>
      <c r="E1204" s="1" t="s">
        <v>3261</v>
      </c>
      <c r="F1204" s="1" t="s">
        <v>2041</v>
      </c>
      <c r="G1204" s="1" t="s">
        <v>2042</v>
      </c>
    </row>
    <row r="1205" spans="1:7">
      <c r="A1205" s="1">
        <v>2462</v>
      </c>
      <c r="B1205" s="1" t="s">
        <v>3262</v>
      </c>
      <c r="D1205" s="1" t="s">
        <v>3248</v>
      </c>
      <c r="E1205" s="1" t="s">
        <v>3263</v>
      </c>
      <c r="F1205" s="1" t="s">
        <v>2045</v>
      </c>
      <c r="G1205" s="1" t="s">
        <v>2046</v>
      </c>
    </row>
    <row r="1206" spans="1:7">
      <c r="A1206" s="1">
        <v>2463</v>
      </c>
      <c r="B1206" s="1" t="s">
        <v>3264</v>
      </c>
      <c r="D1206" s="1" t="s">
        <v>3248</v>
      </c>
      <c r="E1206" s="1" t="s">
        <v>3265</v>
      </c>
      <c r="F1206" s="1" t="s">
        <v>2049</v>
      </c>
      <c r="G1206" s="1" t="s">
        <v>2050</v>
      </c>
    </row>
    <row r="1207" spans="1:7">
      <c r="A1207" s="1">
        <v>2465</v>
      </c>
      <c r="B1207" s="1" t="s">
        <v>3266</v>
      </c>
      <c r="D1207" s="1" t="s">
        <v>3248</v>
      </c>
      <c r="E1207" s="1" t="s">
        <v>3267</v>
      </c>
      <c r="F1207" s="1" t="s">
        <v>161</v>
      </c>
      <c r="G1207" s="1" t="s">
        <v>162</v>
      </c>
    </row>
    <row r="1208" spans="1:7">
      <c r="A1208" s="1">
        <v>2466</v>
      </c>
      <c r="B1208" s="1" t="s">
        <v>3268</v>
      </c>
      <c r="D1208" s="1" t="s">
        <v>3248</v>
      </c>
      <c r="E1208" s="1" t="s">
        <v>3269</v>
      </c>
      <c r="F1208" s="1" t="s">
        <v>165</v>
      </c>
      <c r="G1208" s="1" t="s">
        <v>166</v>
      </c>
    </row>
    <row r="1209" spans="1:7">
      <c r="A1209" s="1">
        <v>2468</v>
      </c>
      <c r="B1209" s="1" t="s">
        <v>3270</v>
      </c>
      <c r="D1209" s="1" t="s">
        <v>3248</v>
      </c>
      <c r="E1209" s="1" t="s">
        <v>3271</v>
      </c>
      <c r="F1209" s="1" t="s">
        <v>2057</v>
      </c>
      <c r="G1209" s="1" t="s">
        <v>2058</v>
      </c>
    </row>
    <row r="1210" spans="1:7">
      <c r="A1210" s="1">
        <v>2469</v>
      </c>
      <c r="B1210" s="1" t="s">
        <v>3272</v>
      </c>
      <c r="D1210" s="1" t="s">
        <v>3248</v>
      </c>
      <c r="E1210" s="1" t="s">
        <v>3273</v>
      </c>
      <c r="F1210" s="1" t="s">
        <v>2061</v>
      </c>
      <c r="G1210" s="1" t="s">
        <v>2062</v>
      </c>
    </row>
    <row r="1211" spans="1:7">
      <c r="A1211" s="1">
        <v>2470</v>
      </c>
      <c r="B1211" s="1" t="s">
        <v>3274</v>
      </c>
      <c r="D1211" s="1" t="s">
        <v>3248</v>
      </c>
      <c r="E1211" s="1" t="s">
        <v>3275</v>
      </c>
      <c r="F1211" s="1" t="s">
        <v>2065</v>
      </c>
      <c r="G1211" s="1" t="s">
        <v>2058</v>
      </c>
    </row>
    <row r="1212" spans="1:7">
      <c r="A1212" s="1">
        <v>2471</v>
      </c>
      <c r="B1212" s="1" t="s">
        <v>3276</v>
      </c>
      <c r="D1212" s="1" t="s">
        <v>3248</v>
      </c>
      <c r="E1212" s="1" t="s">
        <v>3277</v>
      </c>
      <c r="F1212" s="1" t="s">
        <v>2068</v>
      </c>
      <c r="G1212" s="1" t="s">
        <v>2062</v>
      </c>
    </row>
    <row r="1213" spans="1:7">
      <c r="A1213" s="1">
        <v>2473</v>
      </c>
      <c r="B1213" s="1" t="s">
        <v>3278</v>
      </c>
      <c r="D1213" s="1" t="s">
        <v>3279</v>
      </c>
      <c r="E1213" s="1" t="s">
        <v>3280</v>
      </c>
      <c r="F1213" s="1" t="s">
        <v>541</v>
      </c>
      <c r="G1213" s="1" t="s">
        <v>542</v>
      </c>
    </row>
    <row r="1214" spans="1:7">
      <c r="A1214" s="1">
        <v>2474</v>
      </c>
      <c r="B1214" s="1" t="s">
        <v>3281</v>
      </c>
      <c r="D1214" s="1" t="s">
        <v>3279</v>
      </c>
      <c r="E1214" s="1" t="s">
        <v>3282</v>
      </c>
      <c r="F1214" s="1" t="s">
        <v>1557</v>
      </c>
      <c r="G1214" s="1" t="s">
        <v>1558</v>
      </c>
    </row>
    <row r="1215" spans="1:7">
      <c r="A1215" s="1">
        <v>2475</v>
      </c>
      <c r="B1215" s="1" t="s">
        <v>3283</v>
      </c>
      <c r="D1215" s="1" t="s">
        <v>3279</v>
      </c>
      <c r="E1215" s="1" t="s">
        <v>3284</v>
      </c>
      <c r="F1215" s="1" t="s">
        <v>1553</v>
      </c>
      <c r="G1215" s="1" t="s">
        <v>1554</v>
      </c>
    </row>
    <row r="1216" spans="1:7">
      <c r="A1216" s="1">
        <v>2476</v>
      </c>
      <c r="B1216" s="1" t="s">
        <v>3285</v>
      </c>
      <c r="D1216" s="1" t="s">
        <v>3279</v>
      </c>
      <c r="E1216" s="1" t="s">
        <v>3286</v>
      </c>
      <c r="F1216" s="1" t="s">
        <v>1561</v>
      </c>
      <c r="G1216" s="1" t="s">
        <v>1562</v>
      </c>
    </row>
    <row r="1217" spans="1:7">
      <c r="A1217" s="1">
        <v>2477</v>
      </c>
      <c r="B1217" s="1" t="s">
        <v>3287</v>
      </c>
      <c r="D1217" s="1" t="s">
        <v>3279</v>
      </c>
      <c r="E1217" s="1" t="s">
        <v>3288</v>
      </c>
      <c r="F1217" s="1" t="s">
        <v>2033</v>
      </c>
      <c r="G1217" s="1" t="s">
        <v>2034</v>
      </c>
    </row>
    <row r="1218" spans="1:7">
      <c r="A1218" s="1">
        <v>2478</v>
      </c>
      <c r="B1218" s="1" t="s">
        <v>3289</v>
      </c>
      <c r="D1218" s="1" t="s">
        <v>3279</v>
      </c>
      <c r="E1218" s="1" t="s">
        <v>3290</v>
      </c>
      <c r="F1218" s="1" t="s">
        <v>2037</v>
      </c>
      <c r="G1218" s="1" t="s">
        <v>2038</v>
      </c>
    </row>
    <row r="1219" spans="1:7">
      <c r="A1219" s="1">
        <v>2479</v>
      </c>
      <c r="B1219" s="1" t="s">
        <v>3291</v>
      </c>
      <c r="D1219" s="1" t="s">
        <v>3279</v>
      </c>
      <c r="E1219" s="1" t="s">
        <v>3292</v>
      </c>
      <c r="F1219" s="1" t="s">
        <v>2041</v>
      </c>
      <c r="G1219" s="1" t="s">
        <v>2042</v>
      </c>
    </row>
    <row r="1220" spans="1:7">
      <c r="A1220" s="1">
        <v>2480</v>
      </c>
      <c r="B1220" s="1" t="s">
        <v>3293</v>
      </c>
      <c r="D1220" s="1" t="s">
        <v>3279</v>
      </c>
      <c r="E1220" s="1" t="s">
        <v>3294</v>
      </c>
      <c r="F1220" s="1" t="s">
        <v>2045</v>
      </c>
      <c r="G1220" s="1" t="s">
        <v>2046</v>
      </c>
    </row>
    <row r="1221" spans="1:7">
      <c r="A1221" s="1">
        <v>2481</v>
      </c>
      <c r="B1221" s="1" t="s">
        <v>3295</v>
      </c>
      <c r="D1221" s="1" t="s">
        <v>3279</v>
      </c>
      <c r="E1221" s="1" t="s">
        <v>3296</v>
      </c>
      <c r="F1221" s="1" t="s">
        <v>2049</v>
      </c>
      <c r="G1221" s="1" t="s">
        <v>2050</v>
      </c>
    </row>
    <row r="1222" spans="1:7">
      <c r="A1222" s="1">
        <v>2483</v>
      </c>
      <c r="B1222" s="1" t="s">
        <v>3297</v>
      </c>
      <c r="D1222" s="1" t="s">
        <v>3279</v>
      </c>
      <c r="E1222" s="1" t="s">
        <v>3298</v>
      </c>
      <c r="F1222" s="1" t="s">
        <v>161</v>
      </c>
      <c r="G1222" s="1" t="s">
        <v>162</v>
      </c>
    </row>
    <row r="1223" spans="1:7">
      <c r="A1223" s="1">
        <v>2484</v>
      </c>
      <c r="B1223" s="1" t="s">
        <v>3299</v>
      </c>
      <c r="D1223" s="1" t="s">
        <v>3279</v>
      </c>
      <c r="E1223" s="1" t="s">
        <v>3300</v>
      </c>
      <c r="F1223" s="1" t="s">
        <v>165</v>
      </c>
      <c r="G1223" s="1" t="s">
        <v>166</v>
      </c>
    </row>
    <row r="1224" spans="1:7">
      <c r="A1224" s="1">
        <v>2486</v>
      </c>
      <c r="B1224" s="1" t="s">
        <v>3301</v>
      </c>
      <c r="D1224" s="1" t="s">
        <v>3279</v>
      </c>
      <c r="E1224" s="1" t="s">
        <v>3302</v>
      </c>
      <c r="F1224" s="1" t="s">
        <v>2057</v>
      </c>
      <c r="G1224" s="1" t="s">
        <v>2058</v>
      </c>
    </row>
    <row r="1225" spans="1:7">
      <c r="A1225" s="1">
        <v>2487</v>
      </c>
      <c r="B1225" s="1" t="s">
        <v>3303</v>
      </c>
      <c r="D1225" s="1" t="s">
        <v>3279</v>
      </c>
      <c r="E1225" s="1" t="s">
        <v>3304</v>
      </c>
      <c r="F1225" s="1" t="s">
        <v>2061</v>
      </c>
      <c r="G1225" s="1" t="s">
        <v>2062</v>
      </c>
    </row>
    <row r="1226" spans="1:7">
      <c r="A1226" s="1">
        <v>2488</v>
      </c>
      <c r="B1226" s="1" t="s">
        <v>3305</v>
      </c>
      <c r="D1226" s="1" t="s">
        <v>3279</v>
      </c>
      <c r="E1226" s="1" t="s">
        <v>3306</v>
      </c>
      <c r="F1226" s="1" t="s">
        <v>2065</v>
      </c>
      <c r="G1226" s="1" t="s">
        <v>2058</v>
      </c>
    </row>
    <row r="1227" spans="1:7">
      <c r="A1227" s="1">
        <v>2489</v>
      </c>
      <c r="B1227" s="1" t="s">
        <v>3307</v>
      </c>
      <c r="D1227" s="1" t="s">
        <v>3279</v>
      </c>
      <c r="E1227" s="1" t="s">
        <v>3308</v>
      </c>
      <c r="F1227" s="1" t="s">
        <v>2068</v>
      </c>
      <c r="G1227" s="1" t="s">
        <v>2062</v>
      </c>
    </row>
    <row r="1228" spans="1:7">
      <c r="A1228" s="1">
        <v>2491</v>
      </c>
      <c r="B1228" s="1" t="s">
        <v>3309</v>
      </c>
      <c r="D1228" s="1" t="s">
        <v>3310</v>
      </c>
      <c r="E1228" s="1" t="s">
        <v>3311</v>
      </c>
      <c r="F1228" s="1" t="s">
        <v>541</v>
      </c>
      <c r="G1228" s="1" t="s">
        <v>542</v>
      </c>
    </row>
    <row r="1229" spans="1:7">
      <c r="A1229" s="1">
        <v>2492</v>
      </c>
      <c r="B1229" s="1" t="s">
        <v>3312</v>
      </c>
      <c r="D1229" s="1" t="s">
        <v>3310</v>
      </c>
      <c r="E1229" s="1" t="s">
        <v>3313</v>
      </c>
      <c r="F1229" s="1" t="s">
        <v>1557</v>
      </c>
      <c r="G1229" s="1" t="s">
        <v>1558</v>
      </c>
    </row>
    <row r="1230" spans="1:7">
      <c r="A1230" s="1">
        <v>2493</v>
      </c>
      <c r="B1230" s="1" t="s">
        <v>3314</v>
      </c>
      <c r="D1230" s="1" t="s">
        <v>3310</v>
      </c>
      <c r="E1230" s="1" t="s">
        <v>3315</v>
      </c>
      <c r="F1230" s="1" t="s">
        <v>1553</v>
      </c>
      <c r="G1230" s="1" t="s">
        <v>1554</v>
      </c>
    </row>
    <row r="1231" spans="1:7">
      <c r="A1231" s="1">
        <v>2494</v>
      </c>
      <c r="B1231" s="1" t="s">
        <v>3316</v>
      </c>
      <c r="D1231" s="1" t="s">
        <v>3310</v>
      </c>
      <c r="E1231" s="1" t="s">
        <v>3317</v>
      </c>
      <c r="F1231" s="1" t="s">
        <v>1561</v>
      </c>
      <c r="G1231" s="1" t="s">
        <v>1562</v>
      </c>
    </row>
    <row r="1232" spans="1:7">
      <c r="A1232" s="1">
        <v>2495</v>
      </c>
      <c r="B1232" s="1" t="s">
        <v>3318</v>
      </c>
      <c r="D1232" s="1" t="s">
        <v>3310</v>
      </c>
      <c r="E1232" s="1" t="s">
        <v>3319</v>
      </c>
      <c r="F1232" s="1" t="s">
        <v>2033</v>
      </c>
      <c r="G1232" s="1" t="s">
        <v>2034</v>
      </c>
    </row>
    <row r="1233" spans="1:7">
      <c r="A1233" s="1">
        <v>2496</v>
      </c>
      <c r="B1233" s="1" t="s">
        <v>3320</v>
      </c>
      <c r="D1233" s="1" t="s">
        <v>3310</v>
      </c>
      <c r="E1233" s="1" t="s">
        <v>3321</v>
      </c>
      <c r="F1233" s="1" t="s">
        <v>2037</v>
      </c>
      <c r="G1233" s="1" t="s">
        <v>2038</v>
      </c>
    </row>
    <row r="1234" spans="1:7">
      <c r="A1234" s="1">
        <v>2497</v>
      </c>
      <c r="B1234" s="1" t="s">
        <v>3322</v>
      </c>
      <c r="D1234" s="1" t="s">
        <v>3310</v>
      </c>
      <c r="E1234" s="1" t="s">
        <v>3323</v>
      </c>
      <c r="F1234" s="1" t="s">
        <v>2041</v>
      </c>
      <c r="G1234" s="1" t="s">
        <v>2042</v>
      </c>
    </row>
    <row r="1235" spans="1:7">
      <c r="A1235" s="1">
        <v>2498</v>
      </c>
      <c r="B1235" s="1" t="s">
        <v>3324</v>
      </c>
      <c r="D1235" s="1" t="s">
        <v>3310</v>
      </c>
      <c r="E1235" s="1" t="s">
        <v>3325</v>
      </c>
      <c r="F1235" s="1" t="s">
        <v>2045</v>
      </c>
      <c r="G1235" s="1" t="s">
        <v>2046</v>
      </c>
    </row>
    <row r="1236" spans="1:7">
      <c r="A1236" s="1">
        <v>2499</v>
      </c>
      <c r="B1236" s="1" t="s">
        <v>3326</v>
      </c>
      <c r="D1236" s="1" t="s">
        <v>3310</v>
      </c>
      <c r="E1236" s="1" t="s">
        <v>3327</v>
      </c>
      <c r="F1236" s="1" t="s">
        <v>2049</v>
      </c>
      <c r="G1236" s="1" t="s">
        <v>2050</v>
      </c>
    </row>
    <row r="1237" spans="1:7">
      <c r="A1237" s="1">
        <v>2501</v>
      </c>
      <c r="B1237" s="1" t="s">
        <v>3328</v>
      </c>
      <c r="D1237" s="1" t="s">
        <v>3310</v>
      </c>
      <c r="E1237" s="1" t="s">
        <v>3329</v>
      </c>
      <c r="F1237" s="1" t="s">
        <v>161</v>
      </c>
      <c r="G1237" s="1" t="s">
        <v>162</v>
      </c>
    </row>
    <row r="1238" spans="1:7">
      <c r="A1238" s="1">
        <v>2502</v>
      </c>
      <c r="B1238" s="1" t="s">
        <v>3330</v>
      </c>
      <c r="D1238" s="1" t="s">
        <v>3310</v>
      </c>
      <c r="E1238" s="1" t="s">
        <v>3331</v>
      </c>
      <c r="F1238" s="1" t="s">
        <v>165</v>
      </c>
      <c r="G1238" s="1" t="s">
        <v>166</v>
      </c>
    </row>
    <row r="1239" spans="1:7">
      <c r="A1239" s="1">
        <v>2504</v>
      </c>
      <c r="B1239" s="1" t="s">
        <v>3332</v>
      </c>
      <c r="D1239" s="1" t="s">
        <v>3310</v>
      </c>
      <c r="E1239" s="1" t="s">
        <v>3333</v>
      </c>
      <c r="F1239" s="1" t="s">
        <v>2057</v>
      </c>
      <c r="G1239" s="1" t="s">
        <v>2058</v>
      </c>
    </row>
    <row r="1240" spans="1:7">
      <c r="A1240" s="1">
        <v>2505</v>
      </c>
      <c r="B1240" s="1" t="s">
        <v>3334</v>
      </c>
      <c r="D1240" s="1" t="s">
        <v>3310</v>
      </c>
      <c r="E1240" s="1" t="s">
        <v>3335</v>
      </c>
      <c r="F1240" s="1" t="s">
        <v>2061</v>
      </c>
      <c r="G1240" s="1" t="s">
        <v>2062</v>
      </c>
    </row>
    <row r="1241" spans="1:7">
      <c r="A1241" s="1">
        <v>2506</v>
      </c>
      <c r="B1241" s="1" t="s">
        <v>3336</v>
      </c>
      <c r="D1241" s="1" t="s">
        <v>3310</v>
      </c>
      <c r="E1241" s="1" t="s">
        <v>3337</v>
      </c>
      <c r="F1241" s="1" t="s">
        <v>2065</v>
      </c>
      <c r="G1241" s="1" t="s">
        <v>2058</v>
      </c>
    </row>
    <row r="1242" spans="1:7">
      <c r="A1242" s="1">
        <v>2507</v>
      </c>
      <c r="B1242" s="1" t="s">
        <v>3338</v>
      </c>
      <c r="D1242" s="1" t="s">
        <v>3310</v>
      </c>
      <c r="E1242" s="1" t="s">
        <v>3339</v>
      </c>
      <c r="F1242" s="1" t="s">
        <v>2068</v>
      </c>
      <c r="G1242" s="1" t="s">
        <v>2062</v>
      </c>
    </row>
    <row r="1243" spans="1:7">
      <c r="A1243" s="1">
        <v>2509</v>
      </c>
      <c r="B1243" s="1" t="s">
        <v>3340</v>
      </c>
      <c r="D1243" s="1" t="s">
        <v>3341</v>
      </c>
      <c r="E1243" s="1" t="s">
        <v>3342</v>
      </c>
      <c r="F1243" s="1" t="s">
        <v>541</v>
      </c>
      <c r="G1243" s="1" t="s">
        <v>542</v>
      </c>
    </row>
    <row r="1244" spans="1:7">
      <c r="A1244" s="1">
        <v>2510</v>
      </c>
      <c r="B1244" s="1" t="s">
        <v>3343</v>
      </c>
      <c r="D1244" s="1" t="s">
        <v>3341</v>
      </c>
      <c r="E1244" s="1" t="s">
        <v>3344</v>
      </c>
      <c r="F1244" s="1" t="s">
        <v>1557</v>
      </c>
      <c r="G1244" s="1" t="s">
        <v>1558</v>
      </c>
    </row>
    <row r="1245" spans="1:7">
      <c r="A1245" s="1">
        <v>2511</v>
      </c>
      <c r="B1245" s="1" t="s">
        <v>3345</v>
      </c>
      <c r="D1245" s="1" t="s">
        <v>3341</v>
      </c>
      <c r="E1245" s="1" t="s">
        <v>3346</v>
      </c>
      <c r="F1245" s="1" t="s">
        <v>1553</v>
      </c>
      <c r="G1245" s="1" t="s">
        <v>1554</v>
      </c>
    </row>
    <row r="1246" spans="1:7">
      <c r="A1246" s="1">
        <v>2512</v>
      </c>
      <c r="B1246" s="1" t="s">
        <v>3347</v>
      </c>
      <c r="D1246" s="1" t="s">
        <v>3341</v>
      </c>
      <c r="E1246" s="1" t="s">
        <v>3348</v>
      </c>
      <c r="F1246" s="1" t="s">
        <v>1561</v>
      </c>
      <c r="G1246" s="1" t="s">
        <v>1562</v>
      </c>
    </row>
    <row r="1247" spans="1:7">
      <c r="A1247" s="1">
        <v>2513</v>
      </c>
      <c r="B1247" s="1" t="s">
        <v>3349</v>
      </c>
      <c r="D1247" s="1" t="s">
        <v>3341</v>
      </c>
      <c r="E1247" s="1" t="s">
        <v>3350</v>
      </c>
      <c r="F1247" s="1" t="s">
        <v>2033</v>
      </c>
      <c r="G1247" s="1" t="s">
        <v>2034</v>
      </c>
    </row>
    <row r="1248" spans="1:7">
      <c r="A1248" s="1">
        <v>2514</v>
      </c>
      <c r="B1248" s="1" t="s">
        <v>3351</v>
      </c>
      <c r="D1248" s="1" t="s">
        <v>3341</v>
      </c>
      <c r="E1248" s="1" t="s">
        <v>3352</v>
      </c>
      <c r="F1248" s="1" t="s">
        <v>2037</v>
      </c>
      <c r="G1248" s="1" t="s">
        <v>2038</v>
      </c>
    </row>
    <row r="1249" spans="1:7">
      <c r="A1249" s="1">
        <v>2515</v>
      </c>
      <c r="B1249" s="1" t="s">
        <v>3353</v>
      </c>
      <c r="D1249" s="1" t="s">
        <v>3341</v>
      </c>
      <c r="E1249" s="1" t="s">
        <v>3354</v>
      </c>
      <c r="F1249" s="1" t="s">
        <v>2041</v>
      </c>
      <c r="G1249" s="1" t="s">
        <v>2042</v>
      </c>
    </row>
    <row r="1250" spans="1:7">
      <c r="A1250" s="1">
        <v>2516</v>
      </c>
      <c r="B1250" s="1" t="s">
        <v>3355</v>
      </c>
      <c r="D1250" s="1" t="s">
        <v>3341</v>
      </c>
      <c r="E1250" s="1" t="s">
        <v>3356</v>
      </c>
      <c r="F1250" s="1" t="s">
        <v>2045</v>
      </c>
      <c r="G1250" s="1" t="s">
        <v>2046</v>
      </c>
    </row>
    <row r="1251" spans="1:7">
      <c r="A1251" s="1">
        <v>2517</v>
      </c>
      <c r="B1251" s="1" t="s">
        <v>3357</v>
      </c>
      <c r="D1251" s="1" t="s">
        <v>3341</v>
      </c>
      <c r="E1251" s="1" t="s">
        <v>3358</v>
      </c>
      <c r="F1251" s="1" t="s">
        <v>2049</v>
      </c>
      <c r="G1251" s="1" t="s">
        <v>2050</v>
      </c>
    </row>
    <row r="1252" spans="1:7">
      <c r="A1252" s="1">
        <v>2519</v>
      </c>
      <c r="B1252" s="1" t="s">
        <v>3359</v>
      </c>
      <c r="D1252" s="1" t="s">
        <v>3341</v>
      </c>
      <c r="E1252" s="1" t="s">
        <v>3360</v>
      </c>
      <c r="F1252" s="1" t="s">
        <v>161</v>
      </c>
      <c r="G1252" s="1" t="s">
        <v>162</v>
      </c>
    </row>
    <row r="1253" spans="1:7">
      <c r="A1253" s="1">
        <v>2520</v>
      </c>
      <c r="B1253" s="1" t="s">
        <v>3361</v>
      </c>
      <c r="D1253" s="1" t="s">
        <v>3341</v>
      </c>
      <c r="E1253" s="1" t="s">
        <v>3362</v>
      </c>
      <c r="F1253" s="1" t="s">
        <v>165</v>
      </c>
      <c r="G1253" s="1" t="s">
        <v>166</v>
      </c>
    </row>
    <row r="1254" spans="1:7">
      <c r="A1254" s="1">
        <v>2522</v>
      </c>
      <c r="B1254" s="1" t="s">
        <v>3363</v>
      </c>
      <c r="D1254" s="1" t="s">
        <v>3341</v>
      </c>
      <c r="E1254" s="1" t="s">
        <v>3364</v>
      </c>
      <c r="F1254" s="1" t="s">
        <v>2057</v>
      </c>
      <c r="G1254" s="1" t="s">
        <v>2058</v>
      </c>
    </row>
    <row r="1255" spans="1:7">
      <c r="A1255" s="1">
        <v>2523</v>
      </c>
      <c r="B1255" s="1" t="s">
        <v>3365</v>
      </c>
      <c r="D1255" s="1" t="s">
        <v>3341</v>
      </c>
      <c r="E1255" s="1" t="s">
        <v>3366</v>
      </c>
      <c r="F1255" s="1" t="s">
        <v>2061</v>
      </c>
      <c r="G1255" s="1" t="s">
        <v>2062</v>
      </c>
    </row>
    <row r="1256" spans="1:7">
      <c r="A1256" s="1">
        <v>2524</v>
      </c>
      <c r="B1256" s="1" t="s">
        <v>3367</v>
      </c>
      <c r="D1256" s="1" t="s">
        <v>3341</v>
      </c>
      <c r="E1256" s="1" t="s">
        <v>3368</v>
      </c>
      <c r="F1256" s="1" t="s">
        <v>2065</v>
      </c>
      <c r="G1256" s="1" t="s">
        <v>2058</v>
      </c>
    </row>
    <row r="1257" spans="1:7">
      <c r="A1257" s="1">
        <v>2525</v>
      </c>
      <c r="B1257" s="1" t="s">
        <v>3369</v>
      </c>
      <c r="D1257" s="1" t="s">
        <v>3341</v>
      </c>
      <c r="E1257" s="1" t="s">
        <v>3370</v>
      </c>
      <c r="F1257" s="1" t="s">
        <v>2068</v>
      </c>
      <c r="G1257" s="1" t="s">
        <v>2062</v>
      </c>
    </row>
    <row r="1258" spans="1:7">
      <c r="A1258" s="1">
        <v>2527</v>
      </c>
      <c r="B1258" s="1" t="s">
        <v>3371</v>
      </c>
      <c r="D1258" s="1" t="s">
        <v>3372</v>
      </c>
      <c r="E1258" s="1" t="s">
        <v>3373</v>
      </c>
      <c r="F1258" s="1" t="s">
        <v>541</v>
      </c>
      <c r="G1258" s="1" t="s">
        <v>542</v>
      </c>
    </row>
    <row r="1259" spans="1:7">
      <c r="A1259" s="1">
        <v>2528</v>
      </c>
      <c r="B1259" s="1" t="s">
        <v>3374</v>
      </c>
      <c r="D1259" s="1" t="s">
        <v>3372</v>
      </c>
      <c r="E1259" s="1" t="s">
        <v>3375</v>
      </c>
      <c r="F1259" s="1" t="s">
        <v>1557</v>
      </c>
      <c r="G1259" s="1" t="s">
        <v>1558</v>
      </c>
    </row>
    <row r="1260" spans="1:7">
      <c r="A1260" s="1">
        <v>2529</v>
      </c>
      <c r="B1260" s="1" t="s">
        <v>3376</v>
      </c>
      <c r="D1260" s="1" t="s">
        <v>3372</v>
      </c>
      <c r="E1260" s="1" t="s">
        <v>3377</v>
      </c>
      <c r="F1260" s="1" t="s">
        <v>1553</v>
      </c>
      <c r="G1260" s="1" t="s">
        <v>1554</v>
      </c>
    </row>
    <row r="1261" spans="1:7">
      <c r="A1261" s="1">
        <v>2530</v>
      </c>
      <c r="B1261" s="1" t="s">
        <v>3378</v>
      </c>
      <c r="D1261" s="1" t="s">
        <v>3372</v>
      </c>
      <c r="E1261" s="1" t="s">
        <v>3379</v>
      </c>
      <c r="F1261" s="1" t="s">
        <v>1561</v>
      </c>
      <c r="G1261" s="1" t="s">
        <v>1562</v>
      </c>
    </row>
    <row r="1262" spans="1:7">
      <c r="A1262" s="1">
        <v>2531</v>
      </c>
      <c r="B1262" s="1" t="s">
        <v>3380</v>
      </c>
      <c r="D1262" s="1" t="s">
        <v>3372</v>
      </c>
      <c r="E1262" s="1" t="s">
        <v>3381</v>
      </c>
      <c r="F1262" s="1" t="s">
        <v>2033</v>
      </c>
      <c r="G1262" s="1" t="s">
        <v>2034</v>
      </c>
    </row>
    <row r="1263" spans="1:7">
      <c r="A1263" s="1">
        <v>2532</v>
      </c>
      <c r="B1263" s="1" t="s">
        <v>3382</v>
      </c>
      <c r="D1263" s="1" t="s">
        <v>3372</v>
      </c>
      <c r="E1263" s="1" t="s">
        <v>3383</v>
      </c>
      <c r="F1263" s="1" t="s">
        <v>2037</v>
      </c>
      <c r="G1263" s="1" t="s">
        <v>2038</v>
      </c>
    </row>
    <row r="1264" spans="1:7">
      <c r="A1264" s="1">
        <v>2533</v>
      </c>
      <c r="B1264" s="1" t="s">
        <v>3384</v>
      </c>
      <c r="D1264" s="1" t="s">
        <v>3372</v>
      </c>
      <c r="E1264" s="1" t="s">
        <v>3385</v>
      </c>
      <c r="F1264" s="1" t="s">
        <v>2041</v>
      </c>
      <c r="G1264" s="1" t="s">
        <v>2042</v>
      </c>
    </row>
    <row r="1265" spans="1:7">
      <c r="A1265" s="1">
        <v>2534</v>
      </c>
      <c r="B1265" s="1" t="s">
        <v>3386</v>
      </c>
      <c r="D1265" s="1" t="s">
        <v>3372</v>
      </c>
      <c r="E1265" s="1" t="s">
        <v>3387</v>
      </c>
      <c r="F1265" s="1" t="s">
        <v>2045</v>
      </c>
      <c r="G1265" s="1" t="s">
        <v>2046</v>
      </c>
    </row>
    <row r="1266" spans="1:7">
      <c r="A1266" s="1">
        <v>2535</v>
      </c>
      <c r="B1266" s="1" t="s">
        <v>3388</v>
      </c>
      <c r="D1266" s="1" t="s">
        <v>3372</v>
      </c>
      <c r="E1266" s="1" t="s">
        <v>3389</v>
      </c>
      <c r="F1266" s="1" t="s">
        <v>2049</v>
      </c>
      <c r="G1266" s="1" t="s">
        <v>2050</v>
      </c>
    </row>
    <row r="1267" spans="1:7">
      <c r="A1267" s="1">
        <v>2537</v>
      </c>
      <c r="B1267" s="1" t="s">
        <v>3390</v>
      </c>
      <c r="D1267" s="1" t="s">
        <v>3372</v>
      </c>
      <c r="E1267" s="1" t="s">
        <v>3391</v>
      </c>
      <c r="F1267" s="1" t="s">
        <v>161</v>
      </c>
      <c r="G1267" s="1" t="s">
        <v>162</v>
      </c>
    </row>
    <row r="1268" spans="1:7">
      <c r="A1268" s="1">
        <v>2538</v>
      </c>
      <c r="B1268" s="1" t="s">
        <v>3392</v>
      </c>
      <c r="D1268" s="1" t="s">
        <v>3372</v>
      </c>
      <c r="E1268" s="1" t="s">
        <v>3393</v>
      </c>
      <c r="F1268" s="1" t="s">
        <v>165</v>
      </c>
      <c r="G1268" s="1" t="s">
        <v>166</v>
      </c>
    </row>
    <row r="1269" spans="1:7">
      <c r="A1269" s="1">
        <v>2540</v>
      </c>
      <c r="B1269" s="1" t="s">
        <v>3394</v>
      </c>
      <c r="D1269" s="1" t="s">
        <v>3372</v>
      </c>
      <c r="E1269" s="1" t="s">
        <v>3395</v>
      </c>
      <c r="F1269" s="1" t="s">
        <v>2057</v>
      </c>
      <c r="G1269" s="1" t="s">
        <v>2058</v>
      </c>
    </row>
    <row r="1270" spans="1:7">
      <c r="A1270" s="1">
        <v>2541</v>
      </c>
      <c r="B1270" s="1" t="s">
        <v>3396</v>
      </c>
      <c r="D1270" s="1" t="s">
        <v>3372</v>
      </c>
      <c r="E1270" s="1" t="s">
        <v>3397</v>
      </c>
      <c r="F1270" s="1" t="s">
        <v>2061</v>
      </c>
      <c r="G1270" s="1" t="s">
        <v>2062</v>
      </c>
    </row>
    <row r="1271" spans="1:7">
      <c r="A1271" s="1">
        <v>2542</v>
      </c>
      <c r="B1271" s="1" t="s">
        <v>3398</v>
      </c>
      <c r="D1271" s="1" t="s">
        <v>3372</v>
      </c>
      <c r="E1271" s="1" t="s">
        <v>3399</v>
      </c>
      <c r="F1271" s="1" t="s">
        <v>2065</v>
      </c>
      <c r="G1271" s="1" t="s">
        <v>2058</v>
      </c>
    </row>
    <row r="1272" spans="1:7">
      <c r="A1272" s="1">
        <v>2543</v>
      </c>
      <c r="B1272" s="1" t="s">
        <v>3400</v>
      </c>
      <c r="D1272" s="1" t="s">
        <v>3372</v>
      </c>
      <c r="E1272" s="1" t="s">
        <v>3401</v>
      </c>
      <c r="F1272" s="1" t="s">
        <v>2068</v>
      </c>
      <c r="G1272" s="1" t="s">
        <v>2062</v>
      </c>
    </row>
    <row r="1273" spans="1:7">
      <c r="A1273" s="1">
        <v>2545</v>
      </c>
      <c r="B1273" s="1" t="s">
        <v>3402</v>
      </c>
      <c r="D1273" s="1" t="s">
        <v>3403</v>
      </c>
      <c r="E1273" s="1" t="s">
        <v>3404</v>
      </c>
      <c r="F1273" s="1" t="s">
        <v>541</v>
      </c>
      <c r="G1273" s="1" t="s">
        <v>542</v>
      </c>
    </row>
    <row r="1274" spans="1:7">
      <c r="A1274" s="1">
        <v>2546</v>
      </c>
      <c r="B1274" s="1" t="s">
        <v>3405</v>
      </c>
      <c r="D1274" s="1" t="s">
        <v>3403</v>
      </c>
      <c r="E1274" s="1" t="s">
        <v>3406</v>
      </c>
      <c r="F1274" s="1" t="s">
        <v>1557</v>
      </c>
      <c r="G1274" s="1" t="s">
        <v>1558</v>
      </c>
    </row>
    <row r="1275" spans="1:7">
      <c r="A1275" s="1">
        <v>2547</v>
      </c>
      <c r="B1275" s="1" t="s">
        <v>3407</v>
      </c>
      <c r="D1275" s="1" t="s">
        <v>3403</v>
      </c>
      <c r="E1275" s="1" t="s">
        <v>3408</v>
      </c>
      <c r="F1275" s="1" t="s">
        <v>1553</v>
      </c>
      <c r="G1275" s="1" t="s">
        <v>1554</v>
      </c>
    </row>
    <row r="1276" spans="1:7">
      <c r="A1276" s="1">
        <v>2548</v>
      </c>
      <c r="B1276" s="1" t="s">
        <v>3409</v>
      </c>
      <c r="D1276" s="1" t="s">
        <v>3403</v>
      </c>
      <c r="E1276" s="1" t="s">
        <v>3410</v>
      </c>
      <c r="F1276" s="1" t="s">
        <v>1561</v>
      </c>
      <c r="G1276" s="1" t="s">
        <v>1562</v>
      </c>
    </row>
    <row r="1277" spans="1:7">
      <c r="A1277" s="1">
        <v>2549</v>
      </c>
      <c r="B1277" s="1" t="s">
        <v>3411</v>
      </c>
      <c r="D1277" s="1" t="s">
        <v>3403</v>
      </c>
      <c r="E1277" s="1" t="s">
        <v>3412</v>
      </c>
      <c r="F1277" s="1" t="s">
        <v>2033</v>
      </c>
      <c r="G1277" s="1" t="s">
        <v>2034</v>
      </c>
    </row>
    <row r="1278" spans="1:7">
      <c r="A1278" s="1">
        <v>2550</v>
      </c>
      <c r="B1278" s="1" t="s">
        <v>3413</v>
      </c>
      <c r="D1278" s="1" t="s">
        <v>3403</v>
      </c>
      <c r="E1278" s="1" t="s">
        <v>3414</v>
      </c>
      <c r="F1278" s="1" t="s">
        <v>2037</v>
      </c>
      <c r="G1278" s="1" t="s">
        <v>2038</v>
      </c>
    </row>
    <row r="1279" spans="1:7">
      <c r="A1279" s="1">
        <v>2551</v>
      </c>
      <c r="B1279" s="1" t="s">
        <v>3415</v>
      </c>
      <c r="D1279" s="1" t="s">
        <v>3403</v>
      </c>
      <c r="E1279" s="1" t="s">
        <v>3416</v>
      </c>
      <c r="F1279" s="1" t="s">
        <v>2041</v>
      </c>
      <c r="G1279" s="1" t="s">
        <v>2042</v>
      </c>
    </row>
    <row r="1280" spans="1:7">
      <c r="A1280" s="1">
        <v>2552</v>
      </c>
      <c r="B1280" s="1" t="s">
        <v>3417</v>
      </c>
      <c r="D1280" s="1" t="s">
        <v>3403</v>
      </c>
      <c r="E1280" s="1" t="s">
        <v>3418</v>
      </c>
      <c r="F1280" s="1" t="s">
        <v>2045</v>
      </c>
      <c r="G1280" s="1" t="s">
        <v>2046</v>
      </c>
    </row>
    <row r="1281" spans="1:7">
      <c r="A1281" s="1">
        <v>2553</v>
      </c>
      <c r="B1281" s="1" t="s">
        <v>3419</v>
      </c>
      <c r="D1281" s="1" t="s">
        <v>3403</v>
      </c>
      <c r="E1281" s="1" t="s">
        <v>3420</v>
      </c>
      <c r="F1281" s="1" t="s">
        <v>2049</v>
      </c>
      <c r="G1281" s="1" t="s">
        <v>2050</v>
      </c>
    </row>
    <row r="1282" spans="1:7">
      <c r="A1282" s="1">
        <v>2555</v>
      </c>
      <c r="B1282" s="1" t="s">
        <v>3421</v>
      </c>
      <c r="D1282" s="1" t="s">
        <v>3403</v>
      </c>
      <c r="E1282" s="1" t="s">
        <v>3422</v>
      </c>
      <c r="F1282" s="1" t="s">
        <v>161</v>
      </c>
      <c r="G1282" s="1" t="s">
        <v>162</v>
      </c>
    </row>
    <row r="1283" spans="1:7">
      <c r="A1283" s="1">
        <v>2556</v>
      </c>
      <c r="B1283" s="1" t="s">
        <v>3423</v>
      </c>
      <c r="D1283" s="1" t="s">
        <v>3403</v>
      </c>
      <c r="E1283" s="1" t="s">
        <v>3424</v>
      </c>
      <c r="F1283" s="1" t="s">
        <v>165</v>
      </c>
      <c r="G1283" s="1" t="s">
        <v>166</v>
      </c>
    </row>
    <row r="1284" spans="1:7">
      <c r="A1284" s="1">
        <v>2558</v>
      </c>
      <c r="B1284" s="1" t="s">
        <v>3425</v>
      </c>
      <c r="D1284" s="1" t="s">
        <v>3403</v>
      </c>
      <c r="E1284" s="1" t="s">
        <v>3426</v>
      </c>
      <c r="F1284" s="1" t="s">
        <v>2057</v>
      </c>
      <c r="G1284" s="1" t="s">
        <v>2058</v>
      </c>
    </row>
    <row r="1285" spans="1:7">
      <c r="A1285" s="1">
        <v>2559</v>
      </c>
      <c r="B1285" s="1" t="s">
        <v>3427</v>
      </c>
      <c r="D1285" s="1" t="s">
        <v>3403</v>
      </c>
      <c r="E1285" s="1" t="s">
        <v>3428</v>
      </c>
      <c r="F1285" s="1" t="s">
        <v>2061</v>
      </c>
      <c r="G1285" s="1" t="s">
        <v>2062</v>
      </c>
    </row>
    <row r="1286" spans="1:7">
      <c r="A1286" s="1">
        <v>2560</v>
      </c>
      <c r="B1286" s="1" t="s">
        <v>3429</v>
      </c>
      <c r="D1286" s="1" t="s">
        <v>3403</v>
      </c>
      <c r="E1286" s="1" t="s">
        <v>3430</v>
      </c>
      <c r="F1286" s="1" t="s">
        <v>2065</v>
      </c>
      <c r="G1286" s="1" t="s">
        <v>2058</v>
      </c>
    </row>
    <row r="1287" spans="1:7">
      <c r="A1287" s="1">
        <v>2561</v>
      </c>
      <c r="B1287" s="1" t="s">
        <v>3431</v>
      </c>
      <c r="D1287" s="1" t="s">
        <v>3403</v>
      </c>
      <c r="E1287" s="1" t="s">
        <v>3432</v>
      </c>
      <c r="F1287" s="1" t="s">
        <v>2068</v>
      </c>
      <c r="G1287" s="1" t="s">
        <v>2062</v>
      </c>
    </row>
    <row r="1288" spans="1:7">
      <c r="A1288" s="1">
        <v>2563</v>
      </c>
      <c r="B1288" s="1" t="s">
        <v>3433</v>
      </c>
      <c r="D1288" s="1" t="s">
        <v>3434</v>
      </c>
      <c r="E1288" s="1" t="s">
        <v>3435</v>
      </c>
      <c r="F1288" s="1" t="s">
        <v>541</v>
      </c>
      <c r="G1288" s="1" t="s">
        <v>542</v>
      </c>
    </row>
    <row r="1289" spans="1:7">
      <c r="A1289" s="1">
        <v>2564</v>
      </c>
      <c r="B1289" s="1" t="s">
        <v>3436</v>
      </c>
      <c r="D1289" s="1" t="s">
        <v>3434</v>
      </c>
      <c r="E1289" s="1" t="s">
        <v>3437</v>
      </c>
      <c r="F1289" s="1" t="s">
        <v>1557</v>
      </c>
      <c r="G1289" s="1" t="s">
        <v>1558</v>
      </c>
    </row>
    <row r="1290" spans="1:7">
      <c r="A1290" s="1">
        <v>2565</v>
      </c>
      <c r="B1290" s="1" t="s">
        <v>3438</v>
      </c>
      <c r="D1290" s="1" t="s">
        <v>3434</v>
      </c>
      <c r="E1290" s="1" t="s">
        <v>3439</v>
      </c>
      <c r="F1290" s="1" t="s">
        <v>1553</v>
      </c>
      <c r="G1290" s="1" t="s">
        <v>1554</v>
      </c>
    </row>
    <row r="1291" spans="1:7">
      <c r="A1291" s="1">
        <v>2566</v>
      </c>
      <c r="B1291" s="1" t="s">
        <v>3440</v>
      </c>
      <c r="D1291" s="1" t="s">
        <v>3434</v>
      </c>
      <c r="E1291" s="1" t="s">
        <v>3441</v>
      </c>
      <c r="F1291" s="1" t="s">
        <v>1561</v>
      </c>
      <c r="G1291" s="1" t="s">
        <v>1562</v>
      </c>
    </row>
    <row r="1292" spans="1:7">
      <c r="A1292" s="1">
        <v>2567</v>
      </c>
      <c r="B1292" s="1" t="s">
        <v>3442</v>
      </c>
      <c r="D1292" s="1" t="s">
        <v>3434</v>
      </c>
      <c r="E1292" s="1" t="s">
        <v>3443</v>
      </c>
      <c r="F1292" s="1" t="s">
        <v>2033</v>
      </c>
      <c r="G1292" s="1" t="s">
        <v>2034</v>
      </c>
    </row>
    <row r="1293" spans="1:7">
      <c r="A1293" s="1">
        <v>2568</v>
      </c>
      <c r="B1293" s="1" t="s">
        <v>3444</v>
      </c>
      <c r="D1293" s="1" t="s">
        <v>3434</v>
      </c>
      <c r="E1293" s="1" t="s">
        <v>3445</v>
      </c>
      <c r="F1293" s="1" t="s">
        <v>2037</v>
      </c>
      <c r="G1293" s="1" t="s">
        <v>2038</v>
      </c>
    </row>
    <row r="1294" spans="1:7">
      <c r="A1294" s="1">
        <v>2569</v>
      </c>
      <c r="B1294" s="1" t="s">
        <v>3446</v>
      </c>
      <c r="D1294" s="1" t="s">
        <v>3434</v>
      </c>
      <c r="E1294" s="1" t="s">
        <v>3447</v>
      </c>
      <c r="F1294" s="1" t="s">
        <v>2041</v>
      </c>
      <c r="G1294" s="1" t="s">
        <v>2042</v>
      </c>
    </row>
    <row r="1295" spans="1:7">
      <c r="A1295" s="1">
        <v>2570</v>
      </c>
      <c r="B1295" s="1" t="s">
        <v>3448</v>
      </c>
      <c r="D1295" s="1" t="s">
        <v>3434</v>
      </c>
      <c r="E1295" s="1" t="s">
        <v>3449</v>
      </c>
      <c r="F1295" s="1" t="s">
        <v>2045</v>
      </c>
      <c r="G1295" s="1" t="s">
        <v>2046</v>
      </c>
    </row>
    <row r="1296" spans="1:7">
      <c r="A1296" s="1">
        <v>2571</v>
      </c>
      <c r="B1296" s="1" t="s">
        <v>3450</v>
      </c>
      <c r="D1296" s="1" t="s">
        <v>3434</v>
      </c>
      <c r="E1296" s="1" t="s">
        <v>3451</v>
      </c>
      <c r="F1296" s="1" t="s">
        <v>2049</v>
      </c>
      <c r="G1296" s="1" t="s">
        <v>2050</v>
      </c>
    </row>
    <row r="1297" spans="1:7">
      <c r="A1297" s="1">
        <v>2573</v>
      </c>
      <c r="B1297" s="1" t="s">
        <v>3452</v>
      </c>
      <c r="D1297" s="1" t="s">
        <v>3434</v>
      </c>
      <c r="E1297" s="1" t="s">
        <v>3453</v>
      </c>
      <c r="F1297" s="1" t="s">
        <v>161</v>
      </c>
      <c r="G1297" s="1" t="s">
        <v>162</v>
      </c>
    </row>
    <row r="1298" spans="1:7">
      <c r="A1298" s="1">
        <v>2574</v>
      </c>
      <c r="B1298" s="1" t="s">
        <v>3454</v>
      </c>
      <c r="D1298" s="1" t="s">
        <v>3434</v>
      </c>
      <c r="E1298" s="1" t="s">
        <v>3455</v>
      </c>
      <c r="F1298" s="1" t="s">
        <v>165</v>
      </c>
      <c r="G1298" s="1" t="s">
        <v>166</v>
      </c>
    </row>
    <row r="1299" spans="1:7">
      <c r="A1299" s="1">
        <v>2576</v>
      </c>
      <c r="B1299" s="1" t="s">
        <v>3456</v>
      </c>
      <c r="D1299" s="1" t="s">
        <v>3434</v>
      </c>
      <c r="E1299" s="1" t="s">
        <v>3457</v>
      </c>
      <c r="F1299" s="1" t="s">
        <v>2057</v>
      </c>
      <c r="G1299" s="1" t="s">
        <v>2058</v>
      </c>
    </row>
    <row r="1300" spans="1:7">
      <c r="A1300" s="1">
        <v>2577</v>
      </c>
      <c r="B1300" s="1" t="s">
        <v>3458</v>
      </c>
      <c r="D1300" s="1" t="s">
        <v>3434</v>
      </c>
      <c r="E1300" s="1" t="s">
        <v>3459</v>
      </c>
      <c r="F1300" s="1" t="s">
        <v>2061</v>
      </c>
      <c r="G1300" s="1" t="s">
        <v>2062</v>
      </c>
    </row>
    <row r="1301" spans="1:7">
      <c r="A1301" s="1">
        <v>2578</v>
      </c>
      <c r="B1301" s="1" t="s">
        <v>3460</v>
      </c>
      <c r="D1301" s="1" t="s">
        <v>3434</v>
      </c>
      <c r="E1301" s="1" t="s">
        <v>3461</v>
      </c>
      <c r="F1301" s="1" t="s">
        <v>2065</v>
      </c>
      <c r="G1301" s="1" t="s">
        <v>2058</v>
      </c>
    </row>
    <row r="1302" spans="1:7">
      <c r="A1302" s="1">
        <v>2579</v>
      </c>
      <c r="B1302" s="1" t="s">
        <v>3462</v>
      </c>
      <c r="D1302" s="1" t="s">
        <v>3434</v>
      </c>
      <c r="E1302" s="1" t="s">
        <v>3463</v>
      </c>
      <c r="F1302" s="1" t="s">
        <v>2068</v>
      </c>
      <c r="G1302" s="1" t="s">
        <v>2062</v>
      </c>
    </row>
    <row r="1303" spans="1:7">
      <c r="A1303" s="1">
        <v>2581</v>
      </c>
      <c r="B1303" s="1" t="s">
        <v>3464</v>
      </c>
      <c r="D1303" s="1" t="s">
        <v>3465</v>
      </c>
      <c r="E1303" s="1" t="s">
        <v>3466</v>
      </c>
      <c r="F1303" s="1" t="s">
        <v>541</v>
      </c>
      <c r="G1303" s="1" t="s">
        <v>542</v>
      </c>
    </row>
    <row r="1304" spans="1:7">
      <c r="A1304" s="1">
        <v>2582</v>
      </c>
      <c r="B1304" s="1" t="s">
        <v>3467</v>
      </c>
      <c r="D1304" s="1" t="s">
        <v>3465</v>
      </c>
      <c r="E1304" s="1" t="s">
        <v>3468</v>
      </c>
      <c r="F1304" s="1" t="s">
        <v>1557</v>
      </c>
      <c r="G1304" s="1" t="s">
        <v>1558</v>
      </c>
    </row>
    <row r="1305" spans="1:7">
      <c r="A1305" s="1">
        <v>2583</v>
      </c>
      <c r="B1305" s="1" t="s">
        <v>3469</v>
      </c>
      <c r="D1305" s="1" t="s">
        <v>3465</v>
      </c>
      <c r="E1305" s="1" t="s">
        <v>3470</v>
      </c>
      <c r="F1305" s="1" t="s">
        <v>1553</v>
      </c>
      <c r="G1305" s="1" t="s">
        <v>1554</v>
      </c>
    </row>
    <row r="1306" spans="1:7">
      <c r="A1306" s="1">
        <v>2584</v>
      </c>
      <c r="B1306" s="1" t="s">
        <v>3471</v>
      </c>
      <c r="D1306" s="1" t="s">
        <v>3465</v>
      </c>
      <c r="E1306" s="1" t="s">
        <v>3472</v>
      </c>
      <c r="F1306" s="1" t="s">
        <v>1561</v>
      </c>
      <c r="G1306" s="1" t="s">
        <v>1562</v>
      </c>
    </row>
    <row r="1307" spans="1:7">
      <c r="A1307" s="1">
        <v>2585</v>
      </c>
      <c r="B1307" s="1" t="s">
        <v>3473</v>
      </c>
      <c r="D1307" s="1" t="s">
        <v>3465</v>
      </c>
      <c r="E1307" s="1" t="s">
        <v>3474</v>
      </c>
      <c r="F1307" s="1" t="s">
        <v>2033</v>
      </c>
      <c r="G1307" s="1" t="s">
        <v>2034</v>
      </c>
    </row>
    <row r="1308" spans="1:7">
      <c r="A1308" s="1">
        <v>2586</v>
      </c>
      <c r="B1308" s="1" t="s">
        <v>3475</v>
      </c>
      <c r="D1308" s="1" t="s">
        <v>3465</v>
      </c>
      <c r="E1308" s="1" t="s">
        <v>3476</v>
      </c>
      <c r="F1308" s="1" t="s">
        <v>2037</v>
      </c>
      <c r="G1308" s="1" t="s">
        <v>2038</v>
      </c>
    </row>
    <row r="1309" spans="1:7">
      <c r="A1309" s="1">
        <v>2587</v>
      </c>
      <c r="B1309" s="1" t="s">
        <v>3477</v>
      </c>
      <c r="D1309" s="1" t="s">
        <v>3465</v>
      </c>
      <c r="E1309" s="1" t="s">
        <v>3478</v>
      </c>
      <c r="F1309" s="1" t="s">
        <v>2041</v>
      </c>
      <c r="G1309" s="1" t="s">
        <v>2042</v>
      </c>
    </row>
    <row r="1310" spans="1:7">
      <c r="A1310" s="1">
        <v>2588</v>
      </c>
      <c r="B1310" s="1" t="s">
        <v>3479</v>
      </c>
      <c r="D1310" s="1" t="s">
        <v>3465</v>
      </c>
      <c r="E1310" s="1" t="s">
        <v>3480</v>
      </c>
      <c r="F1310" s="1" t="s">
        <v>2045</v>
      </c>
      <c r="G1310" s="1" t="s">
        <v>2046</v>
      </c>
    </row>
    <row r="1311" spans="1:7">
      <c r="A1311" s="1">
        <v>2589</v>
      </c>
      <c r="B1311" s="1" t="s">
        <v>3481</v>
      </c>
      <c r="D1311" s="1" t="s">
        <v>3465</v>
      </c>
      <c r="E1311" s="1" t="s">
        <v>3482</v>
      </c>
      <c r="F1311" s="1" t="s">
        <v>2049</v>
      </c>
      <c r="G1311" s="1" t="s">
        <v>2050</v>
      </c>
    </row>
    <row r="1312" spans="1:7">
      <c r="A1312" s="1">
        <v>2591</v>
      </c>
      <c r="B1312" s="1" t="s">
        <v>3483</v>
      </c>
      <c r="D1312" s="1" t="s">
        <v>3465</v>
      </c>
      <c r="E1312" s="1" t="s">
        <v>3484</v>
      </c>
      <c r="F1312" s="1" t="s">
        <v>161</v>
      </c>
      <c r="G1312" s="1" t="s">
        <v>162</v>
      </c>
    </row>
    <row r="1313" spans="1:7">
      <c r="A1313" s="1">
        <v>2592</v>
      </c>
      <c r="B1313" s="1" t="s">
        <v>3485</v>
      </c>
      <c r="D1313" s="1" t="s">
        <v>3465</v>
      </c>
      <c r="E1313" s="1" t="s">
        <v>3486</v>
      </c>
      <c r="F1313" s="1" t="s">
        <v>165</v>
      </c>
      <c r="G1313" s="1" t="s">
        <v>166</v>
      </c>
    </row>
    <row r="1314" spans="1:7">
      <c r="A1314" s="1">
        <v>2594</v>
      </c>
      <c r="B1314" s="1" t="s">
        <v>3487</v>
      </c>
      <c r="D1314" s="1" t="s">
        <v>3465</v>
      </c>
      <c r="E1314" s="1" t="s">
        <v>3488</v>
      </c>
      <c r="F1314" s="1" t="s">
        <v>2057</v>
      </c>
      <c r="G1314" s="1" t="s">
        <v>2058</v>
      </c>
    </row>
    <row r="1315" spans="1:7">
      <c r="A1315" s="1">
        <v>2595</v>
      </c>
      <c r="B1315" s="1" t="s">
        <v>3489</v>
      </c>
      <c r="D1315" s="1" t="s">
        <v>3465</v>
      </c>
      <c r="E1315" s="1" t="s">
        <v>3490</v>
      </c>
      <c r="F1315" s="1" t="s">
        <v>2061</v>
      </c>
      <c r="G1315" s="1" t="s">
        <v>2062</v>
      </c>
    </row>
    <row r="1316" spans="1:7">
      <c r="A1316" s="1">
        <v>2596</v>
      </c>
      <c r="B1316" s="1" t="s">
        <v>3491</v>
      </c>
      <c r="D1316" s="1" t="s">
        <v>3465</v>
      </c>
      <c r="E1316" s="1" t="s">
        <v>3492</v>
      </c>
      <c r="F1316" s="1" t="s">
        <v>2065</v>
      </c>
      <c r="G1316" s="1" t="s">
        <v>2058</v>
      </c>
    </row>
    <row r="1317" spans="1:7">
      <c r="A1317" s="1">
        <v>2597</v>
      </c>
      <c r="B1317" s="1" t="s">
        <v>3493</v>
      </c>
      <c r="D1317" s="1" t="s">
        <v>3465</v>
      </c>
      <c r="E1317" s="1" t="s">
        <v>3494</v>
      </c>
      <c r="F1317" s="1" t="s">
        <v>2068</v>
      </c>
      <c r="G1317" s="1" t="s">
        <v>2062</v>
      </c>
    </row>
    <row r="1318" spans="1:7">
      <c r="A1318" s="1">
        <v>2599</v>
      </c>
      <c r="B1318" s="1" t="s">
        <v>3495</v>
      </c>
      <c r="D1318" s="1" t="s">
        <v>3496</v>
      </c>
      <c r="E1318" s="1" t="s">
        <v>3497</v>
      </c>
      <c r="F1318" s="1" t="s">
        <v>541</v>
      </c>
      <c r="G1318" s="1" t="s">
        <v>542</v>
      </c>
    </row>
    <row r="1319" spans="1:7">
      <c r="A1319" s="1">
        <v>2600</v>
      </c>
      <c r="B1319" s="1" t="s">
        <v>3498</v>
      </c>
      <c r="D1319" s="1" t="s">
        <v>3496</v>
      </c>
      <c r="E1319" s="1" t="s">
        <v>3499</v>
      </c>
      <c r="F1319" s="1" t="s">
        <v>1557</v>
      </c>
      <c r="G1319" s="1" t="s">
        <v>1558</v>
      </c>
    </row>
    <row r="1320" spans="1:7">
      <c r="A1320" s="1">
        <v>2601</v>
      </c>
      <c r="B1320" s="1" t="s">
        <v>3500</v>
      </c>
      <c r="D1320" s="1" t="s">
        <v>3496</v>
      </c>
      <c r="E1320" s="1" t="s">
        <v>3501</v>
      </c>
      <c r="F1320" s="1" t="s">
        <v>1553</v>
      </c>
      <c r="G1320" s="1" t="s">
        <v>1554</v>
      </c>
    </row>
    <row r="1321" spans="1:7">
      <c r="A1321" s="1">
        <v>2602</v>
      </c>
      <c r="B1321" s="1" t="s">
        <v>3502</v>
      </c>
      <c r="D1321" s="1" t="s">
        <v>3496</v>
      </c>
      <c r="E1321" s="1" t="s">
        <v>3503</v>
      </c>
      <c r="F1321" s="1" t="s">
        <v>1561</v>
      </c>
      <c r="G1321" s="1" t="s">
        <v>1562</v>
      </c>
    </row>
    <row r="1322" spans="1:7">
      <c r="A1322" s="1">
        <v>2603</v>
      </c>
      <c r="B1322" s="1" t="s">
        <v>3504</v>
      </c>
      <c r="D1322" s="1" t="s">
        <v>3496</v>
      </c>
      <c r="E1322" s="1" t="s">
        <v>3505</v>
      </c>
      <c r="F1322" s="1" t="s">
        <v>2033</v>
      </c>
      <c r="G1322" s="1" t="s">
        <v>2034</v>
      </c>
    </row>
    <row r="1323" spans="1:7">
      <c r="A1323" s="1">
        <v>2604</v>
      </c>
      <c r="B1323" s="1" t="s">
        <v>3506</v>
      </c>
      <c r="D1323" s="1" t="s">
        <v>3496</v>
      </c>
      <c r="E1323" s="1" t="s">
        <v>3507</v>
      </c>
      <c r="F1323" s="1" t="s">
        <v>2037</v>
      </c>
      <c r="G1323" s="1" t="s">
        <v>2038</v>
      </c>
    </row>
    <row r="1324" spans="1:7">
      <c r="A1324" s="1">
        <v>2605</v>
      </c>
      <c r="B1324" s="1" t="s">
        <v>3508</v>
      </c>
      <c r="D1324" s="1" t="s">
        <v>3496</v>
      </c>
      <c r="E1324" s="1" t="s">
        <v>3509</v>
      </c>
      <c r="F1324" s="1" t="s">
        <v>2041</v>
      </c>
      <c r="G1324" s="1" t="s">
        <v>2042</v>
      </c>
    </row>
    <row r="1325" spans="1:7">
      <c r="A1325" s="1">
        <v>2606</v>
      </c>
      <c r="B1325" s="1" t="s">
        <v>3510</v>
      </c>
      <c r="D1325" s="1" t="s">
        <v>3496</v>
      </c>
      <c r="E1325" s="1" t="s">
        <v>3511</v>
      </c>
      <c r="F1325" s="1" t="s">
        <v>2045</v>
      </c>
      <c r="G1325" s="1" t="s">
        <v>2046</v>
      </c>
    </row>
    <row r="1326" spans="1:7">
      <c r="A1326" s="1">
        <v>2607</v>
      </c>
      <c r="B1326" s="1" t="s">
        <v>3512</v>
      </c>
      <c r="D1326" s="1" t="s">
        <v>3496</v>
      </c>
      <c r="E1326" s="1" t="s">
        <v>3513</v>
      </c>
      <c r="F1326" s="1" t="s">
        <v>2049</v>
      </c>
      <c r="G1326" s="1" t="s">
        <v>2050</v>
      </c>
    </row>
    <row r="1327" spans="1:7">
      <c r="A1327" s="1">
        <v>2609</v>
      </c>
      <c r="B1327" s="1" t="s">
        <v>3514</v>
      </c>
      <c r="D1327" s="1" t="s">
        <v>3496</v>
      </c>
      <c r="E1327" s="1" t="s">
        <v>3515</v>
      </c>
      <c r="F1327" s="1" t="s">
        <v>161</v>
      </c>
      <c r="G1327" s="1" t="s">
        <v>162</v>
      </c>
    </row>
    <row r="1328" spans="1:7">
      <c r="A1328" s="1">
        <v>2610</v>
      </c>
      <c r="B1328" s="1" t="s">
        <v>3516</v>
      </c>
      <c r="D1328" s="1" t="s">
        <v>3496</v>
      </c>
      <c r="E1328" s="1" t="s">
        <v>3517</v>
      </c>
      <c r="F1328" s="1" t="s">
        <v>165</v>
      </c>
      <c r="G1328" s="1" t="s">
        <v>166</v>
      </c>
    </row>
    <row r="1329" spans="1:7">
      <c r="A1329" s="1">
        <v>2612</v>
      </c>
      <c r="B1329" s="1" t="s">
        <v>3518</v>
      </c>
      <c r="D1329" s="1" t="s">
        <v>3496</v>
      </c>
      <c r="E1329" s="1" t="s">
        <v>3519</v>
      </c>
      <c r="F1329" s="1" t="s">
        <v>2057</v>
      </c>
      <c r="G1329" s="1" t="s">
        <v>2058</v>
      </c>
    </row>
    <row r="1330" spans="1:7">
      <c r="A1330" s="1">
        <v>2613</v>
      </c>
      <c r="B1330" s="1" t="s">
        <v>3520</v>
      </c>
      <c r="D1330" s="1" t="s">
        <v>3496</v>
      </c>
      <c r="E1330" s="1" t="s">
        <v>3521</v>
      </c>
      <c r="F1330" s="1" t="s">
        <v>2061</v>
      </c>
      <c r="G1330" s="1" t="s">
        <v>2062</v>
      </c>
    </row>
    <row r="1331" spans="1:7">
      <c r="A1331" s="1">
        <v>2614</v>
      </c>
      <c r="B1331" s="1" t="s">
        <v>3522</v>
      </c>
      <c r="D1331" s="1" t="s">
        <v>3496</v>
      </c>
      <c r="E1331" s="1" t="s">
        <v>3523</v>
      </c>
      <c r="F1331" s="1" t="s">
        <v>2065</v>
      </c>
      <c r="G1331" s="1" t="s">
        <v>2058</v>
      </c>
    </row>
    <row r="1332" spans="1:7">
      <c r="A1332" s="1">
        <v>2615</v>
      </c>
      <c r="B1332" s="1" t="s">
        <v>3524</v>
      </c>
      <c r="D1332" s="1" t="s">
        <v>3496</v>
      </c>
      <c r="E1332" s="1" t="s">
        <v>3525</v>
      </c>
      <c r="F1332" s="1" t="s">
        <v>2068</v>
      </c>
      <c r="G1332" s="1" t="s">
        <v>2062</v>
      </c>
    </row>
    <row r="1333" spans="1:7">
      <c r="A1333" s="1">
        <v>2617</v>
      </c>
      <c r="B1333" s="1" t="s">
        <v>3526</v>
      </c>
      <c r="D1333" s="1" t="s">
        <v>3527</v>
      </c>
      <c r="E1333" s="1" t="s">
        <v>3528</v>
      </c>
      <c r="F1333" s="1" t="s">
        <v>541</v>
      </c>
      <c r="G1333" s="1" t="s">
        <v>542</v>
      </c>
    </row>
    <row r="1334" spans="1:7">
      <c r="A1334" s="1">
        <v>2618</v>
      </c>
      <c r="B1334" s="1" t="s">
        <v>3529</v>
      </c>
      <c r="D1334" s="1" t="s">
        <v>3527</v>
      </c>
      <c r="E1334" s="1" t="s">
        <v>3530</v>
      </c>
      <c r="F1334" s="1" t="s">
        <v>1557</v>
      </c>
      <c r="G1334" s="1" t="s">
        <v>1558</v>
      </c>
    </row>
    <row r="1335" spans="1:7">
      <c r="A1335" s="1">
        <v>2619</v>
      </c>
      <c r="B1335" s="1" t="s">
        <v>3531</v>
      </c>
      <c r="D1335" s="1" t="s">
        <v>3527</v>
      </c>
      <c r="E1335" s="1" t="s">
        <v>3532</v>
      </c>
      <c r="F1335" s="1" t="s">
        <v>1553</v>
      </c>
      <c r="G1335" s="1" t="s">
        <v>1554</v>
      </c>
    </row>
    <row r="1336" spans="1:7">
      <c r="A1336" s="1">
        <v>2620</v>
      </c>
      <c r="B1336" s="1" t="s">
        <v>3533</v>
      </c>
      <c r="D1336" s="1" t="s">
        <v>3527</v>
      </c>
      <c r="E1336" s="1" t="s">
        <v>3534</v>
      </c>
      <c r="F1336" s="1" t="s">
        <v>1561</v>
      </c>
      <c r="G1336" s="1" t="s">
        <v>1562</v>
      </c>
    </row>
    <row r="1337" spans="1:7">
      <c r="A1337" s="1">
        <v>2621</v>
      </c>
      <c r="B1337" s="1" t="s">
        <v>3535</v>
      </c>
      <c r="D1337" s="1" t="s">
        <v>3527</v>
      </c>
      <c r="E1337" s="1" t="s">
        <v>3536</v>
      </c>
      <c r="F1337" s="1" t="s">
        <v>2033</v>
      </c>
      <c r="G1337" s="1" t="s">
        <v>2034</v>
      </c>
    </row>
    <row r="1338" spans="1:7">
      <c r="A1338" s="1">
        <v>2622</v>
      </c>
      <c r="B1338" s="1" t="s">
        <v>3537</v>
      </c>
      <c r="D1338" s="1" t="s">
        <v>3527</v>
      </c>
      <c r="E1338" s="1" t="s">
        <v>3538</v>
      </c>
      <c r="F1338" s="1" t="s">
        <v>2037</v>
      </c>
      <c r="G1338" s="1" t="s">
        <v>2038</v>
      </c>
    </row>
    <row r="1339" spans="1:7">
      <c r="A1339" s="1">
        <v>2623</v>
      </c>
      <c r="B1339" s="1" t="s">
        <v>3539</v>
      </c>
      <c r="D1339" s="1" t="s">
        <v>3527</v>
      </c>
      <c r="E1339" s="1" t="s">
        <v>3540</v>
      </c>
      <c r="F1339" s="1" t="s">
        <v>2041</v>
      </c>
      <c r="G1339" s="1" t="s">
        <v>2042</v>
      </c>
    </row>
    <row r="1340" spans="1:7">
      <c r="A1340" s="1">
        <v>2624</v>
      </c>
      <c r="B1340" s="1" t="s">
        <v>3541</v>
      </c>
      <c r="D1340" s="1" t="s">
        <v>3527</v>
      </c>
      <c r="E1340" s="1" t="s">
        <v>3542</v>
      </c>
      <c r="F1340" s="1" t="s">
        <v>2045</v>
      </c>
      <c r="G1340" s="1" t="s">
        <v>2046</v>
      </c>
    </row>
    <row r="1341" spans="1:7">
      <c r="A1341" s="1">
        <v>2625</v>
      </c>
      <c r="B1341" s="1" t="s">
        <v>3543</v>
      </c>
      <c r="D1341" s="1" t="s">
        <v>3527</v>
      </c>
      <c r="E1341" s="1" t="s">
        <v>3544</v>
      </c>
      <c r="F1341" s="1" t="s">
        <v>2049</v>
      </c>
      <c r="G1341" s="1" t="s">
        <v>2050</v>
      </c>
    </row>
    <row r="1342" spans="1:7">
      <c r="A1342" s="1">
        <v>2627</v>
      </c>
      <c r="B1342" s="1" t="s">
        <v>3545</v>
      </c>
      <c r="D1342" s="1" t="s">
        <v>3527</v>
      </c>
      <c r="E1342" s="1" t="s">
        <v>3546</v>
      </c>
      <c r="F1342" s="1" t="s">
        <v>161</v>
      </c>
      <c r="G1342" s="1" t="s">
        <v>162</v>
      </c>
    </row>
    <row r="1343" spans="1:7">
      <c r="A1343" s="1">
        <v>2628</v>
      </c>
      <c r="B1343" s="1" t="s">
        <v>3547</v>
      </c>
      <c r="D1343" s="1" t="s">
        <v>3527</v>
      </c>
      <c r="E1343" s="1" t="s">
        <v>3548</v>
      </c>
      <c r="F1343" s="1" t="s">
        <v>165</v>
      </c>
      <c r="G1343" s="1" t="s">
        <v>166</v>
      </c>
    </row>
    <row r="1344" spans="1:7">
      <c r="A1344" s="1">
        <v>2630</v>
      </c>
      <c r="B1344" s="1" t="s">
        <v>3549</v>
      </c>
      <c r="D1344" s="1" t="s">
        <v>3527</v>
      </c>
      <c r="E1344" s="1" t="s">
        <v>3550</v>
      </c>
      <c r="F1344" s="1" t="s">
        <v>2057</v>
      </c>
      <c r="G1344" s="1" t="s">
        <v>2058</v>
      </c>
    </row>
    <row r="1345" spans="1:7">
      <c r="A1345" s="1">
        <v>2631</v>
      </c>
      <c r="B1345" s="1" t="s">
        <v>3551</v>
      </c>
      <c r="D1345" s="1" t="s">
        <v>3527</v>
      </c>
      <c r="E1345" s="1" t="s">
        <v>3552</v>
      </c>
      <c r="F1345" s="1" t="s">
        <v>2061</v>
      </c>
      <c r="G1345" s="1" t="s">
        <v>2062</v>
      </c>
    </row>
    <row r="1346" spans="1:7">
      <c r="A1346" s="1">
        <v>2632</v>
      </c>
      <c r="B1346" s="1" t="s">
        <v>3553</v>
      </c>
      <c r="D1346" s="1" t="s">
        <v>3527</v>
      </c>
      <c r="E1346" s="1" t="s">
        <v>3554</v>
      </c>
      <c r="F1346" s="1" t="s">
        <v>2065</v>
      </c>
      <c r="G1346" s="1" t="s">
        <v>2058</v>
      </c>
    </row>
    <row r="1347" spans="1:7">
      <c r="A1347" s="1">
        <v>2633</v>
      </c>
      <c r="B1347" s="1" t="s">
        <v>3555</v>
      </c>
      <c r="D1347" s="1" t="s">
        <v>3527</v>
      </c>
      <c r="E1347" s="1" t="s">
        <v>3556</v>
      </c>
      <c r="F1347" s="1" t="s">
        <v>2068</v>
      </c>
      <c r="G1347" s="1" t="s">
        <v>2062</v>
      </c>
    </row>
    <row r="1348" spans="1:7">
      <c r="A1348" s="1">
        <v>2635</v>
      </c>
      <c r="B1348" s="1" t="s">
        <v>3557</v>
      </c>
      <c r="D1348" s="1" t="s">
        <v>3558</v>
      </c>
      <c r="E1348" s="1" t="s">
        <v>3559</v>
      </c>
      <c r="F1348" s="1" t="s">
        <v>541</v>
      </c>
      <c r="G1348" s="1" t="s">
        <v>542</v>
      </c>
    </row>
    <row r="1349" spans="1:7">
      <c r="A1349" s="1">
        <v>2636</v>
      </c>
      <c r="B1349" s="1" t="s">
        <v>3560</v>
      </c>
      <c r="D1349" s="1" t="s">
        <v>3558</v>
      </c>
      <c r="E1349" s="1" t="s">
        <v>3561</v>
      </c>
      <c r="F1349" s="1" t="s">
        <v>1557</v>
      </c>
      <c r="G1349" s="1" t="s">
        <v>1558</v>
      </c>
    </row>
    <row r="1350" spans="1:7">
      <c r="A1350" s="1">
        <v>2637</v>
      </c>
      <c r="B1350" s="1" t="s">
        <v>3562</v>
      </c>
      <c r="D1350" s="1" t="s">
        <v>3558</v>
      </c>
      <c r="E1350" s="1" t="s">
        <v>3563</v>
      </c>
      <c r="F1350" s="1" t="s">
        <v>1553</v>
      </c>
      <c r="G1350" s="1" t="s">
        <v>1554</v>
      </c>
    </row>
    <row r="1351" spans="1:7">
      <c r="A1351" s="1">
        <v>2638</v>
      </c>
      <c r="B1351" s="1" t="s">
        <v>3564</v>
      </c>
      <c r="D1351" s="1" t="s">
        <v>3558</v>
      </c>
      <c r="E1351" s="1" t="s">
        <v>3565</v>
      </c>
      <c r="F1351" s="1" t="s">
        <v>1561</v>
      </c>
      <c r="G1351" s="1" t="s">
        <v>1562</v>
      </c>
    </row>
    <row r="1352" spans="1:7">
      <c r="A1352" s="1">
        <v>2639</v>
      </c>
      <c r="B1352" s="1" t="s">
        <v>3566</v>
      </c>
      <c r="D1352" s="1" t="s">
        <v>3558</v>
      </c>
      <c r="E1352" s="1" t="s">
        <v>3567</v>
      </c>
      <c r="F1352" s="1" t="s">
        <v>2033</v>
      </c>
      <c r="G1352" s="1" t="s">
        <v>2034</v>
      </c>
    </row>
    <row r="1353" spans="1:7">
      <c r="A1353" s="1">
        <v>2640</v>
      </c>
      <c r="B1353" s="1" t="s">
        <v>3568</v>
      </c>
      <c r="D1353" s="1" t="s">
        <v>3558</v>
      </c>
      <c r="E1353" s="1" t="s">
        <v>3569</v>
      </c>
      <c r="F1353" s="1" t="s">
        <v>2037</v>
      </c>
      <c r="G1353" s="1" t="s">
        <v>2038</v>
      </c>
    </row>
    <row r="1354" spans="1:7">
      <c r="A1354" s="1">
        <v>2641</v>
      </c>
      <c r="B1354" s="1" t="s">
        <v>3570</v>
      </c>
      <c r="D1354" s="1" t="s">
        <v>3558</v>
      </c>
      <c r="E1354" s="1" t="s">
        <v>3571</v>
      </c>
      <c r="F1354" s="1" t="s">
        <v>2041</v>
      </c>
      <c r="G1354" s="1" t="s">
        <v>2042</v>
      </c>
    </row>
    <row r="1355" spans="1:7">
      <c r="A1355" s="1">
        <v>2642</v>
      </c>
      <c r="B1355" s="1" t="s">
        <v>3572</v>
      </c>
      <c r="D1355" s="1" t="s">
        <v>3558</v>
      </c>
      <c r="E1355" s="1" t="s">
        <v>3573</v>
      </c>
      <c r="F1355" s="1" t="s">
        <v>2045</v>
      </c>
      <c r="G1355" s="1" t="s">
        <v>2046</v>
      </c>
    </row>
    <row r="1356" spans="1:7">
      <c r="A1356" s="1">
        <v>2643</v>
      </c>
      <c r="B1356" s="1" t="s">
        <v>3574</v>
      </c>
      <c r="D1356" s="1" t="s">
        <v>3558</v>
      </c>
      <c r="E1356" s="1" t="s">
        <v>3575</v>
      </c>
      <c r="F1356" s="1" t="s">
        <v>2049</v>
      </c>
      <c r="G1356" s="1" t="s">
        <v>2050</v>
      </c>
    </row>
    <row r="1357" spans="1:7">
      <c r="A1357" s="1">
        <v>2645</v>
      </c>
      <c r="B1357" s="1" t="s">
        <v>3576</v>
      </c>
      <c r="D1357" s="1" t="s">
        <v>3558</v>
      </c>
      <c r="E1357" s="1" t="s">
        <v>3577</v>
      </c>
      <c r="F1357" s="1" t="s">
        <v>161</v>
      </c>
      <c r="G1357" s="1" t="s">
        <v>162</v>
      </c>
    </row>
    <row r="1358" spans="1:7">
      <c r="A1358" s="1">
        <v>2646</v>
      </c>
      <c r="B1358" s="1" t="s">
        <v>3578</v>
      </c>
      <c r="D1358" s="1" t="s">
        <v>3558</v>
      </c>
      <c r="E1358" s="1" t="s">
        <v>3579</v>
      </c>
      <c r="F1358" s="1" t="s">
        <v>165</v>
      </c>
      <c r="G1358" s="1" t="s">
        <v>166</v>
      </c>
    </row>
    <row r="1359" spans="1:7">
      <c r="A1359" s="1">
        <v>2648</v>
      </c>
      <c r="B1359" s="1" t="s">
        <v>3580</v>
      </c>
      <c r="D1359" s="1" t="s">
        <v>3558</v>
      </c>
      <c r="E1359" s="1" t="s">
        <v>3581</v>
      </c>
      <c r="F1359" s="1" t="s">
        <v>2057</v>
      </c>
      <c r="G1359" s="1" t="s">
        <v>2058</v>
      </c>
    </row>
    <row r="1360" spans="1:7">
      <c r="A1360" s="1">
        <v>2649</v>
      </c>
      <c r="B1360" s="1" t="s">
        <v>3582</v>
      </c>
      <c r="D1360" s="1" t="s">
        <v>3558</v>
      </c>
      <c r="E1360" s="1" t="s">
        <v>3583</v>
      </c>
      <c r="F1360" s="1" t="s">
        <v>2061</v>
      </c>
      <c r="G1360" s="1" t="s">
        <v>2062</v>
      </c>
    </row>
    <row r="1361" spans="1:7">
      <c r="A1361" s="1">
        <v>2650</v>
      </c>
      <c r="B1361" s="1" t="s">
        <v>3584</v>
      </c>
      <c r="D1361" s="1" t="s">
        <v>3558</v>
      </c>
      <c r="E1361" s="1" t="s">
        <v>3585</v>
      </c>
      <c r="F1361" s="1" t="s">
        <v>2065</v>
      </c>
      <c r="G1361" s="1" t="s">
        <v>2058</v>
      </c>
    </row>
    <row r="1362" spans="1:7">
      <c r="A1362" s="1">
        <v>2651</v>
      </c>
      <c r="B1362" s="1" t="s">
        <v>3586</v>
      </c>
      <c r="D1362" s="1" t="s">
        <v>3558</v>
      </c>
      <c r="E1362" s="1" t="s">
        <v>3587</v>
      </c>
      <c r="F1362" s="1" t="s">
        <v>2068</v>
      </c>
      <c r="G1362" s="1" t="s">
        <v>2062</v>
      </c>
    </row>
    <row r="1363" spans="1:7">
      <c r="A1363" s="1">
        <v>2653</v>
      </c>
      <c r="B1363" s="1" t="s">
        <v>3588</v>
      </c>
      <c r="D1363" s="1" t="s">
        <v>3589</v>
      </c>
      <c r="E1363" s="1" t="s">
        <v>3590</v>
      </c>
      <c r="F1363" s="1" t="s">
        <v>541</v>
      </c>
      <c r="G1363" s="1" t="s">
        <v>542</v>
      </c>
    </row>
    <row r="1364" spans="1:7">
      <c r="A1364" s="1">
        <v>2654</v>
      </c>
      <c r="B1364" s="1" t="s">
        <v>3591</v>
      </c>
      <c r="D1364" s="1" t="s">
        <v>3589</v>
      </c>
      <c r="E1364" s="1" t="s">
        <v>3592</v>
      </c>
      <c r="F1364" s="1" t="s">
        <v>1557</v>
      </c>
      <c r="G1364" s="1" t="s">
        <v>1558</v>
      </c>
    </row>
    <row r="1365" spans="1:7">
      <c r="A1365" s="1">
        <v>2655</v>
      </c>
      <c r="B1365" s="1" t="s">
        <v>3593</v>
      </c>
      <c r="D1365" s="1" t="s">
        <v>3589</v>
      </c>
      <c r="E1365" s="1" t="s">
        <v>3594</v>
      </c>
      <c r="F1365" s="1" t="s">
        <v>1553</v>
      </c>
      <c r="G1365" s="1" t="s">
        <v>1554</v>
      </c>
    </row>
    <row r="1366" spans="1:7">
      <c r="A1366" s="1">
        <v>2656</v>
      </c>
      <c r="B1366" s="1" t="s">
        <v>3595</v>
      </c>
      <c r="D1366" s="1" t="s">
        <v>3589</v>
      </c>
      <c r="E1366" s="1" t="s">
        <v>3596</v>
      </c>
      <c r="F1366" s="1" t="s">
        <v>1561</v>
      </c>
      <c r="G1366" s="1" t="s">
        <v>1562</v>
      </c>
    </row>
    <row r="1367" spans="1:7">
      <c r="A1367" s="1">
        <v>2657</v>
      </c>
      <c r="B1367" s="1" t="s">
        <v>3597</v>
      </c>
      <c r="D1367" s="1" t="s">
        <v>3589</v>
      </c>
      <c r="E1367" s="1" t="s">
        <v>3598</v>
      </c>
      <c r="F1367" s="1" t="s">
        <v>2033</v>
      </c>
      <c r="G1367" s="1" t="s">
        <v>2034</v>
      </c>
    </row>
    <row r="1368" spans="1:7">
      <c r="A1368" s="1">
        <v>2658</v>
      </c>
      <c r="B1368" s="1" t="s">
        <v>3599</v>
      </c>
      <c r="D1368" s="1" t="s">
        <v>3589</v>
      </c>
      <c r="E1368" s="1" t="s">
        <v>3600</v>
      </c>
      <c r="F1368" s="1" t="s">
        <v>2037</v>
      </c>
      <c r="G1368" s="1" t="s">
        <v>2038</v>
      </c>
    </row>
    <row r="1369" spans="1:7">
      <c r="A1369" s="1">
        <v>2659</v>
      </c>
      <c r="B1369" s="1" t="s">
        <v>3601</v>
      </c>
      <c r="D1369" s="1" t="s">
        <v>3589</v>
      </c>
      <c r="E1369" s="1" t="s">
        <v>3602</v>
      </c>
      <c r="F1369" s="1" t="s">
        <v>2041</v>
      </c>
      <c r="G1369" s="1" t="s">
        <v>2042</v>
      </c>
    </row>
    <row r="1370" spans="1:7">
      <c r="A1370" s="1">
        <v>2660</v>
      </c>
      <c r="B1370" s="1" t="s">
        <v>3603</v>
      </c>
      <c r="D1370" s="1" t="s">
        <v>3589</v>
      </c>
      <c r="E1370" s="1" t="s">
        <v>3604</v>
      </c>
      <c r="F1370" s="1" t="s">
        <v>2045</v>
      </c>
      <c r="G1370" s="1" t="s">
        <v>2046</v>
      </c>
    </row>
    <row r="1371" spans="1:7">
      <c r="A1371" s="1">
        <v>2661</v>
      </c>
      <c r="B1371" s="1" t="s">
        <v>3605</v>
      </c>
      <c r="D1371" s="1" t="s">
        <v>3589</v>
      </c>
      <c r="E1371" s="1" t="s">
        <v>3606</v>
      </c>
      <c r="F1371" s="1" t="s">
        <v>2049</v>
      </c>
      <c r="G1371" s="1" t="s">
        <v>2050</v>
      </c>
    </row>
    <row r="1372" spans="1:7">
      <c r="A1372" s="1">
        <v>2663</v>
      </c>
      <c r="B1372" s="1" t="s">
        <v>3607</v>
      </c>
      <c r="D1372" s="1" t="s">
        <v>3589</v>
      </c>
      <c r="E1372" s="1" t="s">
        <v>3608</v>
      </c>
      <c r="F1372" s="1" t="s">
        <v>161</v>
      </c>
      <c r="G1372" s="1" t="s">
        <v>162</v>
      </c>
    </row>
    <row r="1373" spans="1:7">
      <c r="A1373" s="1">
        <v>2664</v>
      </c>
      <c r="B1373" s="1" t="s">
        <v>3609</v>
      </c>
      <c r="D1373" s="1" t="s">
        <v>3589</v>
      </c>
      <c r="E1373" s="1" t="s">
        <v>3610</v>
      </c>
      <c r="F1373" s="1" t="s">
        <v>165</v>
      </c>
      <c r="G1373" s="1" t="s">
        <v>166</v>
      </c>
    </row>
    <row r="1374" spans="1:7">
      <c r="A1374" s="1">
        <v>2666</v>
      </c>
      <c r="B1374" s="1" t="s">
        <v>3611</v>
      </c>
      <c r="D1374" s="1" t="s">
        <v>3589</v>
      </c>
      <c r="E1374" s="1" t="s">
        <v>3612</v>
      </c>
      <c r="F1374" s="1" t="s">
        <v>2057</v>
      </c>
      <c r="G1374" s="1" t="s">
        <v>2058</v>
      </c>
    </row>
    <row r="1375" spans="1:7">
      <c r="A1375" s="1">
        <v>2667</v>
      </c>
      <c r="B1375" s="1" t="s">
        <v>3613</v>
      </c>
      <c r="D1375" s="1" t="s">
        <v>3589</v>
      </c>
      <c r="E1375" s="1" t="s">
        <v>3614</v>
      </c>
      <c r="F1375" s="1" t="s">
        <v>2061</v>
      </c>
      <c r="G1375" s="1" t="s">
        <v>2062</v>
      </c>
    </row>
    <row r="1376" spans="1:7">
      <c r="A1376" s="1">
        <v>2668</v>
      </c>
      <c r="B1376" s="1" t="s">
        <v>3615</v>
      </c>
      <c r="D1376" s="1" t="s">
        <v>3589</v>
      </c>
      <c r="E1376" s="1" t="s">
        <v>3616</v>
      </c>
      <c r="F1376" s="1" t="s">
        <v>2065</v>
      </c>
      <c r="G1376" s="1" t="s">
        <v>2058</v>
      </c>
    </row>
    <row r="1377" spans="1:7">
      <c r="A1377" s="1">
        <v>2669</v>
      </c>
      <c r="B1377" s="1" t="s">
        <v>3617</v>
      </c>
      <c r="D1377" s="1" t="s">
        <v>3589</v>
      </c>
      <c r="E1377" s="1" t="s">
        <v>3618</v>
      </c>
      <c r="F1377" s="1" t="s">
        <v>2068</v>
      </c>
      <c r="G1377" s="1" t="s">
        <v>2062</v>
      </c>
    </row>
    <row r="1378" spans="1:7">
      <c r="A1378" s="1">
        <v>2671</v>
      </c>
      <c r="B1378" s="1" t="s">
        <v>3619</v>
      </c>
      <c r="D1378" s="1" t="s">
        <v>3620</v>
      </c>
      <c r="E1378" s="1" t="s">
        <v>3621</v>
      </c>
      <c r="F1378" s="1" t="s">
        <v>541</v>
      </c>
      <c r="G1378" s="1" t="s">
        <v>542</v>
      </c>
    </row>
    <row r="1379" spans="1:7">
      <c r="A1379" s="1">
        <v>2672</v>
      </c>
      <c r="B1379" s="1" t="s">
        <v>3622</v>
      </c>
      <c r="D1379" s="1" t="s">
        <v>3620</v>
      </c>
      <c r="E1379" s="1" t="s">
        <v>3623</v>
      </c>
      <c r="F1379" s="1" t="s">
        <v>1557</v>
      </c>
      <c r="G1379" s="1" t="s">
        <v>1558</v>
      </c>
    </row>
    <row r="1380" spans="1:7">
      <c r="A1380" s="1">
        <v>2673</v>
      </c>
      <c r="B1380" s="1" t="s">
        <v>3624</v>
      </c>
      <c r="D1380" s="1" t="s">
        <v>3620</v>
      </c>
      <c r="E1380" s="1" t="s">
        <v>3625</v>
      </c>
      <c r="F1380" s="1" t="s">
        <v>1553</v>
      </c>
      <c r="G1380" s="1" t="s">
        <v>1554</v>
      </c>
    </row>
    <row r="1381" spans="1:7">
      <c r="A1381" s="1">
        <v>2674</v>
      </c>
      <c r="B1381" s="1" t="s">
        <v>3626</v>
      </c>
      <c r="D1381" s="1" t="s">
        <v>3620</v>
      </c>
      <c r="E1381" s="1" t="s">
        <v>3627</v>
      </c>
      <c r="F1381" s="1" t="s">
        <v>1561</v>
      </c>
      <c r="G1381" s="1" t="s">
        <v>1562</v>
      </c>
    </row>
    <row r="1382" spans="1:7">
      <c r="A1382" s="1">
        <v>2675</v>
      </c>
      <c r="B1382" s="1" t="s">
        <v>3628</v>
      </c>
      <c r="D1382" s="1" t="s">
        <v>3620</v>
      </c>
      <c r="E1382" s="1" t="s">
        <v>3629</v>
      </c>
      <c r="F1382" s="1" t="s">
        <v>2033</v>
      </c>
      <c r="G1382" s="1" t="s">
        <v>2034</v>
      </c>
    </row>
    <row r="1383" spans="1:7">
      <c r="A1383" s="1">
        <v>2676</v>
      </c>
      <c r="B1383" s="1" t="s">
        <v>3630</v>
      </c>
      <c r="D1383" s="1" t="s">
        <v>3620</v>
      </c>
      <c r="E1383" s="1" t="s">
        <v>3631</v>
      </c>
      <c r="F1383" s="1" t="s">
        <v>2037</v>
      </c>
      <c r="G1383" s="1" t="s">
        <v>2038</v>
      </c>
    </row>
    <row r="1384" spans="1:7">
      <c r="A1384" s="1">
        <v>2677</v>
      </c>
      <c r="B1384" s="1" t="s">
        <v>3632</v>
      </c>
      <c r="D1384" s="1" t="s">
        <v>3620</v>
      </c>
      <c r="E1384" s="1" t="s">
        <v>3633</v>
      </c>
      <c r="F1384" s="1" t="s">
        <v>2041</v>
      </c>
      <c r="G1384" s="1" t="s">
        <v>2042</v>
      </c>
    </row>
    <row r="1385" spans="1:7">
      <c r="A1385" s="1">
        <v>2678</v>
      </c>
      <c r="B1385" s="1" t="s">
        <v>3634</v>
      </c>
      <c r="D1385" s="1" t="s">
        <v>3620</v>
      </c>
      <c r="E1385" s="1" t="s">
        <v>3635</v>
      </c>
      <c r="F1385" s="1" t="s">
        <v>2045</v>
      </c>
      <c r="G1385" s="1" t="s">
        <v>2046</v>
      </c>
    </row>
    <row r="1386" spans="1:7">
      <c r="A1386" s="1">
        <v>2679</v>
      </c>
      <c r="B1386" s="1" t="s">
        <v>3636</v>
      </c>
      <c r="D1386" s="1" t="s">
        <v>3620</v>
      </c>
      <c r="E1386" s="1" t="s">
        <v>3637</v>
      </c>
      <c r="F1386" s="1" t="s">
        <v>2049</v>
      </c>
      <c r="G1386" s="1" t="s">
        <v>2050</v>
      </c>
    </row>
    <row r="1387" spans="1:7">
      <c r="A1387" s="1">
        <v>2681</v>
      </c>
      <c r="B1387" s="1" t="s">
        <v>3638</v>
      </c>
      <c r="D1387" s="1" t="s">
        <v>3620</v>
      </c>
      <c r="E1387" s="1" t="s">
        <v>3639</v>
      </c>
      <c r="F1387" s="1" t="s">
        <v>161</v>
      </c>
      <c r="G1387" s="1" t="s">
        <v>162</v>
      </c>
    </row>
    <row r="1388" spans="1:7">
      <c r="A1388" s="1">
        <v>2682</v>
      </c>
      <c r="B1388" s="1" t="s">
        <v>3640</v>
      </c>
      <c r="D1388" s="1" t="s">
        <v>3620</v>
      </c>
      <c r="E1388" s="1" t="s">
        <v>3641</v>
      </c>
      <c r="F1388" s="1" t="s">
        <v>165</v>
      </c>
      <c r="G1388" s="1" t="s">
        <v>166</v>
      </c>
    </row>
    <row r="1389" spans="1:7">
      <c r="A1389" s="1">
        <v>2684</v>
      </c>
      <c r="B1389" s="1" t="s">
        <v>3642</v>
      </c>
      <c r="D1389" s="1" t="s">
        <v>3620</v>
      </c>
      <c r="E1389" s="1" t="s">
        <v>3643</v>
      </c>
      <c r="F1389" s="1" t="s">
        <v>2057</v>
      </c>
      <c r="G1389" s="1" t="s">
        <v>2058</v>
      </c>
    </row>
    <row r="1390" spans="1:7">
      <c r="A1390" s="1">
        <v>2685</v>
      </c>
      <c r="B1390" s="1" t="s">
        <v>3644</v>
      </c>
      <c r="D1390" s="1" t="s">
        <v>3620</v>
      </c>
      <c r="E1390" s="1" t="s">
        <v>3645</v>
      </c>
      <c r="F1390" s="1" t="s">
        <v>2061</v>
      </c>
      <c r="G1390" s="1" t="s">
        <v>2062</v>
      </c>
    </row>
    <row r="1391" spans="1:7">
      <c r="A1391" s="1">
        <v>2686</v>
      </c>
      <c r="B1391" s="1" t="s">
        <v>3646</v>
      </c>
      <c r="D1391" s="1" t="s">
        <v>3620</v>
      </c>
      <c r="E1391" s="1" t="s">
        <v>3647</v>
      </c>
      <c r="F1391" s="1" t="s">
        <v>2065</v>
      </c>
      <c r="G1391" s="1" t="s">
        <v>2058</v>
      </c>
    </row>
    <row r="1392" spans="1:7">
      <c r="A1392" s="1">
        <v>2687</v>
      </c>
      <c r="B1392" s="1" t="s">
        <v>3648</v>
      </c>
      <c r="D1392" s="1" t="s">
        <v>3620</v>
      </c>
      <c r="E1392" s="1" t="s">
        <v>3649</v>
      </c>
      <c r="F1392" s="1" t="s">
        <v>2068</v>
      </c>
      <c r="G1392" s="1" t="s">
        <v>2062</v>
      </c>
    </row>
    <row r="1393" spans="1:7">
      <c r="A1393" s="1">
        <v>2689</v>
      </c>
      <c r="B1393" s="1" t="s">
        <v>3650</v>
      </c>
      <c r="D1393" s="1" t="s">
        <v>3651</v>
      </c>
      <c r="E1393" s="1" t="s">
        <v>3652</v>
      </c>
      <c r="F1393" s="1" t="s">
        <v>541</v>
      </c>
      <c r="G1393" s="1" t="s">
        <v>542</v>
      </c>
    </row>
    <row r="1394" spans="1:7">
      <c r="A1394" s="1">
        <v>2690</v>
      </c>
      <c r="B1394" s="1" t="s">
        <v>3653</v>
      </c>
      <c r="D1394" s="1" t="s">
        <v>3651</v>
      </c>
      <c r="E1394" s="1" t="s">
        <v>3654</v>
      </c>
      <c r="F1394" s="1" t="s">
        <v>1557</v>
      </c>
      <c r="G1394" s="1" t="s">
        <v>1558</v>
      </c>
    </row>
    <row r="1395" spans="1:7">
      <c r="A1395" s="1">
        <v>2691</v>
      </c>
      <c r="B1395" s="1" t="s">
        <v>3655</v>
      </c>
      <c r="D1395" s="1" t="s">
        <v>3651</v>
      </c>
      <c r="E1395" s="1" t="s">
        <v>3656</v>
      </c>
      <c r="F1395" s="1" t="s">
        <v>1553</v>
      </c>
      <c r="G1395" s="1" t="s">
        <v>1554</v>
      </c>
    </row>
    <row r="1396" spans="1:7">
      <c r="A1396" s="1">
        <v>2692</v>
      </c>
      <c r="B1396" s="1" t="s">
        <v>3657</v>
      </c>
      <c r="D1396" s="1" t="s">
        <v>3651</v>
      </c>
      <c r="E1396" s="1" t="s">
        <v>3658</v>
      </c>
      <c r="F1396" s="1" t="s">
        <v>1561</v>
      </c>
      <c r="G1396" s="1" t="s">
        <v>1562</v>
      </c>
    </row>
    <row r="1397" spans="1:7">
      <c r="A1397" s="1">
        <v>2693</v>
      </c>
      <c r="B1397" s="1" t="s">
        <v>3659</v>
      </c>
      <c r="D1397" s="1" t="s">
        <v>3651</v>
      </c>
      <c r="E1397" s="1" t="s">
        <v>3660</v>
      </c>
      <c r="F1397" s="1" t="s">
        <v>2033</v>
      </c>
      <c r="G1397" s="1" t="s">
        <v>2034</v>
      </c>
    </row>
    <row r="1398" spans="1:7">
      <c r="A1398" s="1">
        <v>2694</v>
      </c>
      <c r="B1398" s="1" t="s">
        <v>3661</v>
      </c>
      <c r="D1398" s="1" t="s">
        <v>3651</v>
      </c>
      <c r="E1398" s="1" t="s">
        <v>3662</v>
      </c>
      <c r="F1398" s="1" t="s">
        <v>2037</v>
      </c>
      <c r="G1398" s="1" t="s">
        <v>2038</v>
      </c>
    </row>
    <row r="1399" spans="1:7">
      <c r="A1399" s="1">
        <v>2695</v>
      </c>
      <c r="B1399" s="1" t="s">
        <v>3663</v>
      </c>
      <c r="D1399" s="1" t="s">
        <v>3651</v>
      </c>
      <c r="E1399" s="1" t="s">
        <v>3664</v>
      </c>
      <c r="F1399" s="1" t="s">
        <v>2041</v>
      </c>
      <c r="G1399" s="1" t="s">
        <v>2042</v>
      </c>
    </row>
    <row r="1400" spans="1:7">
      <c r="A1400" s="1">
        <v>2696</v>
      </c>
      <c r="B1400" s="1" t="s">
        <v>3665</v>
      </c>
      <c r="D1400" s="1" t="s">
        <v>3651</v>
      </c>
      <c r="E1400" s="1" t="s">
        <v>3666</v>
      </c>
      <c r="F1400" s="1" t="s">
        <v>2045</v>
      </c>
      <c r="G1400" s="1" t="s">
        <v>2046</v>
      </c>
    </row>
    <row r="1401" spans="1:7">
      <c r="A1401" s="1">
        <v>2697</v>
      </c>
      <c r="B1401" s="1" t="s">
        <v>3667</v>
      </c>
      <c r="D1401" s="1" t="s">
        <v>3651</v>
      </c>
      <c r="E1401" s="1" t="s">
        <v>3668</v>
      </c>
      <c r="F1401" s="1" t="s">
        <v>2049</v>
      </c>
      <c r="G1401" s="1" t="s">
        <v>2050</v>
      </c>
    </row>
    <row r="1402" spans="1:7">
      <c r="A1402" s="1">
        <v>2699</v>
      </c>
      <c r="B1402" s="1" t="s">
        <v>3669</v>
      </c>
      <c r="D1402" s="1" t="s">
        <v>3651</v>
      </c>
      <c r="E1402" s="1" t="s">
        <v>3670</v>
      </c>
      <c r="F1402" s="1" t="s">
        <v>161</v>
      </c>
      <c r="G1402" s="1" t="s">
        <v>162</v>
      </c>
    </row>
    <row r="1403" spans="1:7">
      <c r="A1403" s="1">
        <v>2700</v>
      </c>
      <c r="B1403" s="1" t="s">
        <v>3671</v>
      </c>
      <c r="D1403" s="1" t="s">
        <v>3651</v>
      </c>
      <c r="E1403" s="1" t="s">
        <v>3672</v>
      </c>
      <c r="F1403" s="1" t="s">
        <v>165</v>
      </c>
      <c r="G1403" s="1" t="s">
        <v>166</v>
      </c>
    </row>
    <row r="1404" spans="1:7">
      <c r="A1404" s="1">
        <v>2702</v>
      </c>
      <c r="B1404" s="1" t="s">
        <v>3673</v>
      </c>
      <c r="D1404" s="1" t="s">
        <v>3651</v>
      </c>
      <c r="E1404" s="1" t="s">
        <v>3674</v>
      </c>
      <c r="F1404" s="1" t="s">
        <v>2057</v>
      </c>
      <c r="G1404" s="1" t="s">
        <v>2058</v>
      </c>
    </row>
    <row r="1405" spans="1:7">
      <c r="A1405" s="1">
        <v>2703</v>
      </c>
      <c r="B1405" s="1" t="s">
        <v>3675</v>
      </c>
      <c r="D1405" s="1" t="s">
        <v>3651</v>
      </c>
      <c r="E1405" s="1" t="s">
        <v>3676</v>
      </c>
      <c r="F1405" s="1" t="s">
        <v>2061</v>
      </c>
      <c r="G1405" s="1" t="s">
        <v>2062</v>
      </c>
    </row>
    <row r="1406" spans="1:7">
      <c r="A1406" s="1">
        <v>2704</v>
      </c>
      <c r="B1406" s="1" t="s">
        <v>3677</v>
      </c>
      <c r="D1406" s="1" t="s">
        <v>3651</v>
      </c>
      <c r="E1406" s="1" t="s">
        <v>3678</v>
      </c>
      <c r="F1406" s="1" t="s">
        <v>2065</v>
      </c>
      <c r="G1406" s="1" t="s">
        <v>2058</v>
      </c>
    </row>
    <row r="1407" spans="1:7">
      <c r="A1407" s="1">
        <v>2705</v>
      </c>
      <c r="B1407" s="1" t="s">
        <v>3679</v>
      </c>
      <c r="D1407" s="1" t="s">
        <v>3651</v>
      </c>
      <c r="E1407" s="1" t="s">
        <v>3680</v>
      </c>
      <c r="F1407" s="1" t="s">
        <v>2068</v>
      </c>
      <c r="G1407" s="1" t="s">
        <v>2062</v>
      </c>
    </row>
    <row r="1408" spans="1:7">
      <c r="A1408" s="1">
        <v>2707</v>
      </c>
      <c r="B1408" s="1" t="s">
        <v>3681</v>
      </c>
      <c r="D1408" s="1" t="s">
        <v>3682</v>
      </c>
      <c r="E1408" s="1" t="s">
        <v>3683</v>
      </c>
      <c r="F1408" s="1" t="s">
        <v>541</v>
      </c>
      <c r="G1408" s="1" t="s">
        <v>542</v>
      </c>
    </row>
    <row r="1409" spans="1:7">
      <c r="A1409" s="1">
        <v>2708</v>
      </c>
      <c r="B1409" s="1" t="s">
        <v>3684</v>
      </c>
      <c r="D1409" s="1" t="s">
        <v>3682</v>
      </c>
      <c r="E1409" s="1" t="s">
        <v>3685</v>
      </c>
      <c r="F1409" s="1" t="s">
        <v>1557</v>
      </c>
      <c r="G1409" s="1" t="s">
        <v>1558</v>
      </c>
    </row>
    <row r="1410" spans="1:7">
      <c r="A1410" s="1">
        <v>2709</v>
      </c>
      <c r="B1410" s="1" t="s">
        <v>3686</v>
      </c>
      <c r="D1410" s="1" t="s">
        <v>3682</v>
      </c>
      <c r="E1410" s="1" t="s">
        <v>3687</v>
      </c>
      <c r="F1410" s="1" t="s">
        <v>1553</v>
      </c>
      <c r="G1410" s="1" t="s">
        <v>1554</v>
      </c>
    </row>
    <row r="1411" spans="1:7">
      <c r="A1411" s="1">
        <v>2710</v>
      </c>
      <c r="B1411" s="1" t="s">
        <v>3688</v>
      </c>
      <c r="D1411" s="1" t="s">
        <v>3682</v>
      </c>
      <c r="E1411" s="1" t="s">
        <v>3689</v>
      </c>
      <c r="F1411" s="1" t="s">
        <v>1561</v>
      </c>
      <c r="G1411" s="1" t="s">
        <v>1562</v>
      </c>
    </row>
    <row r="1412" spans="1:7">
      <c r="A1412" s="1">
        <v>2711</v>
      </c>
      <c r="B1412" s="1" t="s">
        <v>3690</v>
      </c>
      <c r="D1412" s="1" t="s">
        <v>3682</v>
      </c>
      <c r="E1412" s="1" t="s">
        <v>3691</v>
      </c>
      <c r="F1412" s="1" t="s">
        <v>2033</v>
      </c>
      <c r="G1412" s="1" t="s">
        <v>2034</v>
      </c>
    </row>
    <row r="1413" spans="1:7">
      <c r="A1413" s="1">
        <v>2712</v>
      </c>
      <c r="B1413" s="1" t="s">
        <v>3692</v>
      </c>
      <c r="D1413" s="1" t="s">
        <v>3682</v>
      </c>
      <c r="E1413" s="1" t="s">
        <v>3693</v>
      </c>
      <c r="F1413" s="1" t="s">
        <v>2037</v>
      </c>
      <c r="G1413" s="1" t="s">
        <v>2038</v>
      </c>
    </row>
    <row r="1414" spans="1:7">
      <c r="A1414" s="1">
        <v>2713</v>
      </c>
      <c r="B1414" s="1" t="s">
        <v>3694</v>
      </c>
      <c r="D1414" s="1" t="s">
        <v>3682</v>
      </c>
      <c r="E1414" s="1" t="s">
        <v>3695</v>
      </c>
      <c r="F1414" s="1" t="s">
        <v>2041</v>
      </c>
      <c r="G1414" s="1" t="s">
        <v>2042</v>
      </c>
    </row>
    <row r="1415" spans="1:7">
      <c r="A1415" s="1">
        <v>2714</v>
      </c>
      <c r="B1415" s="1" t="s">
        <v>3696</v>
      </c>
      <c r="D1415" s="1" t="s">
        <v>3682</v>
      </c>
      <c r="E1415" s="1" t="s">
        <v>3697</v>
      </c>
      <c r="F1415" s="1" t="s">
        <v>2045</v>
      </c>
      <c r="G1415" s="1" t="s">
        <v>2046</v>
      </c>
    </row>
    <row r="1416" spans="1:7">
      <c r="A1416" s="1">
        <v>2715</v>
      </c>
      <c r="B1416" s="1" t="s">
        <v>3698</v>
      </c>
      <c r="D1416" s="1" t="s">
        <v>3682</v>
      </c>
      <c r="E1416" s="1" t="s">
        <v>3699</v>
      </c>
      <c r="F1416" s="1" t="s">
        <v>2049</v>
      </c>
      <c r="G1416" s="1" t="s">
        <v>2050</v>
      </c>
    </row>
    <row r="1417" spans="1:7">
      <c r="A1417" s="1">
        <v>2717</v>
      </c>
      <c r="B1417" s="1" t="s">
        <v>3700</v>
      </c>
      <c r="D1417" s="1" t="s">
        <v>3682</v>
      </c>
      <c r="E1417" s="1" t="s">
        <v>3701</v>
      </c>
      <c r="F1417" s="1" t="s">
        <v>161</v>
      </c>
      <c r="G1417" s="1" t="s">
        <v>162</v>
      </c>
    </row>
    <row r="1418" spans="1:7">
      <c r="A1418" s="1">
        <v>2718</v>
      </c>
      <c r="B1418" s="1" t="s">
        <v>3702</v>
      </c>
      <c r="D1418" s="1" t="s">
        <v>3682</v>
      </c>
      <c r="E1418" s="1" t="s">
        <v>3703</v>
      </c>
      <c r="F1418" s="1" t="s">
        <v>165</v>
      </c>
      <c r="G1418" s="1" t="s">
        <v>166</v>
      </c>
    </row>
    <row r="1419" spans="1:7">
      <c r="A1419" s="1">
        <v>2720</v>
      </c>
      <c r="B1419" s="1" t="s">
        <v>3704</v>
      </c>
      <c r="D1419" s="1" t="s">
        <v>3682</v>
      </c>
      <c r="E1419" s="1" t="s">
        <v>3705</v>
      </c>
      <c r="F1419" s="1" t="s">
        <v>2057</v>
      </c>
      <c r="G1419" s="1" t="s">
        <v>2058</v>
      </c>
    </row>
    <row r="1420" spans="1:7">
      <c r="A1420" s="1">
        <v>2721</v>
      </c>
      <c r="B1420" s="1" t="s">
        <v>3706</v>
      </c>
      <c r="D1420" s="1" t="s">
        <v>3682</v>
      </c>
      <c r="E1420" s="1" t="s">
        <v>3707</v>
      </c>
      <c r="F1420" s="1" t="s">
        <v>2061</v>
      </c>
      <c r="G1420" s="1" t="s">
        <v>2062</v>
      </c>
    </row>
    <row r="1421" spans="1:7">
      <c r="A1421" s="1">
        <v>2722</v>
      </c>
      <c r="B1421" s="1" t="s">
        <v>3708</v>
      </c>
      <c r="D1421" s="1" t="s">
        <v>3682</v>
      </c>
      <c r="E1421" s="1" t="s">
        <v>3709</v>
      </c>
      <c r="F1421" s="1" t="s">
        <v>2065</v>
      </c>
      <c r="G1421" s="1" t="s">
        <v>2058</v>
      </c>
    </row>
    <row r="1422" spans="1:7">
      <c r="A1422" s="1">
        <v>2723</v>
      </c>
      <c r="B1422" s="1" t="s">
        <v>3710</v>
      </c>
      <c r="D1422" s="1" t="s">
        <v>3682</v>
      </c>
      <c r="E1422" s="1" t="s">
        <v>3711</v>
      </c>
      <c r="F1422" s="1" t="s">
        <v>2068</v>
      </c>
      <c r="G1422" s="1" t="s">
        <v>2062</v>
      </c>
    </row>
    <row r="1423" spans="1:7">
      <c r="A1423" s="1">
        <v>2725</v>
      </c>
      <c r="B1423" s="1" t="s">
        <v>3712</v>
      </c>
      <c r="D1423" s="1" t="s">
        <v>3713</v>
      </c>
      <c r="E1423" s="1" t="s">
        <v>3714</v>
      </c>
      <c r="F1423" s="1" t="s">
        <v>541</v>
      </c>
      <c r="G1423" s="1" t="s">
        <v>542</v>
      </c>
    </row>
    <row r="1424" spans="1:7">
      <c r="A1424" s="1">
        <v>2726</v>
      </c>
      <c r="B1424" s="1" t="s">
        <v>3715</v>
      </c>
      <c r="D1424" s="1" t="s">
        <v>3713</v>
      </c>
      <c r="E1424" s="1" t="s">
        <v>3716</v>
      </c>
      <c r="F1424" s="1" t="s">
        <v>1553</v>
      </c>
      <c r="G1424" s="1" t="s">
        <v>1554</v>
      </c>
    </row>
    <row r="1425" spans="1:7">
      <c r="A1425" s="1">
        <v>2727</v>
      </c>
      <c r="B1425" s="1" t="s">
        <v>3717</v>
      </c>
      <c r="D1425" s="1" t="s">
        <v>3713</v>
      </c>
      <c r="E1425" s="1" t="s">
        <v>3718</v>
      </c>
      <c r="F1425" s="1" t="s">
        <v>1557</v>
      </c>
      <c r="G1425" s="1" t="s">
        <v>1558</v>
      </c>
    </row>
    <row r="1426" spans="1:7">
      <c r="A1426" s="1">
        <v>2728</v>
      </c>
      <c r="B1426" s="1" t="s">
        <v>3719</v>
      </c>
      <c r="D1426" s="1" t="s">
        <v>3713</v>
      </c>
      <c r="E1426" s="1" t="s">
        <v>3720</v>
      </c>
      <c r="F1426" s="1" t="s">
        <v>1561</v>
      </c>
      <c r="G1426" s="1" t="s">
        <v>1562</v>
      </c>
    </row>
    <row r="1427" spans="1:7">
      <c r="A1427" s="1">
        <v>2729</v>
      </c>
      <c r="B1427" s="1" t="s">
        <v>3721</v>
      </c>
      <c r="D1427" s="1" t="s">
        <v>3713</v>
      </c>
      <c r="E1427" s="1" t="s">
        <v>3722</v>
      </c>
      <c r="F1427" s="1" t="s">
        <v>2037</v>
      </c>
      <c r="G1427" s="1" t="s">
        <v>2038</v>
      </c>
    </row>
    <row r="1428" spans="1:7">
      <c r="A1428" s="1">
        <v>2730</v>
      </c>
      <c r="B1428" s="1" t="s">
        <v>3723</v>
      </c>
      <c r="D1428" s="1" t="s">
        <v>3713</v>
      </c>
      <c r="E1428" s="1" t="s">
        <v>3724</v>
      </c>
      <c r="F1428" s="1" t="s">
        <v>2033</v>
      </c>
      <c r="G1428" s="1" t="s">
        <v>2034</v>
      </c>
    </row>
    <row r="1429" spans="1:7">
      <c r="A1429" s="1">
        <v>2731</v>
      </c>
      <c r="B1429" s="1" t="s">
        <v>3725</v>
      </c>
      <c r="D1429" s="1" t="s">
        <v>3713</v>
      </c>
      <c r="E1429" s="1" t="s">
        <v>3726</v>
      </c>
      <c r="F1429" s="1" t="s">
        <v>2041</v>
      </c>
      <c r="G1429" s="1" t="s">
        <v>2042</v>
      </c>
    </row>
    <row r="1430" spans="1:7">
      <c r="A1430" s="1">
        <v>2732</v>
      </c>
      <c r="B1430" s="1" t="s">
        <v>3727</v>
      </c>
      <c r="D1430" s="1" t="s">
        <v>3713</v>
      </c>
      <c r="E1430" s="1" t="s">
        <v>3728</v>
      </c>
      <c r="F1430" s="1" t="s">
        <v>2045</v>
      </c>
      <c r="G1430" s="1" t="s">
        <v>2046</v>
      </c>
    </row>
    <row r="1431" spans="1:7">
      <c r="A1431" s="1">
        <v>2733</v>
      </c>
      <c r="B1431" s="1" t="s">
        <v>3729</v>
      </c>
      <c r="D1431" s="1" t="s">
        <v>3713</v>
      </c>
      <c r="E1431" s="1" t="s">
        <v>3730</v>
      </c>
      <c r="F1431" s="1" t="s">
        <v>2049</v>
      </c>
      <c r="G1431" s="1" t="s">
        <v>2050</v>
      </c>
    </row>
    <row r="1432" spans="1:7">
      <c r="A1432" s="1">
        <v>2735</v>
      </c>
      <c r="B1432" s="1" t="s">
        <v>3731</v>
      </c>
      <c r="D1432" s="1" t="s">
        <v>3713</v>
      </c>
      <c r="E1432" s="1" t="s">
        <v>3732</v>
      </c>
      <c r="F1432" s="1" t="s">
        <v>161</v>
      </c>
      <c r="G1432" s="1" t="s">
        <v>162</v>
      </c>
    </row>
    <row r="1433" spans="1:7">
      <c r="A1433" s="1">
        <v>2736</v>
      </c>
      <c r="B1433" s="1" t="s">
        <v>3733</v>
      </c>
      <c r="D1433" s="1" t="s">
        <v>3713</v>
      </c>
      <c r="E1433" s="1" t="s">
        <v>3734</v>
      </c>
      <c r="F1433" s="1" t="s">
        <v>165</v>
      </c>
      <c r="G1433" s="1" t="s">
        <v>166</v>
      </c>
    </row>
    <row r="1434" spans="1:7">
      <c r="A1434" s="1">
        <v>2738</v>
      </c>
      <c r="B1434" s="1" t="s">
        <v>3735</v>
      </c>
      <c r="D1434" s="1" t="s">
        <v>3713</v>
      </c>
      <c r="E1434" s="1" t="s">
        <v>3736</v>
      </c>
      <c r="F1434" s="1" t="s">
        <v>2057</v>
      </c>
      <c r="G1434" s="1" t="s">
        <v>2058</v>
      </c>
    </row>
    <row r="1435" spans="1:7">
      <c r="A1435" s="1">
        <v>2739</v>
      </c>
      <c r="B1435" s="1" t="s">
        <v>3737</v>
      </c>
      <c r="D1435" s="1" t="s">
        <v>3713</v>
      </c>
      <c r="E1435" s="1" t="s">
        <v>3738</v>
      </c>
      <c r="F1435" s="1" t="s">
        <v>2061</v>
      </c>
      <c r="G1435" s="1" t="s">
        <v>2062</v>
      </c>
    </row>
    <row r="1436" spans="1:7">
      <c r="A1436" s="1">
        <v>2740</v>
      </c>
      <c r="B1436" s="1" t="s">
        <v>3739</v>
      </c>
      <c r="D1436" s="1" t="s">
        <v>3713</v>
      </c>
      <c r="E1436" s="1" t="s">
        <v>3740</v>
      </c>
      <c r="F1436" s="1" t="s">
        <v>2065</v>
      </c>
      <c r="G1436" s="1" t="s">
        <v>2058</v>
      </c>
    </row>
    <row r="1437" spans="1:7">
      <c r="A1437" s="1">
        <v>2741</v>
      </c>
      <c r="B1437" s="1" t="s">
        <v>3741</v>
      </c>
      <c r="D1437" s="1" t="s">
        <v>3713</v>
      </c>
      <c r="E1437" s="1" t="s">
        <v>3742</v>
      </c>
      <c r="F1437" s="1" t="s">
        <v>2068</v>
      </c>
      <c r="G1437" s="1" t="s">
        <v>2062</v>
      </c>
    </row>
    <row r="1438" spans="1:7">
      <c r="A1438" s="1">
        <v>2743</v>
      </c>
      <c r="B1438" s="1" t="s">
        <v>3743</v>
      </c>
      <c r="D1438" s="1" t="s">
        <v>3744</v>
      </c>
      <c r="E1438" s="1" t="s">
        <v>3745</v>
      </c>
      <c r="F1438" s="1" t="s">
        <v>3746</v>
      </c>
      <c r="G1438" s="1" t="s">
        <v>3747</v>
      </c>
    </row>
    <row r="1439" spans="1:7">
      <c r="A1439" s="1">
        <v>2745</v>
      </c>
      <c r="B1439" s="1" t="s">
        <v>3748</v>
      </c>
      <c r="D1439" s="1" t="s">
        <v>3744</v>
      </c>
      <c r="E1439" s="1" t="s">
        <v>3749</v>
      </c>
      <c r="F1439" s="1" t="s">
        <v>3750</v>
      </c>
      <c r="G1439" s="1" t="s">
        <v>3751</v>
      </c>
    </row>
    <row r="1440" spans="1:7">
      <c r="A1440" s="1">
        <v>2746</v>
      </c>
      <c r="B1440" s="1" t="s">
        <v>3752</v>
      </c>
      <c r="D1440" s="1" t="s">
        <v>3744</v>
      </c>
      <c r="E1440" s="1" t="s">
        <v>3753</v>
      </c>
      <c r="F1440" s="1" t="s">
        <v>3754</v>
      </c>
      <c r="G1440" s="1" t="s">
        <v>3755</v>
      </c>
    </row>
    <row r="1441" spans="1:7">
      <c r="A1441" s="1">
        <v>2747</v>
      </c>
      <c r="B1441" s="1" t="s">
        <v>3756</v>
      </c>
      <c r="D1441" s="1" t="s">
        <v>3744</v>
      </c>
      <c r="E1441" s="1" t="s">
        <v>3757</v>
      </c>
      <c r="F1441" s="1" t="s">
        <v>3758</v>
      </c>
      <c r="G1441" s="1" t="s">
        <v>3759</v>
      </c>
    </row>
    <row r="1442" spans="1:7">
      <c r="A1442" s="1">
        <v>2748</v>
      </c>
      <c r="B1442" s="1" t="s">
        <v>3760</v>
      </c>
      <c r="D1442" s="1" t="s">
        <v>3761</v>
      </c>
      <c r="E1442" s="1" t="s">
        <v>3762</v>
      </c>
      <c r="F1442" s="1" t="s">
        <v>3763</v>
      </c>
      <c r="G1442" s="1" t="s">
        <v>3764</v>
      </c>
    </row>
    <row r="1443" spans="1:7">
      <c r="A1443" s="1">
        <v>2749</v>
      </c>
      <c r="B1443" s="1" t="s">
        <v>3765</v>
      </c>
      <c r="D1443" s="1" t="s">
        <v>3761</v>
      </c>
      <c r="E1443" s="1" t="s">
        <v>3766</v>
      </c>
      <c r="F1443" s="1" t="s">
        <v>3767</v>
      </c>
      <c r="G1443" s="1" t="s">
        <v>3768</v>
      </c>
    </row>
    <row r="1444" spans="1:7">
      <c r="A1444" s="1">
        <v>2750</v>
      </c>
      <c r="B1444" s="1" t="s">
        <v>3769</v>
      </c>
      <c r="D1444" s="1" t="s">
        <v>3761</v>
      </c>
      <c r="E1444" s="1" t="s">
        <v>3770</v>
      </c>
      <c r="F1444" s="1" t="s">
        <v>3771</v>
      </c>
      <c r="G1444" s="1" t="s">
        <v>3772</v>
      </c>
    </row>
    <row r="1445" spans="1:7">
      <c r="A1445" s="1">
        <v>2751</v>
      </c>
      <c r="B1445" s="1" t="s">
        <v>3773</v>
      </c>
      <c r="D1445" s="1" t="s">
        <v>3761</v>
      </c>
      <c r="E1445" s="1" t="s">
        <v>3774</v>
      </c>
      <c r="F1445" s="1" t="s">
        <v>3775</v>
      </c>
      <c r="G1445" s="1" t="s">
        <v>3776</v>
      </c>
    </row>
    <row r="1446" spans="1:7">
      <c r="A1446" s="1">
        <v>2752</v>
      </c>
      <c r="B1446" s="1" t="s">
        <v>3777</v>
      </c>
      <c r="D1446" s="1" t="s">
        <v>3778</v>
      </c>
      <c r="E1446" s="1" t="s">
        <v>3779</v>
      </c>
      <c r="F1446" s="1" t="s">
        <v>3763</v>
      </c>
      <c r="G1446" s="1" t="s">
        <v>3764</v>
      </c>
    </row>
    <row r="1447" spans="1:7">
      <c r="A1447" s="1">
        <v>2753</v>
      </c>
      <c r="B1447" s="1" t="s">
        <v>3780</v>
      </c>
      <c r="D1447" s="1" t="s">
        <v>3778</v>
      </c>
      <c r="E1447" s="1" t="s">
        <v>3781</v>
      </c>
      <c r="F1447" s="1" t="s">
        <v>3767</v>
      </c>
      <c r="G1447" s="1" t="s">
        <v>3768</v>
      </c>
    </row>
    <row r="1448" spans="1:7">
      <c r="A1448" s="1">
        <v>2754</v>
      </c>
      <c r="B1448" s="1" t="s">
        <v>3782</v>
      </c>
      <c r="D1448" s="1" t="s">
        <v>3778</v>
      </c>
      <c r="E1448" s="1" t="s">
        <v>3783</v>
      </c>
      <c r="F1448" s="1" t="s">
        <v>3771</v>
      </c>
      <c r="G1448" s="1" t="s">
        <v>3772</v>
      </c>
    </row>
    <row r="1449" spans="1:7">
      <c r="A1449" s="1">
        <v>2755</v>
      </c>
      <c r="B1449" s="1" t="s">
        <v>3784</v>
      </c>
      <c r="D1449" s="1" t="s">
        <v>3778</v>
      </c>
      <c r="E1449" s="1" t="s">
        <v>3785</v>
      </c>
      <c r="F1449" s="1" t="s">
        <v>3775</v>
      </c>
      <c r="G1449" s="1" t="s">
        <v>3776</v>
      </c>
    </row>
    <row r="1450" spans="1:7">
      <c r="A1450" s="1">
        <v>2756</v>
      </c>
      <c r="B1450" s="1" t="s">
        <v>3786</v>
      </c>
      <c r="D1450" s="1" t="s">
        <v>3787</v>
      </c>
      <c r="E1450" s="1" t="s">
        <v>3788</v>
      </c>
      <c r="F1450" s="1" t="s">
        <v>3763</v>
      </c>
      <c r="G1450" s="1" t="s">
        <v>3764</v>
      </c>
    </row>
    <row r="1451" spans="1:7">
      <c r="A1451" s="1">
        <v>2757</v>
      </c>
      <c r="B1451" s="1" t="s">
        <v>3789</v>
      </c>
      <c r="D1451" s="1" t="s">
        <v>3787</v>
      </c>
      <c r="E1451" s="1" t="s">
        <v>3790</v>
      </c>
      <c r="F1451" s="1" t="s">
        <v>3767</v>
      </c>
      <c r="G1451" s="1" t="s">
        <v>3768</v>
      </c>
    </row>
    <row r="1452" spans="1:7">
      <c r="A1452" s="1">
        <v>2758</v>
      </c>
      <c r="B1452" s="1" t="s">
        <v>3791</v>
      </c>
      <c r="D1452" s="1" t="s">
        <v>3787</v>
      </c>
      <c r="E1452" s="1" t="s">
        <v>3792</v>
      </c>
      <c r="F1452" s="1" t="s">
        <v>3771</v>
      </c>
      <c r="G1452" s="1" t="s">
        <v>3772</v>
      </c>
    </row>
    <row r="1453" spans="1:7">
      <c r="A1453" s="1">
        <v>2759</v>
      </c>
      <c r="B1453" s="1" t="s">
        <v>3793</v>
      </c>
      <c r="D1453" s="1" t="s">
        <v>3787</v>
      </c>
      <c r="E1453" s="1" t="s">
        <v>3794</v>
      </c>
      <c r="F1453" s="1" t="s">
        <v>3775</v>
      </c>
      <c r="G1453" s="1" t="s">
        <v>3776</v>
      </c>
    </row>
    <row r="1454" spans="1:7">
      <c r="A1454" s="1">
        <v>2760</v>
      </c>
      <c r="B1454" s="1" t="s">
        <v>3795</v>
      </c>
      <c r="D1454" s="1" t="s">
        <v>3796</v>
      </c>
      <c r="E1454" s="1" t="s">
        <v>3797</v>
      </c>
      <c r="F1454" s="1" t="s">
        <v>3763</v>
      </c>
      <c r="G1454" s="1" t="s">
        <v>3764</v>
      </c>
    </row>
    <row r="1455" spans="1:7">
      <c r="A1455" s="1">
        <v>2761</v>
      </c>
      <c r="B1455" s="1" t="s">
        <v>3798</v>
      </c>
      <c r="D1455" s="1" t="s">
        <v>3796</v>
      </c>
      <c r="E1455" s="1" t="s">
        <v>3799</v>
      </c>
      <c r="F1455" s="1" t="s">
        <v>3767</v>
      </c>
      <c r="G1455" s="1" t="s">
        <v>3768</v>
      </c>
    </row>
    <row r="1456" spans="1:7">
      <c r="A1456" s="1">
        <v>2762</v>
      </c>
      <c r="B1456" s="1" t="s">
        <v>3800</v>
      </c>
      <c r="D1456" s="1" t="s">
        <v>3796</v>
      </c>
      <c r="E1456" s="1" t="s">
        <v>3801</v>
      </c>
      <c r="F1456" s="1" t="s">
        <v>3771</v>
      </c>
      <c r="G1456" s="1" t="s">
        <v>3772</v>
      </c>
    </row>
    <row r="1457" spans="1:7">
      <c r="A1457" s="1">
        <v>2763</v>
      </c>
      <c r="B1457" s="1" t="s">
        <v>3802</v>
      </c>
      <c r="D1457" s="1" t="s">
        <v>3796</v>
      </c>
      <c r="E1457" s="1" t="s">
        <v>3803</v>
      </c>
      <c r="F1457" s="1" t="s">
        <v>3775</v>
      </c>
      <c r="G1457" s="1" t="s">
        <v>3776</v>
      </c>
    </row>
    <row r="1458" spans="1:7">
      <c r="A1458" s="1">
        <v>2764</v>
      </c>
      <c r="B1458" s="1" t="s">
        <v>3804</v>
      </c>
      <c r="D1458" s="1" t="s">
        <v>3805</v>
      </c>
      <c r="E1458" s="1" t="s">
        <v>3806</v>
      </c>
      <c r="F1458" s="1" t="s">
        <v>3763</v>
      </c>
      <c r="G1458" s="1" t="s">
        <v>3764</v>
      </c>
    </row>
    <row r="1459" spans="1:7">
      <c r="A1459" s="1">
        <v>2765</v>
      </c>
      <c r="B1459" s="1" t="s">
        <v>3807</v>
      </c>
      <c r="D1459" s="1" t="s">
        <v>3805</v>
      </c>
      <c r="E1459" s="1" t="s">
        <v>3808</v>
      </c>
      <c r="F1459" s="1" t="s">
        <v>3767</v>
      </c>
      <c r="G1459" s="1" t="s">
        <v>3768</v>
      </c>
    </row>
    <row r="1460" spans="1:7">
      <c r="A1460" s="1">
        <v>2766</v>
      </c>
      <c r="B1460" s="1" t="s">
        <v>3809</v>
      </c>
      <c r="D1460" s="1" t="s">
        <v>3805</v>
      </c>
      <c r="E1460" s="1" t="s">
        <v>3810</v>
      </c>
      <c r="F1460" s="1" t="s">
        <v>3771</v>
      </c>
      <c r="G1460" s="1" t="s">
        <v>3772</v>
      </c>
    </row>
    <row r="1461" spans="1:7">
      <c r="A1461" s="1">
        <v>2767</v>
      </c>
      <c r="B1461" s="1" t="s">
        <v>3811</v>
      </c>
      <c r="D1461" s="1" t="s">
        <v>3805</v>
      </c>
      <c r="E1461" s="1" t="s">
        <v>3812</v>
      </c>
      <c r="F1461" s="1" t="s">
        <v>3775</v>
      </c>
      <c r="G1461" s="1" t="s">
        <v>3776</v>
      </c>
    </row>
    <row r="1462" spans="1:7">
      <c r="A1462" s="1">
        <v>2768</v>
      </c>
      <c r="B1462" s="1" t="s">
        <v>3813</v>
      </c>
      <c r="D1462" s="1" t="s">
        <v>3814</v>
      </c>
      <c r="E1462" s="1" t="s">
        <v>3815</v>
      </c>
      <c r="F1462" s="1" t="s">
        <v>3763</v>
      </c>
      <c r="G1462" s="1" t="s">
        <v>3764</v>
      </c>
    </row>
    <row r="1463" spans="1:7">
      <c r="A1463" s="1">
        <v>2769</v>
      </c>
      <c r="B1463" s="1" t="s">
        <v>3816</v>
      </c>
      <c r="D1463" s="1" t="s">
        <v>3814</v>
      </c>
      <c r="E1463" s="1" t="s">
        <v>3817</v>
      </c>
      <c r="F1463" s="1" t="s">
        <v>3767</v>
      </c>
      <c r="G1463" s="1" t="s">
        <v>3768</v>
      </c>
    </row>
    <row r="1464" spans="1:7">
      <c r="A1464" s="1">
        <v>2770</v>
      </c>
      <c r="B1464" s="1" t="s">
        <v>3818</v>
      </c>
      <c r="D1464" s="1" t="s">
        <v>3814</v>
      </c>
      <c r="E1464" s="1" t="s">
        <v>3819</v>
      </c>
      <c r="F1464" s="1" t="s">
        <v>3771</v>
      </c>
      <c r="G1464" s="1" t="s">
        <v>3772</v>
      </c>
    </row>
    <row r="1465" spans="1:7">
      <c r="A1465" s="1">
        <v>2771</v>
      </c>
      <c r="B1465" s="1" t="s">
        <v>3820</v>
      </c>
      <c r="D1465" s="1" t="s">
        <v>3814</v>
      </c>
      <c r="E1465" s="1" t="s">
        <v>3821</v>
      </c>
      <c r="F1465" s="1" t="s">
        <v>3775</v>
      </c>
      <c r="G1465" s="1" t="s">
        <v>3776</v>
      </c>
    </row>
    <row r="1466" spans="1:7">
      <c r="A1466" s="1">
        <v>2774</v>
      </c>
      <c r="B1466" s="1" t="s">
        <v>3822</v>
      </c>
      <c r="D1466" s="1" t="s">
        <v>3823</v>
      </c>
      <c r="E1466" s="1" t="s">
        <v>3824</v>
      </c>
      <c r="F1466" s="1" t="s">
        <v>3763</v>
      </c>
      <c r="G1466" s="1" t="s">
        <v>3764</v>
      </c>
    </row>
    <row r="1467" spans="1:7">
      <c r="A1467" s="1">
        <v>2775</v>
      </c>
      <c r="B1467" s="1" t="s">
        <v>3825</v>
      </c>
      <c r="D1467" s="1" t="s">
        <v>3823</v>
      </c>
      <c r="E1467" s="1" t="s">
        <v>3826</v>
      </c>
      <c r="F1467" s="1" t="s">
        <v>3767</v>
      </c>
      <c r="G1467" s="1" t="s">
        <v>3768</v>
      </c>
    </row>
    <row r="1468" spans="1:7">
      <c r="A1468" s="1">
        <v>2776</v>
      </c>
      <c r="B1468" s="1" t="s">
        <v>3827</v>
      </c>
      <c r="D1468" s="1" t="s">
        <v>3823</v>
      </c>
      <c r="E1468" s="1" t="s">
        <v>3828</v>
      </c>
      <c r="F1468" s="1" t="s">
        <v>3771</v>
      </c>
      <c r="G1468" s="1" t="s">
        <v>3772</v>
      </c>
    </row>
    <row r="1469" spans="1:7">
      <c r="A1469" s="1">
        <v>2777</v>
      </c>
      <c r="B1469" s="1" t="s">
        <v>3829</v>
      </c>
      <c r="D1469" s="1" t="s">
        <v>3823</v>
      </c>
      <c r="E1469" s="1" t="s">
        <v>3830</v>
      </c>
      <c r="F1469" s="1" t="s">
        <v>3775</v>
      </c>
      <c r="G1469" s="1" t="s">
        <v>3776</v>
      </c>
    </row>
    <row r="1470" spans="1:7">
      <c r="A1470" s="1">
        <v>2780</v>
      </c>
      <c r="B1470" s="1" t="s">
        <v>3831</v>
      </c>
      <c r="D1470" s="1" t="s">
        <v>3832</v>
      </c>
      <c r="E1470" s="1" t="s">
        <v>3833</v>
      </c>
      <c r="F1470" s="1" t="s">
        <v>3834</v>
      </c>
      <c r="G1470" s="1" t="s">
        <v>3835</v>
      </c>
    </row>
    <row r="1471" spans="1:7">
      <c r="A1471" s="1">
        <v>2784</v>
      </c>
      <c r="B1471" s="1" t="s">
        <v>3836</v>
      </c>
      <c r="D1471" s="1" t="s">
        <v>3837</v>
      </c>
      <c r="E1471" s="1" t="s">
        <v>3838</v>
      </c>
      <c r="F1471" s="1" t="s">
        <v>3834</v>
      </c>
      <c r="G1471" s="1" t="s">
        <v>3835</v>
      </c>
    </row>
    <row r="1472" spans="1:7">
      <c r="A1472" s="1">
        <v>2788</v>
      </c>
      <c r="B1472" s="1" t="s">
        <v>3839</v>
      </c>
      <c r="D1472" s="1" t="s">
        <v>3840</v>
      </c>
      <c r="E1472" s="1" t="s">
        <v>3841</v>
      </c>
      <c r="F1472" s="1" t="s">
        <v>3834</v>
      </c>
      <c r="G1472" s="1" t="s">
        <v>3835</v>
      </c>
    </row>
    <row r="1473" spans="1:7">
      <c r="A1473" s="1">
        <v>2792</v>
      </c>
      <c r="B1473" s="1" t="s">
        <v>3842</v>
      </c>
      <c r="D1473" s="1" t="s">
        <v>3843</v>
      </c>
      <c r="E1473" s="1" t="s">
        <v>3844</v>
      </c>
      <c r="F1473" s="1" t="s">
        <v>3845</v>
      </c>
      <c r="G1473" s="1" t="s">
        <v>3846</v>
      </c>
    </row>
    <row r="1474" spans="1:7">
      <c r="A1474" s="1">
        <v>2793</v>
      </c>
      <c r="B1474" s="1" t="s">
        <v>3847</v>
      </c>
      <c r="D1474" s="1" t="s">
        <v>3843</v>
      </c>
      <c r="E1474" s="1" t="s">
        <v>3848</v>
      </c>
      <c r="F1474" s="1" t="s">
        <v>3849</v>
      </c>
      <c r="G1474" s="1" t="s">
        <v>3850</v>
      </c>
    </row>
    <row r="1475" spans="1:7">
      <c r="A1475" s="1">
        <v>2804</v>
      </c>
      <c r="B1475" s="1" t="s">
        <v>3851</v>
      </c>
      <c r="D1475" s="1" t="s">
        <v>3852</v>
      </c>
      <c r="E1475" s="1" t="s">
        <v>3853</v>
      </c>
      <c r="F1475" s="1" t="s">
        <v>3854</v>
      </c>
      <c r="G1475" s="1" t="s">
        <v>3855</v>
      </c>
    </row>
    <row r="1476" spans="1:7">
      <c r="A1476" s="1">
        <v>2806</v>
      </c>
      <c r="B1476" s="1" t="s">
        <v>3856</v>
      </c>
      <c r="D1476" s="1" t="s">
        <v>3852</v>
      </c>
      <c r="E1476" s="1" t="s">
        <v>3857</v>
      </c>
      <c r="F1476" s="1" t="s">
        <v>3858</v>
      </c>
      <c r="G1476" s="1" t="s">
        <v>3859</v>
      </c>
    </row>
    <row r="1477" spans="1:7">
      <c r="A1477" s="1">
        <v>2810</v>
      </c>
      <c r="B1477" s="1" t="s">
        <v>3860</v>
      </c>
      <c r="D1477" s="1" t="s">
        <v>3861</v>
      </c>
      <c r="E1477" s="1" t="s">
        <v>3862</v>
      </c>
      <c r="F1477" s="1" t="s">
        <v>3863</v>
      </c>
      <c r="G1477" s="1" t="s">
        <v>3864</v>
      </c>
    </row>
    <row r="1478" spans="1:7">
      <c r="A1478" s="1">
        <v>2818</v>
      </c>
      <c r="B1478" s="1" t="s">
        <v>3865</v>
      </c>
      <c r="D1478" s="1" t="s">
        <v>3861</v>
      </c>
      <c r="E1478" s="1" t="s">
        <v>3866</v>
      </c>
      <c r="F1478" s="1" t="s">
        <v>3867</v>
      </c>
      <c r="G1478" s="1" t="s">
        <v>3868</v>
      </c>
    </row>
    <row r="1479" spans="1:7">
      <c r="A1479" s="1">
        <v>2820</v>
      </c>
      <c r="B1479" s="1" t="s">
        <v>3869</v>
      </c>
      <c r="D1479" s="1" t="s">
        <v>3861</v>
      </c>
      <c r="E1479" s="1" t="s">
        <v>3870</v>
      </c>
      <c r="F1479" s="1" t="s">
        <v>3871</v>
      </c>
      <c r="G1479" s="1" t="s">
        <v>3872</v>
      </c>
    </row>
    <row r="1480" spans="1:7">
      <c r="A1480" s="1">
        <v>2822</v>
      </c>
      <c r="B1480" s="1" t="s">
        <v>3873</v>
      </c>
      <c r="D1480" s="1" t="s">
        <v>3861</v>
      </c>
      <c r="E1480" s="1" t="s">
        <v>3874</v>
      </c>
      <c r="F1480" s="1" t="s">
        <v>3875</v>
      </c>
      <c r="G1480" s="1" t="s">
        <v>3876</v>
      </c>
    </row>
    <row r="1481" spans="1:7">
      <c r="A1481" s="1">
        <v>2823</v>
      </c>
      <c r="B1481" s="1" t="s">
        <v>3877</v>
      </c>
      <c r="D1481" s="1" t="s">
        <v>3861</v>
      </c>
      <c r="E1481" s="1" t="s">
        <v>3878</v>
      </c>
      <c r="F1481" s="1" t="s">
        <v>3879</v>
      </c>
      <c r="G1481" s="1" t="s">
        <v>3880</v>
      </c>
    </row>
    <row r="1482" spans="1:7">
      <c r="A1482" s="1">
        <v>2826</v>
      </c>
      <c r="B1482" s="1" t="s">
        <v>3881</v>
      </c>
      <c r="D1482" s="1" t="s">
        <v>3882</v>
      </c>
      <c r="E1482" s="1" t="s">
        <v>3883</v>
      </c>
      <c r="F1482" s="1" t="s">
        <v>910</v>
      </c>
      <c r="G1482" s="1" t="s">
        <v>911</v>
      </c>
    </row>
    <row r="1483" spans="1:7">
      <c r="A1483" s="1">
        <v>2827</v>
      </c>
      <c r="B1483" s="1" t="s">
        <v>3884</v>
      </c>
      <c r="D1483" s="1" t="s">
        <v>3882</v>
      </c>
      <c r="E1483" s="1" t="s">
        <v>3885</v>
      </c>
      <c r="F1483" s="1" t="s">
        <v>914</v>
      </c>
      <c r="G1483" s="1" t="s">
        <v>915</v>
      </c>
    </row>
    <row r="1484" spans="1:7">
      <c r="A1484" s="1">
        <v>2828</v>
      </c>
      <c r="B1484" s="1" t="s">
        <v>3886</v>
      </c>
      <c r="D1484" s="1" t="s">
        <v>3882</v>
      </c>
      <c r="E1484" s="1" t="s">
        <v>3887</v>
      </c>
      <c r="F1484" s="1" t="s">
        <v>918</v>
      </c>
      <c r="G1484" s="1" t="s">
        <v>919</v>
      </c>
    </row>
    <row r="1485" spans="1:7">
      <c r="A1485" s="1">
        <v>2829</v>
      </c>
      <c r="B1485" s="1" t="s">
        <v>3888</v>
      </c>
      <c r="D1485" s="1" t="s">
        <v>3882</v>
      </c>
      <c r="E1485" s="1" t="s">
        <v>3889</v>
      </c>
      <c r="F1485" s="1" t="s">
        <v>161</v>
      </c>
      <c r="G1485" s="1" t="s">
        <v>162</v>
      </c>
    </row>
    <row r="1486" spans="1:7">
      <c r="A1486" s="1">
        <v>2830</v>
      </c>
      <c r="B1486" s="1" t="s">
        <v>3890</v>
      </c>
      <c r="D1486" s="1" t="s">
        <v>3882</v>
      </c>
      <c r="E1486" s="1" t="s">
        <v>3891</v>
      </c>
      <c r="F1486" s="1" t="s">
        <v>165</v>
      </c>
      <c r="G1486" s="1" t="s">
        <v>166</v>
      </c>
    </row>
    <row r="1487" spans="1:7">
      <c r="A1487" s="1">
        <v>2833</v>
      </c>
      <c r="B1487" s="1" t="s">
        <v>3892</v>
      </c>
      <c r="D1487" s="1" t="s">
        <v>3893</v>
      </c>
      <c r="E1487" s="1" t="s">
        <v>3894</v>
      </c>
      <c r="F1487" s="1" t="s">
        <v>161</v>
      </c>
      <c r="G1487" s="1" t="s">
        <v>162</v>
      </c>
    </row>
    <row r="1488" spans="1:7">
      <c r="A1488" s="1">
        <v>2835</v>
      </c>
      <c r="B1488" s="1" t="s">
        <v>3895</v>
      </c>
      <c r="D1488" s="1" t="s">
        <v>3893</v>
      </c>
      <c r="E1488" s="1" t="s">
        <v>3896</v>
      </c>
      <c r="F1488" s="1" t="s">
        <v>165</v>
      </c>
      <c r="G1488" s="1" t="s">
        <v>166</v>
      </c>
    </row>
    <row r="1489" spans="1:7">
      <c r="A1489" s="1">
        <v>2838</v>
      </c>
      <c r="B1489" s="1" t="s">
        <v>3897</v>
      </c>
      <c r="D1489" s="1" t="s">
        <v>3898</v>
      </c>
      <c r="E1489" s="1" t="s">
        <v>3899</v>
      </c>
      <c r="F1489" s="1" t="s">
        <v>3900</v>
      </c>
      <c r="G1489" s="1" t="s">
        <v>3901</v>
      </c>
    </row>
    <row r="1490" spans="1:7">
      <c r="A1490" s="1">
        <v>2839</v>
      </c>
      <c r="B1490" s="1" t="s">
        <v>3902</v>
      </c>
      <c r="D1490" s="1" t="s">
        <v>3898</v>
      </c>
      <c r="E1490" s="1" t="s">
        <v>3903</v>
      </c>
      <c r="F1490" s="1" t="s">
        <v>3904</v>
      </c>
      <c r="G1490" s="1" t="s">
        <v>3905</v>
      </c>
    </row>
    <row r="1491" spans="1:7">
      <c r="A1491" s="1">
        <v>2841</v>
      </c>
      <c r="B1491" s="1" t="s">
        <v>3906</v>
      </c>
      <c r="D1491" s="1" t="s">
        <v>3907</v>
      </c>
      <c r="E1491" s="1" t="s">
        <v>3908</v>
      </c>
      <c r="F1491" s="1" t="s">
        <v>3909</v>
      </c>
      <c r="G1491" s="1" t="s">
        <v>3910</v>
      </c>
    </row>
    <row r="1492" spans="1:7">
      <c r="A1492" s="1">
        <v>2842</v>
      </c>
      <c r="B1492" s="1" t="s">
        <v>3911</v>
      </c>
      <c r="D1492" s="1" t="s">
        <v>3907</v>
      </c>
      <c r="E1492" s="1" t="s">
        <v>3912</v>
      </c>
      <c r="F1492" s="1" t="s">
        <v>3913</v>
      </c>
      <c r="G1492" s="1" t="s">
        <v>3914</v>
      </c>
    </row>
    <row r="1493" spans="1:7">
      <c r="A1493" s="1">
        <v>2843</v>
      </c>
      <c r="B1493" s="1" t="s">
        <v>3915</v>
      </c>
      <c r="D1493" s="1" t="s">
        <v>3907</v>
      </c>
      <c r="E1493" s="1" t="s">
        <v>3916</v>
      </c>
      <c r="F1493" s="1" t="s">
        <v>3917</v>
      </c>
      <c r="G1493" s="1" t="s">
        <v>3918</v>
      </c>
    </row>
    <row r="1494" spans="1:7">
      <c r="A1494" s="1">
        <v>2846</v>
      </c>
      <c r="B1494" s="1" t="s">
        <v>3919</v>
      </c>
      <c r="D1494" s="1" t="s">
        <v>3907</v>
      </c>
      <c r="E1494" s="1" t="s">
        <v>3920</v>
      </c>
      <c r="F1494" s="1" t="s">
        <v>3921</v>
      </c>
      <c r="G1494" s="1" t="s">
        <v>3922</v>
      </c>
    </row>
    <row r="1495" spans="1:7">
      <c r="A1495" s="1">
        <v>2857</v>
      </c>
      <c r="B1495" s="1" t="s">
        <v>3923</v>
      </c>
      <c r="D1495" s="1" t="s">
        <v>3924</v>
      </c>
      <c r="E1495" s="1" t="s">
        <v>3925</v>
      </c>
      <c r="F1495" s="1" t="s">
        <v>3926</v>
      </c>
      <c r="G1495" s="1" t="s">
        <v>3927</v>
      </c>
    </row>
    <row r="1496" spans="1:7">
      <c r="A1496" s="1">
        <v>2858</v>
      </c>
      <c r="B1496" s="1" t="s">
        <v>3928</v>
      </c>
      <c r="D1496" s="1" t="s">
        <v>3924</v>
      </c>
      <c r="E1496" s="1" t="s">
        <v>3929</v>
      </c>
      <c r="F1496" s="1" t="s">
        <v>3930</v>
      </c>
      <c r="G1496" s="1" t="s">
        <v>3931</v>
      </c>
    </row>
    <row r="1497" spans="1:7">
      <c r="A1497" s="1">
        <v>2861</v>
      </c>
      <c r="B1497" s="1" t="s">
        <v>3932</v>
      </c>
      <c r="D1497" s="1" t="s">
        <v>3933</v>
      </c>
      <c r="E1497" s="1" t="s">
        <v>3934</v>
      </c>
      <c r="F1497" s="1" t="s">
        <v>3935</v>
      </c>
      <c r="G1497" s="1" t="s">
        <v>3936</v>
      </c>
    </row>
    <row r="1498" spans="1:7">
      <c r="A1498" s="1">
        <v>2862</v>
      </c>
      <c r="B1498" s="1" t="s">
        <v>3937</v>
      </c>
      <c r="D1498" s="1" t="s">
        <v>3933</v>
      </c>
      <c r="E1498" s="1" t="s">
        <v>3938</v>
      </c>
      <c r="F1498" s="1" t="s">
        <v>3939</v>
      </c>
      <c r="G1498" s="1" t="s">
        <v>3940</v>
      </c>
    </row>
    <row r="1499" spans="1:7">
      <c r="A1499" s="1">
        <v>2866</v>
      </c>
      <c r="B1499" s="1" t="s">
        <v>3941</v>
      </c>
      <c r="D1499" s="1" t="s">
        <v>3942</v>
      </c>
      <c r="E1499" s="1" t="s">
        <v>3943</v>
      </c>
      <c r="F1499" s="1" t="s">
        <v>3944</v>
      </c>
      <c r="G1499" s="1" t="s">
        <v>3945</v>
      </c>
    </row>
    <row r="1500" spans="1:7">
      <c r="A1500" s="1">
        <v>2867</v>
      </c>
      <c r="B1500" s="1" t="s">
        <v>3946</v>
      </c>
      <c r="D1500" s="1" t="s">
        <v>3942</v>
      </c>
      <c r="E1500" s="1" t="s">
        <v>3947</v>
      </c>
      <c r="F1500" s="1" t="s">
        <v>3948</v>
      </c>
      <c r="G1500" s="1" t="s">
        <v>3949</v>
      </c>
    </row>
    <row r="1501" spans="1:7">
      <c r="A1501" s="1">
        <v>2869</v>
      </c>
      <c r="B1501" s="1" t="s">
        <v>3950</v>
      </c>
      <c r="D1501" s="1" t="s">
        <v>3942</v>
      </c>
      <c r="E1501" s="1" t="s">
        <v>3951</v>
      </c>
      <c r="F1501" s="1" t="s">
        <v>3952</v>
      </c>
      <c r="G1501" s="1" t="s">
        <v>3953</v>
      </c>
    </row>
    <row r="1502" spans="1:7">
      <c r="A1502" s="1">
        <v>2870</v>
      </c>
      <c r="B1502" s="1" t="s">
        <v>3954</v>
      </c>
      <c r="D1502" s="1" t="s">
        <v>3942</v>
      </c>
      <c r="E1502" s="1" t="s">
        <v>3955</v>
      </c>
      <c r="F1502" s="1" t="s">
        <v>3956</v>
      </c>
      <c r="G1502" s="1" t="s">
        <v>3957</v>
      </c>
    </row>
    <row r="1503" spans="1:7">
      <c r="A1503" s="1">
        <v>2871</v>
      </c>
      <c r="B1503" s="1" t="s">
        <v>3958</v>
      </c>
      <c r="D1503" s="1" t="s">
        <v>3942</v>
      </c>
      <c r="E1503" s="1" t="s">
        <v>3959</v>
      </c>
      <c r="F1503" s="1" t="s">
        <v>3960</v>
      </c>
      <c r="G1503" s="1" t="s">
        <v>3961</v>
      </c>
    </row>
    <row r="1504" spans="1:7">
      <c r="A1504" s="1">
        <v>2872</v>
      </c>
      <c r="B1504" s="1" t="s">
        <v>3962</v>
      </c>
      <c r="D1504" s="1" t="s">
        <v>3942</v>
      </c>
      <c r="E1504" s="1" t="s">
        <v>3963</v>
      </c>
      <c r="F1504" s="1" t="s">
        <v>3964</v>
      </c>
      <c r="G1504" s="1" t="s">
        <v>3965</v>
      </c>
    </row>
    <row r="1505" spans="1:7">
      <c r="A1505" s="1">
        <v>2873</v>
      </c>
      <c r="B1505" s="1" t="s">
        <v>3966</v>
      </c>
      <c r="D1505" s="1" t="s">
        <v>3942</v>
      </c>
      <c r="E1505" s="1" t="s">
        <v>3967</v>
      </c>
      <c r="F1505" s="1" t="s">
        <v>3968</v>
      </c>
      <c r="G1505" s="1" t="s">
        <v>3969</v>
      </c>
    </row>
    <row r="1506" spans="1:7">
      <c r="A1506" s="1">
        <v>2874</v>
      </c>
      <c r="B1506" s="1" t="s">
        <v>3970</v>
      </c>
      <c r="D1506" s="1" t="s">
        <v>3942</v>
      </c>
      <c r="E1506" s="1" t="s">
        <v>3971</v>
      </c>
      <c r="F1506" s="1" t="s">
        <v>3972</v>
      </c>
      <c r="G1506" s="1" t="s">
        <v>3973</v>
      </c>
    </row>
    <row r="1507" spans="1:7">
      <c r="A1507" s="1">
        <v>2875</v>
      </c>
      <c r="B1507" s="1" t="s">
        <v>3974</v>
      </c>
      <c r="D1507" s="1" t="s">
        <v>3942</v>
      </c>
      <c r="E1507" s="1" t="s">
        <v>3975</v>
      </c>
      <c r="F1507" s="1" t="s">
        <v>3976</v>
      </c>
      <c r="G1507" s="1" t="s">
        <v>3977</v>
      </c>
    </row>
    <row r="1508" spans="1:7">
      <c r="A1508" s="1">
        <v>2878</v>
      </c>
      <c r="B1508" s="1" t="s">
        <v>3978</v>
      </c>
      <c r="D1508" s="1" t="s">
        <v>3942</v>
      </c>
      <c r="E1508" s="1" t="s">
        <v>3979</v>
      </c>
      <c r="F1508" s="1" t="s">
        <v>3980</v>
      </c>
      <c r="G1508" s="1" t="s">
        <v>3981</v>
      </c>
    </row>
    <row r="1509" spans="1:7">
      <c r="A1509" s="1">
        <v>2880</v>
      </c>
      <c r="B1509" s="1" t="s">
        <v>3982</v>
      </c>
      <c r="D1509" s="1" t="s">
        <v>3942</v>
      </c>
      <c r="E1509" s="1" t="s">
        <v>3983</v>
      </c>
      <c r="F1509" s="1" t="s">
        <v>3980</v>
      </c>
      <c r="G1509" s="1" t="s">
        <v>3981</v>
      </c>
    </row>
    <row r="1510" spans="1:7">
      <c r="A1510" s="1">
        <v>2881</v>
      </c>
      <c r="B1510" s="1" t="s">
        <v>3984</v>
      </c>
      <c r="D1510" s="1" t="s">
        <v>3942</v>
      </c>
      <c r="E1510" s="1" t="s">
        <v>3985</v>
      </c>
      <c r="F1510" s="1" t="s">
        <v>3986</v>
      </c>
      <c r="G1510" s="1" t="s">
        <v>3987</v>
      </c>
    </row>
    <row r="1511" spans="1:7">
      <c r="A1511" s="1">
        <v>2883</v>
      </c>
      <c r="B1511" s="1" t="s">
        <v>3988</v>
      </c>
      <c r="D1511" s="1" t="s">
        <v>3989</v>
      </c>
      <c r="E1511" s="1" t="s">
        <v>3990</v>
      </c>
      <c r="F1511" s="1" t="s">
        <v>3944</v>
      </c>
      <c r="G1511" s="1" t="s">
        <v>3945</v>
      </c>
    </row>
    <row r="1512" spans="1:7">
      <c r="A1512" s="1">
        <v>2884</v>
      </c>
      <c r="B1512" s="1" t="s">
        <v>3991</v>
      </c>
      <c r="D1512" s="1" t="s">
        <v>3989</v>
      </c>
      <c r="E1512" s="1" t="s">
        <v>3992</v>
      </c>
      <c r="F1512" s="1" t="s">
        <v>3948</v>
      </c>
      <c r="G1512" s="1" t="s">
        <v>3949</v>
      </c>
    </row>
    <row r="1513" spans="1:7">
      <c r="A1513" s="1">
        <v>2887</v>
      </c>
      <c r="B1513" s="1" t="s">
        <v>3993</v>
      </c>
      <c r="D1513" s="1" t="s">
        <v>3989</v>
      </c>
      <c r="E1513" s="1" t="s">
        <v>3994</v>
      </c>
      <c r="F1513" s="1" t="s">
        <v>3980</v>
      </c>
      <c r="G1513" s="1" t="s">
        <v>3981</v>
      </c>
    </row>
    <row r="1514" spans="1:7">
      <c r="A1514" s="1">
        <v>2889</v>
      </c>
      <c r="B1514" s="1" t="s">
        <v>3995</v>
      </c>
      <c r="D1514" s="1" t="s">
        <v>3989</v>
      </c>
      <c r="E1514" s="1" t="s">
        <v>3996</v>
      </c>
      <c r="F1514" s="1" t="s">
        <v>3980</v>
      </c>
      <c r="G1514" s="1" t="s">
        <v>3981</v>
      </c>
    </row>
    <row r="1515" spans="1:7">
      <c r="A1515" s="1">
        <v>2890</v>
      </c>
      <c r="B1515" s="1" t="s">
        <v>3997</v>
      </c>
      <c r="D1515" s="1" t="s">
        <v>3989</v>
      </c>
      <c r="E1515" s="1" t="s">
        <v>3998</v>
      </c>
      <c r="F1515" s="1" t="s">
        <v>3986</v>
      </c>
      <c r="G1515" s="1" t="s">
        <v>3987</v>
      </c>
    </row>
    <row r="1516" spans="1:7">
      <c r="A1516" s="1">
        <v>2892</v>
      </c>
      <c r="B1516" s="1" t="s">
        <v>3999</v>
      </c>
      <c r="D1516" s="1" t="s">
        <v>3989</v>
      </c>
      <c r="E1516" s="1" t="s">
        <v>4000</v>
      </c>
      <c r="F1516" s="1" t="s">
        <v>4001</v>
      </c>
      <c r="G1516" s="1" t="s">
        <v>4002</v>
      </c>
    </row>
    <row r="1517" spans="1:7">
      <c r="A1517" s="1">
        <v>2893</v>
      </c>
      <c r="B1517" s="1" t="s">
        <v>4003</v>
      </c>
      <c r="D1517" s="1" t="s">
        <v>3989</v>
      </c>
      <c r="E1517" s="1" t="s">
        <v>4004</v>
      </c>
      <c r="F1517" s="1" t="s">
        <v>4005</v>
      </c>
      <c r="G1517" s="1" t="s">
        <v>4006</v>
      </c>
    </row>
    <row r="1518" spans="1:7">
      <c r="A1518" s="1">
        <v>2894</v>
      </c>
      <c r="B1518" s="1" t="s">
        <v>4007</v>
      </c>
      <c r="D1518" s="1" t="s">
        <v>3989</v>
      </c>
      <c r="E1518" s="1" t="s">
        <v>4008</v>
      </c>
      <c r="F1518" s="1" t="s">
        <v>4009</v>
      </c>
      <c r="G1518" s="1" t="s">
        <v>4010</v>
      </c>
    </row>
    <row r="1519" spans="1:7">
      <c r="A1519" s="1">
        <v>2895</v>
      </c>
      <c r="B1519" s="1" t="s">
        <v>4011</v>
      </c>
      <c r="D1519" s="1" t="s">
        <v>3989</v>
      </c>
      <c r="E1519" s="1" t="s">
        <v>4012</v>
      </c>
      <c r="F1519" s="1" t="s">
        <v>4013</v>
      </c>
      <c r="G1519" s="1" t="s">
        <v>4014</v>
      </c>
    </row>
    <row r="1520" spans="1:7">
      <c r="A1520" s="1">
        <v>2896</v>
      </c>
      <c r="B1520" s="1" t="s">
        <v>4015</v>
      </c>
      <c r="D1520" s="1" t="s">
        <v>3989</v>
      </c>
      <c r="E1520" s="1" t="s">
        <v>4016</v>
      </c>
      <c r="F1520" s="1" t="s">
        <v>4017</v>
      </c>
      <c r="G1520" s="1" t="s">
        <v>4018</v>
      </c>
    </row>
    <row r="1521" spans="1:7">
      <c r="A1521" s="1">
        <v>2897</v>
      </c>
      <c r="B1521" s="1" t="s">
        <v>4019</v>
      </c>
      <c r="D1521" s="1" t="s">
        <v>3989</v>
      </c>
      <c r="E1521" s="1" t="s">
        <v>4020</v>
      </c>
      <c r="F1521" s="1" t="s">
        <v>4021</v>
      </c>
      <c r="G1521" s="1" t="s">
        <v>4022</v>
      </c>
    </row>
    <row r="1522" spans="1:7">
      <c r="A1522" s="1">
        <v>2898</v>
      </c>
      <c r="B1522" s="1" t="s">
        <v>4023</v>
      </c>
      <c r="D1522" s="1" t="s">
        <v>3989</v>
      </c>
      <c r="E1522" s="1" t="s">
        <v>4024</v>
      </c>
      <c r="F1522" s="1" t="s">
        <v>4025</v>
      </c>
      <c r="G1522" s="1" t="s">
        <v>4026</v>
      </c>
    </row>
    <row r="1523" spans="1:7">
      <c r="A1523" s="1">
        <v>2899</v>
      </c>
      <c r="B1523" s="1" t="s">
        <v>4027</v>
      </c>
      <c r="D1523" s="1" t="s">
        <v>4028</v>
      </c>
      <c r="E1523" s="1" t="s">
        <v>4029</v>
      </c>
      <c r="F1523" s="1" t="s">
        <v>4030</v>
      </c>
      <c r="G1523" s="1" t="s">
        <v>4031</v>
      </c>
    </row>
    <row r="1524" spans="1:7">
      <c r="A1524" s="1">
        <v>2900</v>
      </c>
      <c r="B1524" s="1" t="s">
        <v>4032</v>
      </c>
      <c r="D1524" s="1" t="s">
        <v>4028</v>
      </c>
      <c r="E1524" s="1" t="s">
        <v>4033</v>
      </c>
      <c r="F1524" s="1" t="s">
        <v>4034</v>
      </c>
      <c r="G1524" s="1" t="s">
        <v>4035</v>
      </c>
    </row>
    <row r="1525" spans="1:7">
      <c r="A1525" s="1">
        <v>2901</v>
      </c>
      <c r="B1525" s="1" t="s">
        <v>4036</v>
      </c>
      <c r="D1525" s="1" t="s">
        <v>4028</v>
      </c>
      <c r="E1525" s="1" t="s">
        <v>4037</v>
      </c>
      <c r="F1525" s="1" t="s">
        <v>4038</v>
      </c>
      <c r="G1525" s="1" t="s">
        <v>4039</v>
      </c>
    </row>
    <row r="1526" spans="1:7">
      <c r="A1526" s="1">
        <v>2904</v>
      </c>
      <c r="B1526" s="1" t="s">
        <v>4040</v>
      </c>
      <c r="D1526" s="1" t="s">
        <v>4028</v>
      </c>
      <c r="E1526" s="1" t="s">
        <v>4041</v>
      </c>
      <c r="F1526" s="1" t="s">
        <v>4042</v>
      </c>
      <c r="G1526" s="1" t="s">
        <v>4043</v>
      </c>
    </row>
    <row r="1527" spans="1:7">
      <c r="A1527" s="1">
        <v>2905</v>
      </c>
      <c r="B1527" s="1" t="s">
        <v>4044</v>
      </c>
      <c r="D1527" s="1" t="s">
        <v>4045</v>
      </c>
      <c r="E1527" s="1" t="s">
        <v>4046</v>
      </c>
      <c r="F1527" s="1" t="s">
        <v>4047</v>
      </c>
      <c r="G1527" s="1" t="s">
        <v>4048</v>
      </c>
    </row>
    <row r="1528" spans="1:7">
      <c r="A1528" s="1">
        <v>2906</v>
      </c>
      <c r="B1528" s="1" t="s">
        <v>4049</v>
      </c>
      <c r="D1528" s="1" t="s">
        <v>4045</v>
      </c>
      <c r="E1528" s="1" t="s">
        <v>4050</v>
      </c>
      <c r="F1528" s="1" t="s">
        <v>4051</v>
      </c>
      <c r="G1528" s="1" t="s">
        <v>4052</v>
      </c>
    </row>
    <row r="1529" spans="1:7">
      <c r="A1529" s="1">
        <v>2907</v>
      </c>
      <c r="B1529" s="1" t="s">
        <v>4053</v>
      </c>
      <c r="D1529" s="1" t="s">
        <v>4045</v>
      </c>
      <c r="E1529" s="1" t="s">
        <v>4054</v>
      </c>
      <c r="F1529" s="1" t="s">
        <v>4055</v>
      </c>
      <c r="G1529" s="1" t="s">
        <v>4056</v>
      </c>
    </row>
    <row r="1530" spans="1:7">
      <c r="A1530" s="1">
        <v>2908</v>
      </c>
      <c r="B1530" s="1" t="s">
        <v>4057</v>
      </c>
      <c r="D1530" s="1" t="s">
        <v>4058</v>
      </c>
      <c r="E1530" s="1" t="s">
        <v>4059</v>
      </c>
      <c r="F1530" s="1" t="s">
        <v>4047</v>
      </c>
      <c r="G1530" s="1" t="s">
        <v>4048</v>
      </c>
    </row>
    <row r="1531" spans="1:7">
      <c r="A1531" s="1">
        <v>2909</v>
      </c>
      <c r="B1531" s="1" t="s">
        <v>4060</v>
      </c>
      <c r="D1531" s="1" t="s">
        <v>4058</v>
      </c>
      <c r="E1531" s="1" t="s">
        <v>4061</v>
      </c>
      <c r="F1531" s="1" t="s">
        <v>4051</v>
      </c>
      <c r="G1531" s="1" t="s">
        <v>4052</v>
      </c>
    </row>
    <row r="1532" spans="1:7">
      <c r="A1532" s="1">
        <v>2910</v>
      </c>
      <c r="B1532" s="1" t="s">
        <v>4062</v>
      </c>
      <c r="D1532" s="1" t="s">
        <v>4058</v>
      </c>
      <c r="E1532" s="1" t="s">
        <v>4063</v>
      </c>
      <c r="F1532" s="1" t="s">
        <v>4064</v>
      </c>
      <c r="G1532" s="1" t="s">
        <v>4065</v>
      </c>
    </row>
    <row r="1533" spans="1:7">
      <c r="A1533" s="1">
        <v>2911</v>
      </c>
      <c r="B1533" s="1" t="s">
        <v>4066</v>
      </c>
      <c r="D1533" s="1" t="s">
        <v>4058</v>
      </c>
      <c r="E1533" s="1" t="s">
        <v>4067</v>
      </c>
      <c r="F1533" s="1" t="s">
        <v>4068</v>
      </c>
      <c r="G1533" s="1" t="s">
        <v>4069</v>
      </c>
    </row>
    <row r="1534" spans="1:7">
      <c r="A1534" s="1">
        <v>2912</v>
      </c>
      <c r="B1534" s="1" t="s">
        <v>4070</v>
      </c>
      <c r="D1534" s="1" t="s">
        <v>4058</v>
      </c>
      <c r="E1534" s="1" t="s">
        <v>4071</v>
      </c>
      <c r="F1534" s="1" t="s">
        <v>4055</v>
      </c>
      <c r="G1534" s="1" t="s">
        <v>4056</v>
      </c>
    </row>
    <row r="1535" spans="1:7">
      <c r="A1535" s="1">
        <v>2914</v>
      </c>
      <c r="B1535" s="1" t="s">
        <v>4072</v>
      </c>
      <c r="D1535" s="1" t="s">
        <v>4073</v>
      </c>
      <c r="E1535" s="1" t="s">
        <v>4074</v>
      </c>
      <c r="F1535" s="1" t="s">
        <v>4047</v>
      </c>
      <c r="G1535" s="1" t="s">
        <v>4048</v>
      </c>
    </row>
    <row r="1536" spans="1:7">
      <c r="A1536" s="1">
        <v>2915</v>
      </c>
      <c r="B1536" s="1" t="s">
        <v>4075</v>
      </c>
      <c r="D1536" s="1" t="s">
        <v>4073</v>
      </c>
      <c r="E1536" s="1" t="s">
        <v>4076</v>
      </c>
      <c r="F1536" s="1" t="s">
        <v>4051</v>
      </c>
      <c r="G1536" s="1" t="s">
        <v>4052</v>
      </c>
    </row>
    <row r="1537" spans="1:7">
      <c r="A1537" s="1">
        <v>2916</v>
      </c>
      <c r="B1537" s="1" t="s">
        <v>4077</v>
      </c>
      <c r="D1537" s="1" t="s">
        <v>4073</v>
      </c>
      <c r="E1537" s="1" t="s">
        <v>4078</v>
      </c>
      <c r="F1537" s="1" t="s">
        <v>4055</v>
      </c>
      <c r="G1537" s="1" t="s">
        <v>4056</v>
      </c>
    </row>
    <row r="1538" spans="1:7">
      <c r="A1538" s="1">
        <v>2918</v>
      </c>
      <c r="B1538" s="1" t="s">
        <v>4079</v>
      </c>
      <c r="D1538" s="1" t="s">
        <v>4080</v>
      </c>
      <c r="E1538" s="1" t="s">
        <v>4081</v>
      </c>
      <c r="F1538" s="1" t="s">
        <v>4082</v>
      </c>
      <c r="G1538" s="1" t="s">
        <v>4083</v>
      </c>
    </row>
    <row r="1539" spans="1:7">
      <c r="A1539" s="1">
        <v>2919</v>
      </c>
      <c r="B1539" s="1" t="s">
        <v>4084</v>
      </c>
      <c r="D1539" s="1" t="s">
        <v>4080</v>
      </c>
      <c r="E1539" s="1" t="s">
        <v>4085</v>
      </c>
      <c r="F1539" s="1" t="s">
        <v>4086</v>
      </c>
      <c r="G1539" s="1" t="s">
        <v>4087</v>
      </c>
    </row>
    <row r="1540" spans="1:7">
      <c r="A1540" s="1">
        <v>2921</v>
      </c>
      <c r="B1540" s="1" t="s">
        <v>4088</v>
      </c>
      <c r="D1540" s="1" t="s">
        <v>4080</v>
      </c>
      <c r="E1540" s="1" t="s">
        <v>4089</v>
      </c>
      <c r="F1540" s="1" t="s">
        <v>4090</v>
      </c>
      <c r="G1540" s="1" t="s">
        <v>4091</v>
      </c>
    </row>
    <row r="1541" spans="1:7">
      <c r="A1541" s="1">
        <v>2922</v>
      </c>
      <c r="B1541" s="1" t="s">
        <v>4092</v>
      </c>
      <c r="D1541" s="1" t="s">
        <v>4080</v>
      </c>
      <c r="E1541" s="1" t="s">
        <v>4093</v>
      </c>
      <c r="F1541" s="1" t="s">
        <v>4094</v>
      </c>
      <c r="G1541" s="1" t="s">
        <v>4095</v>
      </c>
    </row>
    <row r="1542" spans="1:7">
      <c r="A1542" s="1">
        <v>2924</v>
      </c>
      <c r="B1542" s="1" t="s">
        <v>4096</v>
      </c>
      <c r="D1542" s="1" t="s">
        <v>4080</v>
      </c>
      <c r="E1542" s="1" t="s">
        <v>4097</v>
      </c>
      <c r="F1542" s="1" t="s">
        <v>4098</v>
      </c>
      <c r="G1542" s="1" t="s">
        <v>4099</v>
      </c>
    </row>
    <row r="1543" spans="1:7">
      <c r="A1543" s="1">
        <v>2926</v>
      </c>
      <c r="B1543" s="1" t="s">
        <v>4100</v>
      </c>
      <c r="D1543" s="1" t="s">
        <v>4080</v>
      </c>
      <c r="E1543" s="1" t="s">
        <v>4101</v>
      </c>
      <c r="F1543" s="1" t="s">
        <v>4102</v>
      </c>
      <c r="G1543" s="1" t="s">
        <v>4103</v>
      </c>
    </row>
    <row r="1544" spans="1:7">
      <c r="A1544" s="1">
        <v>2928</v>
      </c>
      <c r="B1544" s="1" t="s">
        <v>4104</v>
      </c>
      <c r="D1544" s="1" t="s">
        <v>4080</v>
      </c>
      <c r="E1544" s="1" t="s">
        <v>4105</v>
      </c>
      <c r="F1544" s="1" t="s">
        <v>4106</v>
      </c>
      <c r="G1544" s="1" t="s">
        <v>4107</v>
      </c>
    </row>
    <row r="1545" spans="1:7">
      <c r="A1545" s="1">
        <v>2929</v>
      </c>
      <c r="B1545" s="1" t="s">
        <v>4108</v>
      </c>
      <c r="D1545" s="1" t="s">
        <v>4080</v>
      </c>
      <c r="E1545" s="1" t="s">
        <v>4109</v>
      </c>
      <c r="F1545" s="1" t="s">
        <v>4110</v>
      </c>
      <c r="G1545" s="1" t="s">
        <v>4111</v>
      </c>
    </row>
    <row r="1546" spans="1:7">
      <c r="A1546" s="1">
        <v>2930</v>
      </c>
      <c r="B1546" s="1" t="s">
        <v>4112</v>
      </c>
      <c r="D1546" s="1" t="s">
        <v>4080</v>
      </c>
      <c r="E1546" s="1" t="s">
        <v>4113</v>
      </c>
      <c r="F1546" s="1" t="s">
        <v>4114</v>
      </c>
      <c r="G1546" s="1" t="s">
        <v>4115</v>
      </c>
    </row>
    <row r="1547" spans="1:7">
      <c r="A1547" s="1">
        <v>2931</v>
      </c>
      <c r="B1547" s="1" t="s">
        <v>4116</v>
      </c>
      <c r="D1547" s="1" t="s">
        <v>4080</v>
      </c>
      <c r="E1547" s="1" t="s">
        <v>4117</v>
      </c>
      <c r="F1547" s="1" t="s">
        <v>4118</v>
      </c>
      <c r="G1547" s="1" t="s">
        <v>4119</v>
      </c>
    </row>
    <row r="1548" spans="1:7">
      <c r="A1548" s="1">
        <v>2932</v>
      </c>
      <c r="B1548" s="1" t="s">
        <v>4120</v>
      </c>
      <c r="D1548" s="1" t="s">
        <v>4080</v>
      </c>
      <c r="E1548" s="1" t="s">
        <v>4121</v>
      </c>
      <c r="F1548" s="1" t="s">
        <v>4122</v>
      </c>
      <c r="G1548" s="1" t="s">
        <v>4123</v>
      </c>
    </row>
    <row r="1549" spans="1:7">
      <c r="A1549" s="1">
        <v>2934</v>
      </c>
      <c r="B1549" s="1" t="s">
        <v>4124</v>
      </c>
      <c r="D1549" s="1" t="s">
        <v>4080</v>
      </c>
      <c r="E1549" s="1" t="s">
        <v>4125</v>
      </c>
      <c r="F1549" s="1" t="s">
        <v>4126</v>
      </c>
      <c r="G1549" s="1" t="s">
        <v>4127</v>
      </c>
    </row>
    <row r="1550" spans="1:7">
      <c r="A1550" s="1">
        <v>2935</v>
      </c>
      <c r="B1550" s="1" t="s">
        <v>4128</v>
      </c>
      <c r="D1550" s="1" t="s">
        <v>4129</v>
      </c>
      <c r="E1550" s="1" t="s">
        <v>4130</v>
      </c>
      <c r="F1550" s="1" t="s">
        <v>161</v>
      </c>
      <c r="G1550" s="1" t="s">
        <v>162</v>
      </c>
    </row>
    <row r="1551" spans="1:7">
      <c r="A1551" s="1">
        <v>2937</v>
      </c>
      <c r="B1551" s="1" t="s">
        <v>4131</v>
      </c>
      <c r="D1551" s="1" t="s">
        <v>4129</v>
      </c>
      <c r="E1551" s="1" t="s">
        <v>4132</v>
      </c>
      <c r="F1551" s="1" t="s">
        <v>165</v>
      </c>
      <c r="G1551" s="1" t="s">
        <v>166</v>
      </c>
    </row>
    <row r="1552" spans="1:7">
      <c r="A1552" s="1">
        <v>2950</v>
      </c>
      <c r="B1552" s="1" t="s">
        <v>4133</v>
      </c>
      <c r="D1552" s="1" t="s">
        <v>4134</v>
      </c>
      <c r="E1552" s="1" t="s">
        <v>4135</v>
      </c>
      <c r="F1552" s="1" t="s">
        <v>4136</v>
      </c>
      <c r="G1552" s="1" t="s">
        <v>4137</v>
      </c>
    </row>
    <row r="1553" spans="1:7">
      <c r="A1553" s="1">
        <v>2957</v>
      </c>
      <c r="B1553" s="1" t="s">
        <v>4138</v>
      </c>
      <c r="D1553" s="1" t="s">
        <v>4139</v>
      </c>
      <c r="E1553" s="1" t="s">
        <v>4140</v>
      </c>
      <c r="F1553" s="1" t="s">
        <v>4136</v>
      </c>
      <c r="G1553" s="1" t="s">
        <v>4137</v>
      </c>
    </row>
    <row r="1554" spans="1:7">
      <c r="A1554" s="1">
        <v>2958</v>
      </c>
      <c r="B1554" s="1" t="s">
        <v>4141</v>
      </c>
      <c r="D1554" s="1" t="s">
        <v>4142</v>
      </c>
      <c r="E1554" s="1" t="s">
        <v>4143</v>
      </c>
      <c r="F1554" s="1" t="s">
        <v>4144</v>
      </c>
      <c r="G1554" s="1" t="s">
        <v>4145</v>
      </c>
    </row>
    <row r="1555" spans="1:7">
      <c r="A1555" s="1">
        <v>2959</v>
      </c>
      <c r="B1555" s="1" t="s">
        <v>4146</v>
      </c>
      <c r="D1555" s="1" t="s">
        <v>4142</v>
      </c>
      <c r="E1555" s="1" t="s">
        <v>4147</v>
      </c>
      <c r="F1555" s="1" t="s">
        <v>4148</v>
      </c>
      <c r="G1555" s="1" t="s">
        <v>4149</v>
      </c>
    </row>
    <row r="1556" spans="1:7">
      <c r="A1556" s="1">
        <v>2972</v>
      </c>
      <c r="B1556" s="1" t="s">
        <v>4150</v>
      </c>
      <c r="D1556" s="1" t="s">
        <v>4151</v>
      </c>
      <c r="E1556" s="1" t="s">
        <v>4152</v>
      </c>
      <c r="F1556" s="1" t="s">
        <v>4153</v>
      </c>
      <c r="G1556" s="1" t="s">
        <v>4154</v>
      </c>
    </row>
    <row r="1557" spans="1:7">
      <c r="A1557" s="1">
        <v>2973</v>
      </c>
      <c r="B1557" s="1" t="s">
        <v>4155</v>
      </c>
      <c r="D1557" s="1" t="s">
        <v>4151</v>
      </c>
      <c r="E1557" s="1" t="s">
        <v>4156</v>
      </c>
      <c r="F1557" s="1" t="s">
        <v>4157</v>
      </c>
      <c r="G1557" s="1" t="s">
        <v>4158</v>
      </c>
    </row>
    <row r="1558" spans="1:7">
      <c r="A1558" s="1">
        <v>2974</v>
      </c>
      <c r="B1558" s="1" t="s">
        <v>4159</v>
      </c>
      <c r="D1558" s="1" t="s">
        <v>4151</v>
      </c>
      <c r="E1558" s="1" t="s">
        <v>4160</v>
      </c>
      <c r="F1558" s="1" t="s">
        <v>4161</v>
      </c>
      <c r="G1558" s="1" t="s">
        <v>4162</v>
      </c>
    </row>
    <row r="1559" spans="1:7">
      <c r="A1559" s="1">
        <v>2985</v>
      </c>
      <c r="B1559" s="1" t="s">
        <v>4163</v>
      </c>
      <c r="D1559" s="1" t="s">
        <v>4164</v>
      </c>
      <c r="E1559" s="1" t="s">
        <v>4165</v>
      </c>
      <c r="F1559" s="1" t="s">
        <v>4153</v>
      </c>
      <c r="G1559" s="1" t="s">
        <v>4154</v>
      </c>
    </row>
    <row r="1560" spans="1:7">
      <c r="A1560" s="1">
        <v>2986</v>
      </c>
      <c r="B1560" s="1" t="s">
        <v>4166</v>
      </c>
      <c r="D1560" s="1" t="s">
        <v>4164</v>
      </c>
      <c r="E1560" s="1" t="s">
        <v>4167</v>
      </c>
      <c r="F1560" s="1" t="s">
        <v>4157</v>
      </c>
      <c r="G1560" s="1" t="s">
        <v>4158</v>
      </c>
    </row>
    <row r="1561" spans="1:7">
      <c r="A1561" s="1">
        <v>2987</v>
      </c>
      <c r="B1561" s="1" t="s">
        <v>4168</v>
      </c>
      <c r="D1561" s="1" t="s">
        <v>4164</v>
      </c>
      <c r="E1561" s="1" t="s">
        <v>4169</v>
      </c>
      <c r="F1561" s="1" t="s">
        <v>4161</v>
      </c>
      <c r="G1561" s="1" t="s">
        <v>4162</v>
      </c>
    </row>
    <row r="1562" spans="1:7">
      <c r="A1562" s="1">
        <v>2990</v>
      </c>
      <c r="B1562" s="1" t="s">
        <v>4170</v>
      </c>
      <c r="D1562" s="1" t="s">
        <v>4171</v>
      </c>
      <c r="E1562" s="1" t="s">
        <v>4172</v>
      </c>
      <c r="F1562" s="1" t="s">
        <v>421</v>
      </c>
      <c r="G1562" s="1" t="s">
        <v>422</v>
      </c>
    </row>
    <row r="1563" spans="1:7">
      <c r="A1563" s="1">
        <v>2991</v>
      </c>
      <c r="B1563" s="1" t="s">
        <v>4173</v>
      </c>
      <c r="D1563" s="1" t="s">
        <v>4171</v>
      </c>
      <c r="E1563" s="1" t="s">
        <v>4174</v>
      </c>
      <c r="F1563" s="1" t="s">
        <v>425</v>
      </c>
      <c r="G1563" s="1" t="s">
        <v>426</v>
      </c>
    </row>
    <row r="1564" spans="1:7">
      <c r="A1564" s="1">
        <v>2992</v>
      </c>
      <c r="B1564" s="1" t="s">
        <v>4175</v>
      </c>
      <c r="D1564" s="1" t="s">
        <v>4171</v>
      </c>
      <c r="E1564" s="1" t="s">
        <v>4176</v>
      </c>
      <c r="F1564" s="1" t="s">
        <v>429</v>
      </c>
      <c r="G1564" s="1" t="s">
        <v>430</v>
      </c>
    </row>
    <row r="1565" spans="1:7">
      <c r="A1565" s="1">
        <v>2994</v>
      </c>
      <c r="B1565" s="1" t="s">
        <v>4177</v>
      </c>
      <c r="D1565" s="1" t="s">
        <v>4178</v>
      </c>
      <c r="E1565" s="1" t="s">
        <v>4179</v>
      </c>
      <c r="F1565" s="1" t="s">
        <v>4180</v>
      </c>
      <c r="G1565" s="1" t="s">
        <v>4181</v>
      </c>
    </row>
    <row r="1566" spans="1:7">
      <c r="A1566" s="1">
        <v>2995</v>
      </c>
      <c r="B1566" s="1" t="s">
        <v>4182</v>
      </c>
      <c r="D1566" s="1" t="s">
        <v>4183</v>
      </c>
      <c r="E1566" s="1" t="s">
        <v>4184</v>
      </c>
      <c r="F1566" s="1" t="s">
        <v>4185</v>
      </c>
      <c r="G1566" s="1" t="s">
        <v>4186</v>
      </c>
    </row>
    <row r="1567" spans="1:7">
      <c r="A1567" s="1">
        <v>2996</v>
      </c>
      <c r="B1567" s="1" t="s">
        <v>4187</v>
      </c>
      <c r="D1567" s="1" t="s">
        <v>4183</v>
      </c>
      <c r="E1567" s="1" t="s">
        <v>4188</v>
      </c>
      <c r="F1567" s="1" t="s">
        <v>906</v>
      </c>
      <c r="G1567" s="1" t="s">
        <v>907</v>
      </c>
    </row>
    <row r="1568" spans="1:7">
      <c r="A1568" s="1">
        <v>2997</v>
      </c>
      <c r="B1568" s="1" t="s">
        <v>4189</v>
      </c>
      <c r="D1568" s="1" t="s">
        <v>4183</v>
      </c>
      <c r="E1568" s="1" t="s">
        <v>4190</v>
      </c>
      <c r="F1568" s="1" t="s">
        <v>161</v>
      </c>
      <c r="G1568" s="1" t="s">
        <v>162</v>
      </c>
    </row>
    <row r="1569" spans="1:7">
      <c r="A1569" s="1">
        <v>2998</v>
      </c>
      <c r="B1569" s="1" t="s">
        <v>4191</v>
      </c>
      <c r="D1569" s="1" t="s">
        <v>4183</v>
      </c>
      <c r="E1569" s="1" t="s">
        <v>4192</v>
      </c>
      <c r="F1569" s="1" t="s">
        <v>165</v>
      </c>
      <c r="G1569" s="1" t="s">
        <v>166</v>
      </c>
    </row>
    <row r="1570" spans="1:7">
      <c r="A1570" s="1">
        <v>3005</v>
      </c>
      <c r="B1570" s="1" t="s">
        <v>4193</v>
      </c>
      <c r="D1570" s="1" t="s">
        <v>4194</v>
      </c>
      <c r="E1570" s="1" t="s">
        <v>4195</v>
      </c>
      <c r="F1570" s="1" t="s">
        <v>4196</v>
      </c>
      <c r="G1570" s="1" t="s">
        <v>4197</v>
      </c>
    </row>
    <row r="1571" spans="1:7">
      <c r="A1571" s="1">
        <v>3006</v>
      </c>
      <c r="B1571" s="1" t="s">
        <v>4198</v>
      </c>
      <c r="D1571" s="1" t="s">
        <v>4194</v>
      </c>
      <c r="E1571" s="1" t="s">
        <v>4199</v>
      </c>
      <c r="F1571" s="1" t="s">
        <v>4200</v>
      </c>
      <c r="G1571" s="1" t="s">
        <v>4201</v>
      </c>
    </row>
    <row r="1572" spans="1:7">
      <c r="A1572" s="1">
        <v>3007</v>
      </c>
      <c r="B1572" s="1" t="s">
        <v>4202</v>
      </c>
      <c r="D1572" s="1" t="s">
        <v>4203</v>
      </c>
      <c r="E1572" s="1" t="s">
        <v>4204</v>
      </c>
      <c r="F1572" s="1" t="s">
        <v>4205</v>
      </c>
      <c r="G1572" s="1" t="s">
        <v>4206</v>
      </c>
    </row>
    <row r="1573" spans="1:7">
      <c r="A1573" s="1">
        <v>3008</v>
      </c>
      <c r="B1573" s="1" t="s">
        <v>4207</v>
      </c>
      <c r="D1573" s="1" t="s">
        <v>4208</v>
      </c>
      <c r="E1573" s="1" t="s">
        <v>4209</v>
      </c>
      <c r="F1573" s="1" t="s">
        <v>4210</v>
      </c>
      <c r="G1573" s="1" t="s">
        <v>4211</v>
      </c>
    </row>
    <row r="1574" spans="1:7">
      <c r="A1574" s="1">
        <v>3009</v>
      </c>
      <c r="B1574" s="1" t="s">
        <v>4212</v>
      </c>
      <c r="D1574" s="1" t="s">
        <v>4213</v>
      </c>
      <c r="E1574" s="1" t="s">
        <v>4214</v>
      </c>
      <c r="F1574" s="1" t="s">
        <v>4215</v>
      </c>
      <c r="G1574" s="1" t="s">
        <v>4216</v>
      </c>
    </row>
    <row r="1575" spans="1:7">
      <c r="A1575" s="1">
        <v>3011</v>
      </c>
      <c r="B1575" s="1" t="s">
        <v>4217</v>
      </c>
      <c r="D1575" s="1" t="s">
        <v>4218</v>
      </c>
      <c r="E1575" s="1" t="s">
        <v>4219</v>
      </c>
      <c r="F1575" s="1" t="s">
        <v>4220</v>
      </c>
      <c r="G1575" s="1" t="s">
        <v>4221</v>
      </c>
    </row>
    <row r="1576" spans="1:7">
      <c r="A1576" s="1">
        <v>3012</v>
      </c>
      <c r="B1576" s="1" t="s">
        <v>4222</v>
      </c>
      <c r="D1576" s="1" t="s">
        <v>4218</v>
      </c>
      <c r="E1576" s="1" t="s">
        <v>4223</v>
      </c>
      <c r="F1576" s="1" t="s">
        <v>4224</v>
      </c>
      <c r="G1576" s="1" t="s">
        <v>4225</v>
      </c>
    </row>
    <row r="1577" spans="1:7">
      <c r="A1577" s="1">
        <v>3013</v>
      </c>
      <c r="B1577" s="1" t="s">
        <v>4226</v>
      </c>
      <c r="D1577" s="1" t="s">
        <v>4218</v>
      </c>
      <c r="E1577" s="1" t="s">
        <v>4227</v>
      </c>
      <c r="F1577" s="1" t="s">
        <v>4228</v>
      </c>
      <c r="G1577" s="1" t="s">
        <v>4229</v>
      </c>
    </row>
    <row r="1578" spans="1:7">
      <c r="A1578" s="1">
        <v>3014</v>
      </c>
      <c r="B1578" s="1" t="s">
        <v>4230</v>
      </c>
      <c r="D1578" s="1" t="s">
        <v>4218</v>
      </c>
      <c r="E1578" s="1" t="s">
        <v>4231</v>
      </c>
      <c r="F1578" s="1" t="s">
        <v>4232</v>
      </c>
      <c r="G1578" s="1" t="s">
        <v>4233</v>
      </c>
    </row>
    <row r="1579" spans="1:7">
      <c r="A1579" s="1">
        <v>3015</v>
      </c>
      <c r="B1579" s="1" t="s">
        <v>4234</v>
      </c>
      <c r="D1579" s="1" t="s">
        <v>4218</v>
      </c>
      <c r="E1579" s="1" t="s">
        <v>4235</v>
      </c>
      <c r="F1579" s="1" t="s">
        <v>4236</v>
      </c>
      <c r="G1579" s="1" t="s">
        <v>4237</v>
      </c>
    </row>
    <row r="1580" spans="1:7">
      <c r="A1580" s="1">
        <v>3016</v>
      </c>
      <c r="B1580" s="1" t="s">
        <v>4238</v>
      </c>
      <c r="D1580" s="1" t="s">
        <v>4218</v>
      </c>
      <c r="E1580" s="1" t="s">
        <v>4239</v>
      </c>
      <c r="F1580" s="1" t="s">
        <v>4240</v>
      </c>
      <c r="G1580" s="1" t="s">
        <v>4241</v>
      </c>
    </row>
    <row r="1581" spans="1:7">
      <c r="A1581" s="1">
        <v>3017</v>
      </c>
      <c r="B1581" s="1" t="s">
        <v>4242</v>
      </c>
      <c r="D1581" s="1" t="s">
        <v>4218</v>
      </c>
      <c r="E1581" s="1" t="s">
        <v>4243</v>
      </c>
      <c r="F1581" s="1" t="s">
        <v>4244</v>
      </c>
      <c r="G1581" s="1" t="s">
        <v>4245</v>
      </c>
    </row>
    <row r="1582" spans="1:7">
      <c r="A1582" s="1">
        <v>3018</v>
      </c>
      <c r="B1582" s="1" t="s">
        <v>4246</v>
      </c>
      <c r="D1582" s="1" t="s">
        <v>4218</v>
      </c>
      <c r="E1582" s="1" t="s">
        <v>4247</v>
      </c>
      <c r="F1582" s="1" t="s">
        <v>4248</v>
      </c>
      <c r="G1582" s="1" t="s">
        <v>4249</v>
      </c>
    </row>
    <row r="1583" spans="1:7">
      <c r="A1583" s="1">
        <v>3021</v>
      </c>
      <c r="B1583" s="1" t="s">
        <v>4250</v>
      </c>
      <c r="D1583" s="1" t="s">
        <v>4218</v>
      </c>
      <c r="E1583" s="1" t="s">
        <v>4251</v>
      </c>
      <c r="F1583" s="1" t="s">
        <v>4252</v>
      </c>
      <c r="G1583" s="1" t="s">
        <v>4253</v>
      </c>
    </row>
    <row r="1584" spans="1:7">
      <c r="A1584" s="1">
        <v>3022</v>
      </c>
      <c r="B1584" s="1" t="s">
        <v>4254</v>
      </c>
      <c r="D1584" s="1" t="s">
        <v>4218</v>
      </c>
      <c r="E1584" s="1" t="s">
        <v>4255</v>
      </c>
      <c r="F1584" s="1" t="s">
        <v>4256</v>
      </c>
      <c r="G1584" s="1" t="s">
        <v>4257</v>
      </c>
    </row>
    <row r="1585" spans="1:7">
      <c r="A1585" s="1">
        <v>3023</v>
      </c>
      <c r="B1585" s="1" t="s">
        <v>4258</v>
      </c>
      <c r="D1585" s="1" t="s">
        <v>4218</v>
      </c>
      <c r="E1585" s="1" t="s">
        <v>4259</v>
      </c>
      <c r="F1585" s="1" t="s">
        <v>4260</v>
      </c>
      <c r="G1585" s="1" t="s">
        <v>4261</v>
      </c>
    </row>
    <row r="1586" spans="1:7">
      <c r="A1586" s="1">
        <v>3025</v>
      </c>
      <c r="B1586" s="1" t="s">
        <v>4262</v>
      </c>
      <c r="D1586" s="1" t="s">
        <v>4263</v>
      </c>
      <c r="E1586" s="1" t="s">
        <v>4264</v>
      </c>
      <c r="F1586" s="1" t="s">
        <v>161</v>
      </c>
      <c r="G1586" s="1" t="s">
        <v>162</v>
      </c>
    </row>
    <row r="1587" spans="1:7">
      <c r="A1587" s="1">
        <v>3026</v>
      </c>
      <c r="B1587" s="1" t="s">
        <v>4265</v>
      </c>
      <c r="D1587" s="1" t="s">
        <v>4263</v>
      </c>
      <c r="E1587" s="1" t="s">
        <v>4266</v>
      </c>
      <c r="F1587" s="1" t="s">
        <v>165</v>
      </c>
      <c r="G1587" s="1" t="s">
        <v>166</v>
      </c>
    </row>
    <row r="1588" spans="1:7">
      <c r="A1588" s="1">
        <v>3031</v>
      </c>
      <c r="B1588" s="1" t="s">
        <v>4267</v>
      </c>
      <c r="D1588" s="1" t="s">
        <v>4268</v>
      </c>
      <c r="E1588" s="1" t="s">
        <v>4269</v>
      </c>
      <c r="F1588" s="1" t="s">
        <v>4270</v>
      </c>
      <c r="G1588" s="1" t="s">
        <v>4271</v>
      </c>
    </row>
    <row r="1589" spans="1:7">
      <c r="A1589" s="1">
        <v>3033</v>
      </c>
      <c r="B1589" s="1" t="s">
        <v>4272</v>
      </c>
      <c r="D1589" s="1" t="s">
        <v>4268</v>
      </c>
      <c r="E1589" s="1" t="s">
        <v>4273</v>
      </c>
      <c r="F1589" s="1" t="s">
        <v>4274</v>
      </c>
      <c r="G1589" s="1" t="s">
        <v>4275</v>
      </c>
    </row>
    <row r="1590" spans="1:7">
      <c r="A1590" s="1">
        <v>3037</v>
      </c>
      <c r="B1590" s="1" t="s">
        <v>4276</v>
      </c>
      <c r="D1590" s="1" t="s">
        <v>4277</v>
      </c>
      <c r="E1590" s="1" t="s">
        <v>4278</v>
      </c>
      <c r="F1590" s="1" t="s">
        <v>4279</v>
      </c>
      <c r="G1590" s="1" t="s">
        <v>4280</v>
      </c>
    </row>
    <row r="1591" spans="1:7">
      <c r="A1591" s="1">
        <v>3038</v>
      </c>
      <c r="B1591" s="1" t="s">
        <v>4281</v>
      </c>
      <c r="D1591" s="1" t="s">
        <v>4277</v>
      </c>
      <c r="E1591" s="1" t="s">
        <v>4282</v>
      </c>
      <c r="F1591" s="1" t="s">
        <v>4283</v>
      </c>
      <c r="G1591" s="1" t="s">
        <v>4284</v>
      </c>
    </row>
    <row r="1592" spans="1:7">
      <c r="A1592" s="1">
        <v>3041</v>
      </c>
      <c r="B1592" s="1" t="s">
        <v>4285</v>
      </c>
      <c r="D1592" s="1" t="s">
        <v>4286</v>
      </c>
      <c r="E1592" s="1" t="s">
        <v>4287</v>
      </c>
      <c r="F1592" s="1" t="s">
        <v>4279</v>
      </c>
      <c r="G1592" s="1" t="s">
        <v>4280</v>
      </c>
    </row>
    <row r="1593" spans="1:7">
      <c r="A1593" s="1">
        <v>3042</v>
      </c>
      <c r="B1593" s="1" t="s">
        <v>4288</v>
      </c>
      <c r="D1593" s="1" t="s">
        <v>4286</v>
      </c>
      <c r="E1593" s="1" t="s">
        <v>4289</v>
      </c>
      <c r="F1593" s="1" t="s">
        <v>4283</v>
      </c>
      <c r="G1593" s="1" t="s">
        <v>4284</v>
      </c>
    </row>
    <row r="1594" spans="1:7">
      <c r="A1594" s="1">
        <v>3043</v>
      </c>
      <c r="B1594" s="1" t="s">
        <v>4290</v>
      </c>
      <c r="D1594" s="1" t="s">
        <v>4291</v>
      </c>
      <c r="E1594" s="1" t="s">
        <v>4292</v>
      </c>
      <c r="F1594" s="1" t="s">
        <v>4293</v>
      </c>
      <c r="G1594" s="1" t="s">
        <v>4294</v>
      </c>
    </row>
    <row r="1595" spans="1:7">
      <c r="A1595" s="1">
        <v>3044</v>
      </c>
      <c r="B1595" s="1" t="s">
        <v>4295</v>
      </c>
      <c r="D1595" s="1" t="s">
        <v>4291</v>
      </c>
      <c r="E1595" s="1" t="s">
        <v>4296</v>
      </c>
      <c r="F1595" s="1" t="s">
        <v>4297</v>
      </c>
      <c r="G1595" s="1" t="s">
        <v>4298</v>
      </c>
    </row>
    <row r="1596" spans="1:7">
      <c r="A1596" s="1">
        <v>3050</v>
      </c>
      <c r="B1596" s="1" t="s">
        <v>4299</v>
      </c>
      <c r="D1596" s="1" t="s">
        <v>4300</v>
      </c>
      <c r="E1596" s="1" t="s">
        <v>4301</v>
      </c>
      <c r="F1596" s="1" t="s">
        <v>4302</v>
      </c>
      <c r="G1596" s="1" t="s">
        <v>4303</v>
      </c>
    </row>
    <row r="1597" spans="1:7">
      <c r="A1597" s="1">
        <v>3051</v>
      </c>
      <c r="B1597" s="1" t="s">
        <v>4304</v>
      </c>
      <c r="D1597" s="1" t="s">
        <v>4300</v>
      </c>
      <c r="E1597" s="1" t="s">
        <v>4305</v>
      </c>
      <c r="F1597" s="1" t="s">
        <v>4306</v>
      </c>
      <c r="G1597" s="1" t="s">
        <v>4307</v>
      </c>
    </row>
    <row r="1598" spans="1:7">
      <c r="A1598" s="1">
        <v>3052</v>
      </c>
      <c r="B1598" s="1" t="s">
        <v>4308</v>
      </c>
      <c r="D1598" s="1" t="s">
        <v>4309</v>
      </c>
      <c r="E1598" s="1" t="s">
        <v>4310</v>
      </c>
      <c r="F1598" s="1" t="s">
        <v>4311</v>
      </c>
      <c r="G1598" s="1" t="s">
        <v>4312</v>
      </c>
    </row>
    <row r="1599" spans="1:7">
      <c r="A1599" s="1">
        <v>3053</v>
      </c>
      <c r="B1599" s="1" t="s">
        <v>4313</v>
      </c>
      <c r="D1599" s="1" t="s">
        <v>4309</v>
      </c>
      <c r="E1599" s="1" t="s">
        <v>4314</v>
      </c>
      <c r="F1599" s="1" t="s">
        <v>4315</v>
      </c>
      <c r="G1599" s="1" t="s">
        <v>4316</v>
      </c>
    </row>
    <row r="1600" spans="1:7">
      <c r="A1600" s="1">
        <v>3054</v>
      </c>
      <c r="B1600" s="1" t="s">
        <v>4317</v>
      </c>
      <c r="D1600" s="1" t="s">
        <v>4318</v>
      </c>
      <c r="E1600" s="1" t="s">
        <v>4319</v>
      </c>
      <c r="F1600" s="1" t="s">
        <v>4320</v>
      </c>
      <c r="G1600" s="1" t="s">
        <v>4321</v>
      </c>
    </row>
    <row r="1601" spans="1:7">
      <c r="A1601" s="1">
        <v>3057</v>
      </c>
      <c r="B1601" s="1" t="s">
        <v>4322</v>
      </c>
      <c r="D1601" s="1" t="s">
        <v>4318</v>
      </c>
      <c r="E1601" s="1" t="s">
        <v>4323</v>
      </c>
      <c r="F1601" s="1" t="s">
        <v>4324</v>
      </c>
      <c r="G1601" s="1" t="s">
        <v>4325</v>
      </c>
    </row>
    <row r="1602" spans="1:7">
      <c r="A1602" s="1">
        <v>3059</v>
      </c>
      <c r="B1602" s="1" t="s">
        <v>4326</v>
      </c>
      <c r="D1602" s="1" t="s">
        <v>4318</v>
      </c>
      <c r="E1602" s="1" t="s">
        <v>4327</v>
      </c>
      <c r="F1602" s="1" t="s">
        <v>4328</v>
      </c>
      <c r="G1602" s="1" t="s">
        <v>4329</v>
      </c>
    </row>
    <row r="1603" spans="1:7">
      <c r="A1603" s="1">
        <v>3062</v>
      </c>
      <c r="B1603" s="1" t="s">
        <v>4330</v>
      </c>
      <c r="D1603" s="1" t="s">
        <v>4331</v>
      </c>
      <c r="E1603" s="1" t="s">
        <v>4332</v>
      </c>
      <c r="F1603" s="1" t="s">
        <v>161</v>
      </c>
      <c r="G1603" s="1" t="s">
        <v>162</v>
      </c>
    </row>
    <row r="1604" spans="1:7">
      <c r="A1604" s="1">
        <v>3063</v>
      </c>
      <c r="B1604" s="1" t="s">
        <v>4333</v>
      </c>
      <c r="D1604" s="1" t="s">
        <v>4331</v>
      </c>
      <c r="E1604" s="1" t="s">
        <v>4334</v>
      </c>
      <c r="F1604" s="1" t="s">
        <v>165</v>
      </c>
      <c r="G1604" s="1" t="s">
        <v>166</v>
      </c>
    </row>
    <row r="1605" spans="1:7">
      <c r="A1605" s="1">
        <v>3066</v>
      </c>
      <c r="B1605" s="1" t="s">
        <v>4335</v>
      </c>
      <c r="D1605" s="1" t="s">
        <v>4331</v>
      </c>
      <c r="E1605" s="1" t="s">
        <v>4336</v>
      </c>
      <c r="F1605" s="1" t="s">
        <v>297</v>
      </c>
      <c r="G1605" s="1" t="s">
        <v>298</v>
      </c>
    </row>
    <row r="1606" spans="1:7">
      <c r="A1606" s="1">
        <v>3067</v>
      </c>
      <c r="B1606" s="1" t="s">
        <v>4337</v>
      </c>
      <c r="D1606" s="1" t="s">
        <v>4331</v>
      </c>
      <c r="E1606" s="1" t="s">
        <v>4338</v>
      </c>
      <c r="F1606" s="1" t="s">
        <v>301</v>
      </c>
      <c r="G1606" s="1" t="s">
        <v>302</v>
      </c>
    </row>
    <row r="1607" spans="1:7">
      <c r="A1607" s="1">
        <v>3068</v>
      </c>
      <c r="B1607" s="1" t="s">
        <v>4339</v>
      </c>
      <c r="D1607" s="1" t="s">
        <v>4331</v>
      </c>
      <c r="E1607" s="1" t="s">
        <v>4340</v>
      </c>
      <c r="F1607" s="1" t="s">
        <v>305</v>
      </c>
      <c r="G1607" s="1" t="s">
        <v>306</v>
      </c>
    </row>
    <row r="1608" spans="1:7">
      <c r="A1608" s="1">
        <v>3069</v>
      </c>
      <c r="B1608" s="1" t="s">
        <v>4341</v>
      </c>
      <c r="D1608" s="1" t="s">
        <v>4342</v>
      </c>
      <c r="E1608" s="1" t="s">
        <v>4343</v>
      </c>
      <c r="F1608" s="1" t="s">
        <v>161</v>
      </c>
      <c r="G1608" s="1" t="s">
        <v>162</v>
      </c>
    </row>
    <row r="1609" spans="1:7">
      <c r="A1609" s="1">
        <v>3070</v>
      </c>
      <c r="B1609" s="1" t="s">
        <v>4344</v>
      </c>
      <c r="D1609" s="1" t="s">
        <v>4342</v>
      </c>
      <c r="E1609" s="1" t="s">
        <v>4345</v>
      </c>
      <c r="F1609" s="1" t="s">
        <v>165</v>
      </c>
      <c r="G1609" s="1" t="s">
        <v>166</v>
      </c>
    </row>
    <row r="1610" spans="1:7">
      <c r="A1610" s="1">
        <v>3073</v>
      </c>
      <c r="B1610" s="1" t="s">
        <v>4346</v>
      </c>
      <c r="D1610" s="1" t="s">
        <v>4342</v>
      </c>
      <c r="E1610" s="1" t="s">
        <v>4347</v>
      </c>
      <c r="F1610" s="1" t="s">
        <v>4348</v>
      </c>
      <c r="G1610" s="1" t="s">
        <v>4349</v>
      </c>
    </row>
    <row r="1611" spans="1:7">
      <c r="A1611" s="1">
        <v>3074</v>
      </c>
      <c r="B1611" s="1" t="s">
        <v>4350</v>
      </c>
      <c r="D1611" s="1" t="s">
        <v>4342</v>
      </c>
      <c r="E1611" s="1" t="s">
        <v>4351</v>
      </c>
      <c r="F1611" s="1" t="s">
        <v>4352</v>
      </c>
      <c r="G1611" s="1" t="s">
        <v>4353</v>
      </c>
    </row>
    <row r="1612" spans="1:7">
      <c r="A1612" s="1">
        <v>3075</v>
      </c>
      <c r="B1612" s="1" t="s">
        <v>4354</v>
      </c>
      <c r="D1612" s="1" t="s">
        <v>4342</v>
      </c>
      <c r="E1612" s="1" t="s">
        <v>4355</v>
      </c>
      <c r="F1612" s="1" t="s">
        <v>4356</v>
      </c>
      <c r="G1612" s="1" t="s">
        <v>4357</v>
      </c>
    </row>
    <row r="1613" spans="1:7">
      <c r="A1613" s="1">
        <v>3076</v>
      </c>
      <c r="B1613" s="1" t="s">
        <v>4358</v>
      </c>
      <c r="D1613" s="1" t="s">
        <v>4342</v>
      </c>
      <c r="E1613" s="1" t="s">
        <v>4359</v>
      </c>
      <c r="F1613" s="1" t="s">
        <v>4360</v>
      </c>
      <c r="G1613" s="1" t="s">
        <v>4361</v>
      </c>
    </row>
    <row r="1614" spans="1:7">
      <c r="A1614" s="1">
        <v>3077</v>
      </c>
      <c r="B1614" s="1" t="s">
        <v>4362</v>
      </c>
      <c r="D1614" s="1" t="s">
        <v>4342</v>
      </c>
      <c r="E1614" s="1" t="s">
        <v>4363</v>
      </c>
      <c r="F1614" s="1" t="s">
        <v>4364</v>
      </c>
      <c r="G1614" s="1" t="s">
        <v>4365</v>
      </c>
    </row>
    <row r="1615" spans="1:7">
      <c r="A1615" s="1">
        <v>3078</v>
      </c>
      <c r="B1615" s="1" t="s">
        <v>4366</v>
      </c>
      <c r="D1615" s="1" t="s">
        <v>4342</v>
      </c>
      <c r="E1615" s="1" t="s">
        <v>4367</v>
      </c>
      <c r="F1615" s="1" t="s">
        <v>4368</v>
      </c>
      <c r="G1615" s="1" t="s">
        <v>4369</v>
      </c>
    </row>
    <row r="1616" spans="1:7">
      <c r="A1616" s="1">
        <v>3079</v>
      </c>
      <c r="B1616" s="1" t="s">
        <v>4370</v>
      </c>
      <c r="D1616" s="1" t="s">
        <v>4371</v>
      </c>
      <c r="E1616" s="1" t="s">
        <v>4372</v>
      </c>
      <c r="F1616" s="1" t="s">
        <v>161</v>
      </c>
      <c r="G1616" s="1" t="s">
        <v>162</v>
      </c>
    </row>
    <row r="1617" spans="1:7">
      <c r="A1617" s="1">
        <v>3080</v>
      </c>
      <c r="B1617" s="1" t="s">
        <v>4373</v>
      </c>
      <c r="D1617" s="1" t="s">
        <v>4371</v>
      </c>
      <c r="E1617" s="1" t="s">
        <v>4374</v>
      </c>
      <c r="F1617" s="1" t="s">
        <v>165</v>
      </c>
      <c r="G1617" s="1" t="s">
        <v>166</v>
      </c>
    </row>
    <row r="1618" spans="1:7">
      <c r="A1618" s="1">
        <v>3083</v>
      </c>
      <c r="B1618" s="1" t="s">
        <v>4375</v>
      </c>
      <c r="D1618" s="1" t="s">
        <v>4371</v>
      </c>
      <c r="E1618" s="1" t="s">
        <v>4376</v>
      </c>
      <c r="F1618" s="1" t="s">
        <v>4348</v>
      </c>
      <c r="G1618" s="1" t="s">
        <v>4349</v>
      </c>
    </row>
    <row r="1619" spans="1:7">
      <c r="A1619" s="1">
        <v>3084</v>
      </c>
      <c r="B1619" s="1" t="s">
        <v>4377</v>
      </c>
      <c r="D1619" s="1" t="s">
        <v>4371</v>
      </c>
      <c r="E1619" s="1" t="s">
        <v>4378</v>
      </c>
      <c r="F1619" s="1" t="s">
        <v>4352</v>
      </c>
      <c r="G1619" s="1" t="s">
        <v>4353</v>
      </c>
    </row>
    <row r="1620" spans="1:7">
      <c r="A1620" s="1">
        <v>3085</v>
      </c>
      <c r="B1620" s="1" t="s">
        <v>4379</v>
      </c>
      <c r="D1620" s="1" t="s">
        <v>4371</v>
      </c>
      <c r="E1620" s="1" t="s">
        <v>4380</v>
      </c>
      <c r="F1620" s="1" t="s">
        <v>4356</v>
      </c>
      <c r="G1620" s="1" t="s">
        <v>4357</v>
      </c>
    </row>
    <row r="1621" spans="1:7">
      <c r="A1621" s="1">
        <v>3086</v>
      </c>
      <c r="B1621" s="1" t="s">
        <v>4381</v>
      </c>
      <c r="D1621" s="1" t="s">
        <v>4371</v>
      </c>
      <c r="E1621" s="1" t="s">
        <v>4382</v>
      </c>
      <c r="F1621" s="1" t="s">
        <v>4360</v>
      </c>
      <c r="G1621" s="1" t="s">
        <v>4361</v>
      </c>
    </row>
    <row r="1622" spans="1:7">
      <c r="A1622" s="1">
        <v>3087</v>
      </c>
      <c r="B1622" s="1" t="s">
        <v>4383</v>
      </c>
      <c r="D1622" s="1" t="s">
        <v>4371</v>
      </c>
      <c r="E1622" s="1" t="s">
        <v>4384</v>
      </c>
      <c r="F1622" s="1" t="s">
        <v>4364</v>
      </c>
      <c r="G1622" s="1" t="s">
        <v>4365</v>
      </c>
    </row>
    <row r="1623" spans="1:7">
      <c r="A1623" s="1">
        <v>3088</v>
      </c>
      <c r="B1623" s="1" t="s">
        <v>4385</v>
      </c>
      <c r="D1623" s="1" t="s">
        <v>4371</v>
      </c>
      <c r="E1623" s="1" t="s">
        <v>4386</v>
      </c>
      <c r="F1623" s="1" t="s">
        <v>4368</v>
      </c>
      <c r="G1623" s="1" t="s">
        <v>4369</v>
      </c>
    </row>
    <row r="1624" spans="1:7">
      <c r="A1624" s="1">
        <v>3089</v>
      </c>
      <c r="B1624" s="1" t="s">
        <v>4387</v>
      </c>
      <c r="D1624" s="1" t="s">
        <v>4388</v>
      </c>
      <c r="E1624" s="1" t="s">
        <v>4389</v>
      </c>
      <c r="F1624" s="1" t="s">
        <v>4364</v>
      </c>
      <c r="G1624" s="1" t="s">
        <v>4365</v>
      </c>
    </row>
    <row r="1625" spans="1:7">
      <c r="A1625" s="1">
        <v>3090</v>
      </c>
      <c r="B1625" s="1" t="s">
        <v>4390</v>
      </c>
      <c r="D1625" s="1" t="s">
        <v>4388</v>
      </c>
      <c r="E1625" s="1" t="s">
        <v>4391</v>
      </c>
      <c r="F1625" s="1" t="s">
        <v>4368</v>
      </c>
      <c r="G1625" s="1" t="s">
        <v>4369</v>
      </c>
    </row>
    <row r="1626" spans="1:7">
      <c r="A1626" s="1">
        <v>3091</v>
      </c>
      <c r="B1626" s="1" t="s">
        <v>4392</v>
      </c>
      <c r="D1626" s="1" t="s">
        <v>4393</v>
      </c>
      <c r="E1626" s="1" t="s">
        <v>4394</v>
      </c>
      <c r="F1626" s="1" t="s">
        <v>4364</v>
      </c>
      <c r="G1626" s="1" t="s">
        <v>4365</v>
      </c>
    </row>
    <row r="1627" spans="1:7">
      <c r="A1627" s="1">
        <v>3092</v>
      </c>
      <c r="B1627" s="1" t="s">
        <v>4395</v>
      </c>
      <c r="D1627" s="1" t="s">
        <v>4393</v>
      </c>
      <c r="E1627" s="1" t="s">
        <v>4396</v>
      </c>
      <c r="F1627" s="1" t="s">
        <v>4368</v>
      </c>
      <c r="G1627" s="1" t="s">
        <v>4369</v>
      </c>
    </row>
    <row r="1628" spans="1:7">
      <c r="A1628" s="1">
        <v>3093</v>
      </c>
      <c r="B1628" s="1" t="s">
        <v>4397</v>
      </c>
      <c r="D1628" s="1" t="s">
        <v>4398</v>
      </c>
      <c r="E1628" s="1" t="s">
        <v>4399</v>
      </c>
      <c r="F1628" s="1" t="s">
        <v>165</v>
      </c>
      <c r="G1628" s="1" t="s">
        <v>166</v>
      </c>
    </row>
    <row r="1629" spans="1:7">
      <c r="A1629" s="1">
        <v>3094</v>
      </c>
      <c r="B1629" s="1" t="s">
        <v>4400</v>
      </c>
      <c r="D1629" s="1" t="s">
        <v>4398</v>
      </c>
      <c r="E1629" s="1" t="s">
        <v>4401</v>
      </c>
      <c r="F1629" s="1" t="s">
        <v>161</v>
      </c>
      <c r="G1629" s="1" t="s">
        <v>162</v>
      </c>
    </row>
    <row r="1630" spans="1:7">
      <c r="A1630" s="1">
        <v>3097</v>
      </c>
      <c r="B1630" s="1" t="s">
        <v>4402</v>
      </c>
      <c r="D1630" s="1" t="s">
        <v>4403</v>
      </c>
      <c r="E1630" s="1" t="s">
        <v>4404</v>
      </c>
      <c r="F1630" s="1" t="s">
        <v>165</v>
      </c>
      <c r="G1630" s="1" t="s">
        <v>166</v>
      </c>
    </row>
    <row r="1631" spans="1:7">
      <c r="A1631" s="1">
        <v>3098</v>
      </c>
      <c r="B1631" s="1" t="s">
        <v>4405</v>
      </c>
      <c r="D1631" s="1" t="s">
        <v>4403</v>
      </c>
      <c r="E1631" s="1" t="s">
        <v>4406</v>
      </c>
      <c r="F1631" s="1" t="s">
        <v>161</v>
      </c>
      <c r="G1631" s="1" t="s">
        <v>162</v>
      </c>
    </row>
    <row r="1632" spans="1:7">
      <c r="A1632" s="1">
        <v>3101</v>
      </c>
      <c r="B1632" s="1" t="s">
        <v>4407</v>
      </c>
      <c r="D1632" s="1" t="s">
        <v>4408</v>
      </c>
      <c r="E1632" s="1" t="s">
        <v>4409</v>
      </c>
      <c r="F1632" s="1" t="s">
        <v>4356</v>
      </c>
      <c r="G1632" s="1" t="s">
        <v>4357</v>
      </c>
    </row>
    <row r="1633" spans="1:7">
      <c r="A1633" s="1">
        <v>3102</v>
      </c>
      <c r="B1633" s="1" t="s">
        <v>4410</v>
      </c>
      <c r="D1633" s="1" t="s">
        <v>4408</v>
      </c>
      <c r="E1633" s="1" t="s">
        <v>4411</v>
      </c>
      <c r="F1633" s="1" t="s">
        <v>4352</v>
      </c>
      <c r="G1633" s="1" t="s">
        <v>4353</v>
      </c>
    </row>
    <row r="1634" spans="1:7">
      <c r="A1634" s="1">
        <v>3103</v>
      </c>
      <c r="B1634" s="1" t="s">
        <v>4412</v>
      </c>
      <c r="D1634" s="1" t="s">
        <v>4408</v>
      </c>
      <c r="E1634" s="1" t="s">
        <v>4413</v>
      </c>
      <c r="F1634" s="1" t="s">
        <v>4360</v>
      </c>
      <c r="G1634" s="1" t="s">
        <v>4361</v>
      </c>
    </row>
    <row r="1635" spans="1:7">
      <c r="A1635" s="1">
        <v>3104</v>
      </c>
      <c r="B1635" s="1" t="s">
        <v>4414</v>
      </c>
      <c r="D1635" s="1" t="s">
        <v>4415</v>
      </c>
      <c r="E1635" s="1" t="s">
        <v>4416</v>
      </c>
      <c r="F1635" s="1" t="s">
        <v>4356</v>
      </c>
      <c r="G1635" s="1" t="s">
        <v>4357</v>
      </c>
    </row>
    <row r="1636" spans="1:7">
      <c r="A1636" s="1">
        <v>3105</v>
      </c>
      <c r="B1636" s="1" t="s">
        <v>4417</v>
      </c>
      <c r="D1636" s="1" t="s">
        <v>4415</v>
      </c>
      <c r="E1636" s="1" t="s">
        <v>4418</v>
      </c>
      <c r="F1636" s="1" t="s">
        <v>4352</v>
      </c>
      <c r="G1636" s="1" t="s">
        <v>4353</v>
      </c>
    </row>
    <row r="1637" spans="1:7">
      <c r="A1637" s="1">
        <v>3106</v>
      </c>
      <c r="B1637" s="1" t="s">
        <v>4419</v>
      </c>
      <c r="D1637" s="1" t="s">
        <v>4415</v>
      </c>
      <c r="E1637" s="1" t="s">
        <v>4420</v>
      </c>
      <c r="F1637" s="1" t="s">
        <v>4360</v>
      </c>
      <c r="G1637" s="1" t="s">
        <v>4361</v>
      </c>
    </row>
    <row r="1638" spans="1:7">
      <c r="A1638" s="1">
        <v>3107</v>
      </c>
      <c r="B1638" s="1" t="s">
        <v>4421</v>
      </c>
      <c r="D1638" s="1" t="s">
        <v>4422</v>
      </c>
      <c r="E1638" s="1" t="s">
        <v>4423</v>
      </c>
      <c r="F1638" s="1" t="s">
        <v>4348</v>
      </c>
      <c r="G1638" s="1" t="s">
        <v>4349</v>
      </c>
    </row>
    <row r="1639" spans="1:7">
      <c r="A1639" s="1">
        <v>3108</v>
      </c>
      <c r="B1639" s="1" t="s">
        <v>4424</v>
      </c>
      <c r="D1639" s="1" t="s">
        <v>4425</v>
      </c>
      <c r="E1639" s="1" t="s">
        <v>4426</v>
      </c>
      <c r="F1639" s="1" t="s">
        <v>4348</v>
      </c>
      <c r="G1639" s="1" t="s">
        <v>4349</v>
      </c>
    </row>
    <row r="1640" spans="1:7">
      <c r="A1640" s="1">
        <v>3109</v>
      </c>
      <c r="B1640" s="1" t="s">
        <v>4427</v>
      </c>
      <c r="D1640" s="1" t="s">
        <v>4428</v>
      </c>
      <c r="E1640" s="1" t="s">
        <v>4429</v>
      </c>
      <c r="F1640" s="1" t="s">
        <v>4430</v>
      </c>
      <c r="G1640" s="1" t="s">
        <v>4431</v>
      </c>
    </row>
    <row r="1641" spans="1:7">
      <c r="A1641" s="1">
        <v>3110</v>
      </c>
      <c r="B1641" s="1" t="s">
        <v>4432</v>
      </c>
      <c r="D1641" s="1" t="s">
        <v>4428</v>
      </c>
      <c r="E1641" s="1" t="s">
        <v>4433</v>
      </c>
      <c r="F1641" s="1" t="s">
        <v>4434</v>
      </c>
      <c r="G1641" s="1" t="s">
        <v>4435</v>
      </c>
    </row>
    <row r="1642" spans="1:7">
      <c r="A1642" s="1">
        <v>3113</v>
      </c>
      <c r="B1642" s="1" t="s">
        <v>4436</v>
      </c>
      <c r="D1642" s="1" t="s">
        <v>4437</v>
      </c>
      <c r="E1642" s="1" t="s">
        <v>4438</v>
      </c>
      <c r="F1642" s="1" t="s">
        <v>4439</v>
      </c>
      <c r="G1642" s="1" t="s">
        <v>4440</v>
      </c>
    </row>
    <row r="1643" spans="1:7">
      <c r="A1643" s="1">
        <v>3114</v>
      </c>
      <c r="B1643" s="1" t="s">
        <v>4441</v>
      </c>
      <c r="D1643" s="1" t="s">
        <v>4437</v>
      </c>
      <c r="E1643" s="1" t="s">
        <v>4442</v>
      </c>
      <c r="F1643" s="1" t="s">
        <v>4443</v>
      </c>
      <c r="G1643" s="1" t="s">
        <v>4444</v>
      </c>
    </row>
    <row r="1644" spans="1:7">
      <c r="A1644" s="1">
        <v>3115</v>
      </c>
      <c r="B1644" s="1" t="s">
        <v>4445</v>
      </c>
      <c r="D1644" s="1" t="s">
        <v>4437</v>
      </c>
      <c r="E1644" s="1" t="s">
        <v>4446</v>
      </c>
      <c r="F1644" s="1" t="s">
        <v>4439</v>
      </c>
      <c r="G1644" s="1" t="s">
        <v>4440</v>
      </c>
    </row>
    <row r="1645" spans="1:7">
      <c r="A1645" s="1">
        <v>3116</v>
      </c>
      <c r="B1645" s="1" t="s">
        <v>4447</v>
      </c>
      <c r="D1645" s="1" t="s">
        <v>4437</v>
      </c>
      <c r="E1645" s="1" t="s">
        <v>4448</v>
      </c>
      <c r="F1645" s="1" t="s">
        <v>4443</v>
      </c>
      <c r="G1645" s="1" t="s">
        <v>4444</v>
      </c>
    </row>
    <row r="1646" spans="1:7">
      <c r="A1646" s="1">
        <v>3120</v>
      </c>
      <c r="B1646" s="1" t="s">
        <v>4449</v>
      </c>
      <c r="D1646" s="1" t="s">
        <v>4450</v>
      </c>
      <c r="E1646" s="1" t="s">
        <v>4451</v>
      </c>
      <c r="F1646" s="1" t="s">
        <v>4452</v>
      </c>
      <c r="G1646" s="1" t="s">
        <v>4453</v>
      </c>
    </row>
    <row r="1647" spans="1:7">
      <c r="A1647" s="1">
        <v>3123</v>
      </c>
      <c r="B1647" s="1" t="s">
        <v>4454</v>
      </c>
      <c r="D1647" s="1" t="s">
        <v>4450</v>
      </c>
      <c r="E1647" s="1" t="s">
        <v>4455</v>
      </c>
      <c r="F1647" s="1" t="s">
        <v>4456</v>
      </c>
      <c r="G1647" s="1" t="s">
        <v>4457</v>
      </c>
    </row>
    <row r="1648" spans="1:7">
      <c r="A1648" s="1">
        <v>3124</v>
      </c>
      <c r="B1648" s="1" t="s">
        <v>4458</v>
      </c>
      <c r="D1648" s="1" t="s">
        <v>4450</v>
      </c>
      <c r="E1648" s="1" t="s">
        <v>4459</v>
      </c>
      <c r="F1648" s="1" t="s">
        <v>4460</v>
      </c>
      <c r="G1648" s="1" t="s">
        <v>4461</v>
      </c>
    </row>
    <row r="1649" spans="1:7">
      <c r="A1649" s="1">
        <v>3125</v>
      </c>
      <c r="B1649" s="1" t="s">
        <v>4462</v>
      </c>
      <c r="D1649" s="1" t="s">
        <v>4450</v>
      </c>
      <c r="E1649" s="1" t="s">
        <v>4463</v>
      </c>
      <c r="F1649" s="1" t="s">
        <v>4464</v>
      </c>
      <c r="G1649" s="1" t="s">
        <v>4465</v>
      </c>
    </row>
    <row r="1650" spans="1:7">
      <c r="A1650" s="1">
        <v>3133</v>
      </c>
      <c r="B1650" s="1" t="s">
        <v>4466</v>
      </c>
      <c r="D1650" s="1" t="s">
        <v>4467</v>
      </c>
      <c r="E1650" s="1" t="s">
        <v>4468</v>
      </c>
      <c r="F1650" s="1" t="s">
        <v>4469</v>
      </c>
      <c r="G1650" s="1" t="s">
        <v>4470</v>
      </c>
    </row>
    <row r="1651" spans="1:7">
      <c r="A1651" s="1">
        <v>3134</v>
      </c>
      <c r="B1651" s="1" t="s">
        <v>4471</v>
      </c>
      <c r="D1651" s="1" t="s">
        <v>4467</v>
      </c>
      <c r="E1651" s="1" t="s">
        <v>4472</v>
      </c>
      <c r="F1651" s="1" t="s">
        <v>4473</v>
      </c>
      <c r="G1651" s="1" t="s">
        <v>4474</v>
      </c>
    </row>
    <row r="1652" spans="1:7">
      <c r="A1652" s="1">
        <v>3135</v>
      </c>
      <c r="B1652" s="1" t="s">
        <v>4475</v>
      </c>
      <c r="D1652" s="1" t="s">
        <v>4467</v>
      </c>
      <c r="E1652" s="1" t="s">
        <v>4476</v>
      </c>
      <c r="F1652" s="1" t="s">
        <v>4469</v>
      </c>
      <c r="G1652" s="1" t="s">
        <v>4470</v>
      </c>
    </row>
    <row r="1653" spans="1:7">
      <c r="A1653" s="1">
        <v>3136</v>
      </c>
      <c r="B1653" s="1" t="s">
        <v>4477</v>
      </c>
      <c r="D1653" s="1" t="s">
        <v>4467</v>
      </c>
      <c r="E1653" s="1" t="s">
        <v>4478</v>
      </c>
      <c r="F1653" s="1" t="s">
        <v>4473</v>
      </c>
      <c r="G1653" s="1" t="s">
        <v>4474</v>
      </c>
    </row>
    <row r="1654" spans="1:7">
      <c r="A1654" s="1">
        <v>3139</v>
      </c>
      <c r="B1654" s="1" t="s">
        <v>4479</v>
      </c>
      <c r="D1654" s="1" t="s">
        <v>4467</v>
      </c>
      <c r="E1654" s="1" t="s">
        <v>4480</v>
      </c>
      <c r="F1654" s="1" t="s">
        <v>4481</v>
      </c>
      <c r="G1654" s="1" t="s">
        <v>4482</v>
      </c>
    </row>
    <row r="1655" spans="1:7">
      <c r="A1655" s="1">
        <v>3144</v>
      </c>
      <c r="B1655" s="1" t="s">
        <v>4483</v>
      </c>
      <c r="D1655" s="1" t="s">
        <v>4467</v>
      </c>
      <c r="E1655" s="1" t="s">
        <v>4484</v>
      </c>
      <c r="F1655" s="1" t="s">
        <v>4485</v>
      </c>
      <c r="G1655" s="1" t="s">
        <v>4486</v>
      </c>
    </row>
    <row r="1656" spans="1:7">
      <c r="A1656" s="1">
        <v>3146</v>
      </c>
      <c r="B1656" s="1" t="s">
        <v>4487</v>
      </c>
      <c r="D1656" s="1" t="s">
        <v>4467</v>
      </c>
      <c r="E1656" s="1" t="s">
        <v>4488</v>
      </c>
      <c r="F1656" s="1" t="s">
        <v>4489</v>
      </c>
      <c r="G1656" s="1" t="s">
        <v>4490</v>
      </c>
    </row>
    <row r="1657" spans="1:7">
      <c r="A1657" s="1">
        <v>3147</v>
      </c>
      <c r="B1657" s="1" t="s">
        <v>4491</v>
      </c>
      <c r="D1657" s="1" t="s">
        <v>4467</v>
      </c>
      <c r="E1657" s="1" t="s">
        <v>4492</v>
      </c>
      <c r="F1657" s="1" t="s">
        <v>4493</v>
      </c>
      <c r="G1657" s="1" t="s">
        <v>4494</v>
      </c>
    </row>
    <row r="1658" spans="1:7">
      <c r="A1658" s="1">
        <v>3149</v>
      </c>
      <c r="B1658" s="1" t="s">
        <v>4495</v>
      </c>
      <c r="D1658" s="1" t="s">
        <v>4467</v>
      </c>
      <c r="E1658" s="1" t="s">
        <v>4496</v>
      </c>
      <c r="F1658" s="1" t="s">
        <v>4497</v>
      </c>
      <c r="G1658" s="1" t="s">
        <v>4498</v>
      </c>
    </row>
    <row r="1659" spans="1:7">
      <c r="A1659" s="1">
        <v>3152</v>
      </c>
      <c r="B1659" s="1" t="s">
        <v>4499</v>
      </c>
      <c r="D1659" s="1" t="s">
        <v>4500</v>
      </c>
      <c r="E1659" s="1" t="s">
        <v>4501</v>
      </c>
      <c r="F1659" s="1" t="s">
        <v>4502</v>
      </c>
      <c r="G1659" s="1" t="s">
        <v>4503</v>
      </c>
    </row>
    <row r="1660" spans="1:7">
      <c r="A1660" s="1">
        <v>3153</v>
      </c>
      <c r="B1660" s="1" t="s">
        <v>4504</v>
      </c>
      <c r="D1660" s="1" t="s">
        <v>4500</v>
      </c>
      <c r="E1660" s="1" t="s">
        <v>4505</v>
      </c>
      <c r="F1660" s="1" t="s">
        <v>4506</v>
      </c>
      <c r="G1660" s="1" t="s">
        <v>4507</v>
      </c>
    </row>
    <row r="1661" spans="1:7">
      <c r="A1661" s="1">
        <v>3154</v>
      </c>
      <c r="B1661" s="1" t="s">
        <v>4508</v>
      </c>
      <c r="D1661" s="1" t="s">
        <v>4500</v>
      </c>
      <c r="E1661" s="1" t="s">
        <v>4509</v>
      </c>
      <c r="F1661" s="1" t="s">
        <v>4502</v>
      </c>
      <c r="G1661" s="1" t="s">
        <v>4503</v>
      </c>
    </row>
    <row r="1662" spans="1:7">
      <c r="A1662" s="1">
        <v>3155</v>
      </c>
      <c r="B1662" s="1" t="s">
        <v>4510</v>
      </c>
      <c r="D1662" s="1" t="s">
        <v>4500</v>
      </c>
      <c r="E1662" s="1" t="s">
        <v>4511</v>
      </c>
      <c r="F1662" s="1" t="s">
        <v>4506</v>
      </c>
      <c r="G1662" s="1" t="s">
        <v>4507</v>
      </c>
    </row>
    <row r="1663" spans="1:7">
      <c r="A1663" s="1">
        <v>3158</v>
      </c>
      <c r="B1663" s="1" t="s">
        <v>4512</v>
      </c>
      <c r="D1663" s="1" t="s">
        <v>4500</v>
      </c>
      <c r="E1663" s="1" t="s">
        <v>4513</v>
      </c>
      <c r="F1663" s="1" t="s">
        <v>4514</v>
      </c>
      <c r="G1663" s="1" t="s">
        <v>4515</v>
      </c>
    </row>
    <row r="1664" spans="1:7">
      <c r="A1664" s="1">
        <v>3163</v>
      </c>
      <c r="B1664" s="1" t="s">
        <v>4516</v>
      </c>
      <c r="D1664" s="1" t="s">
        <v>4500</v>
      </c>
      <c r="E1664" s="1" t="s">
        <v>4517</v>
      </c>
      <c r="F1664" s="1" t="s">
        <v>4518</v>
      </c>
      <c r="G1664" s="1" t="s">
        <v>4519</v>
      </c>
    </row>
    <row r="1665" spans="1:7">
      <c r="A1665" s="1">
        <v>3165</v>
      </c>
      <c r="B1665" s="1" t="s">
        <v>4520</v>
      </c>
      <c r="D1665" s="1" t="s">
        <v>4500</v>
      </c>
      <c r="E1665" s="1" t="s">
        <v>4521</v>
      </c>
      <c r="F1665" s="1" t="s">
        <v>4522</v>
      </c>
      <c r="G1665" s="1" t="s">
        <v>4523</v>
      </c>
    </row>
    <row r="1666" spans="1:7">
      <c r="A1666" s="1">
        <v>3166</v>
      </c>
      <c r="B1666" s="1" t="s">
        <v>4524</v>
      </c>
      <c r="D1666" s="1" t="s">
        <v>4500</v>
      </c>
      <c r="E1666" s="1" t="s">
        <v>4525</v>
      </c>
      <c r="F1666" s="1" t="s">
        <v>4526</v>
      </c>
      <c r="G1666" s="1" t="s">
        <v>4527</v>
      </c>
    </row>
    <row r="1667" spans="1:7">
      <c r="A1667" s="1">
        <v>3168</v>
      </c>
      <c r="B1667" s="1" t="s">
        <v>4528</v>
      </c>
      <c r="D1667" s="1" t="s">
        <v>4500</v>
      </c>
      <c r="E1667" s="1" t="s">
        <v>4529</v>
      </c>
      <c r="F1667" s="1" t="s">
        <v>4530</v>
      </c>
      <c r="G1667" s="1" t="s">
        <v>4531</v>
      </c>
    </row>
    <row r="1668" spans="1:7">
      <c r="A1668" s="1">
        <v>3171</v>
      </c>
      <c r="B1668" s="1" t="s">
        <v>4532</v>
      </c>
      <c r="D1668" s="1" t="s">
        <v>4533</v>
      </c>
      <c r="E1668" s="1" t="s">
        <v>4534</v>
      </c>
      <c r="F1668" s="1" t="s">
        <v>4535</v>
      </c>
      <c r="G1668" s="1" t="s">
        <v>4536</v>
      </c>
    </row>
    <row r="1669" spans="1:7">
      <c r="A1669" s="1">
        <v>3172</v>
      </c>
      <c r="B1669" s="1" t="s">
        <v>4537</v>
      </c>
      <c r="D1669" s="1" t="s">
        <v>4533</v>
      </c>
      <c r="E1669" s="1" t="s">
        <v>4538</v>
      </c>
      <c r="F1669" s="1" t="s">
        <v>4539</v>
      </c>
      <c r="G1669" s="1" t="s">
        <v>4540</v>
      </c>
    </row>
    <row r="1670" spans="1:7">
      <c r="A1670" s="1">
        <v>3173</v>
      </c>
      <c r="B1670" s="1" t="s">
        <v>4541</v>
      </c>
      <c r="D1670" s="1" t="s">
        <v>4533</v>
      </c>
      <c r="E1670" s="1" t="s">
        <v>4542</v>
      </c>
      <c r="F1670" s="1" t="s">
        <v>4535</v>
      </c>
      <c r="G1670" s="1" t="s">
        <v>4536</v>
      </c>
    </row>
    <row r="1671" spans="1:7">
      <c r="A1671" s="1">
        <v>3174</v>
      </c>
      <c r="B1671" s="1" t="s">
        <v>4543</v>
      </c>
      <c r="D1671" s="1" t="s">
        <v>4533</v>
      </c>
      <c r="E1671" s="1" t="s">
        <v>4544</v>
      </c>
      <c r="F1671" s="1" t="s">
        <v>4539</v>
      </c>
      <c r="G1671" s="1" t="s">
        <v>4540</v>
      </c>
    </row>
    <row r="1672" spans="1:7">
      <c r="A1672" s="1">
        <v>3179</v>
      </c>
      <c r="B1672" s="1" t="s">
        <v>4545</v>
      </c>
      <c r="D1672" s="1" t="s">
        <v>4546</v>
      </c>
      <c r="E1672" s="1" t="s">
        <v>4547</v>
      </c>
      <c r="F1672" s="1" t="s">
        <v>4548</v>
      </c>
      <c r="G1672" s="1" t="s">
        <v>4549</v>
      </c>
    </row>
    <row r="1673" spans="1:7">
      <c r="A1673" s="1">
        <v>3180</v>
      </c>
      <c r="B1673" s="1" t="s">
        <v>4550</v>
      </c>
      <c r="D1673" s="1" t="s">
        <v>4546</v>
      </c>
      <c r="E1673" s="1" t="s">
        <v>4551</v>
      </c>
      <c r="F1673" s="1" t="s">
        <v>4552</v>
      </c>
      <c r="G1673" s="1" t="s">
        <v>4553</v>
      </c>
    </row>
    <row r="1674" spans="1:7">
      <c r="A1674" s="1">
        <v>3181</v>
      </c>
      <c r="B1674" s="1" t="s">
        <v>4554</v>
      </c>
      <c r="D1674" s="1" t="s">
        <v>4546</v>
      </c>
      <c r="E1674" s="1" t="s">
        <v>4555</v>
      </c>
      <c r="F1674" s="1" t="s">
        <v>4556</v>
      </c>
      <c r="G1674" s="1" t="s">
        <v>4557</v>
      </c>
    </row>
    <row r="1675" spans="1:7">
      <c r="A1675" s="1">
        <v>3182</v>
      </c>
      <c r="B1675" s="1" t="s">
        <v>4558</v>
      </c>
      <c r="D1675" s="1" t="s">
        <v>4559</v>
      </c>
      <c r="E1675" s="1" t="s">
        <v>4560</v>
      </c>
      <c r="F1675" s="1" t="s">
        <v>4561</v>
      </c>
      <c r="G1675" s="1" t="s">
        <v>4562</v>
      </c>
    </row>
    <row r="1676" spans="1:7">
      <c r="A1676" s="1">
        <v>3185</v>
      </c>
      <c r="B1676" s="1" t="s">
        <v>4563</v>
      </c>
      <c r="D1676" s="1" t="s">
        <v>4559</v>
      </c>
      <c r="E1676" s="1" t="s">
        <v>4564</v>
      </c>
      <c r="F1676" s="1" t="s">
        <v>4565</v>
      </c>
      <c r="G1676" s="1" t="s">
        <v>4566</v>
      </c>
    </row>
    <row r="1677" spans="1:7">
      <c r="A1677" s="1">
        <v>3186</v>
      </c>
      <c r="B1677" s="1" t="s">
        <v>4567</v>
      </c>
      <c r="D1677" s="1" t="s">
        <v>4559</v>
      </c>
      <c r="E1677" s="1" t="s">
        <v>4568</v>
      </c>
      <c r="F1677" s="1" t="s">
        <v>4569</v>
      </c>
      <c r="G1677" s="1" t="s">
        <v>4570</v>
      </c>
    </row>
    <row r="1678" spans="1:7">
      <c r="A1678" s="1">
        <v>3187</v>
      </c>
      <c r="B1678" s="1" t="s">
        <v>4571</v>
      </c>
      <c r="D1678" s="1" t="s">
        <v>4559</v>
      </c>
      <c r="E1678" s="1" t="s">
        <v>4572</v>
      </c>
      <c r="F1678" s="1" t="s">
        <v>4573</v>
      </c>
      <c r="G1678" s="1" t="s">
        <v>4574</v>
      </c>
    </row>
    <row r="1679" spans="1:7">
      <c r="A1679" s="1">
        <v>3189</v>
      </c>
      <c r="B1679" s="1" t="s">
        <v>4575</v>
      </c>
      <c r="D1679" s="1" t="s">
        <v>4576</v>
      </c>
      <c r="E1679" s="1" t="s">
        <v>4577</v>
      </c>
      <c r="F1679" s="1" t="s">
        <v>4578</v>
      </c>
      <c r="G1679" s="1" t="s">
        <v>4579</v>
      </c>
    </row>
    <row r="1680" spans="1:7">
      <c r="A1680" s="1">
        <v>3192</v>
      </c>
      <c r="B1680" s="1" t="s">
        <v>4580</v>
      </c>
      <c r="D1680" s="1" t="s">
        <v>4576</v>
      </c>
      <c r="E1680" s="1" t="s">
        <v>4581</v>
      </c>
      <c r="F1680" s="1" t="s">
        <v>4582</v>
      </c>
      <c r="G1680" s="1" t="s">
        <v>4583</v>
      </c>
    </row>
    <row r="1681" spans="1:7">
      <c r="A1681" s="1">
        <v>3193</v>
      </c>
      <c r="B1681" s="1" t="s">
        <v>4584</v>
      </c>
      <c r="D1681" s="1" t="s">
        <v>4576</v>
      </c>
      <c r="E1681" s="1" t="s">
        <v>4585</v>
      </c>
      <c r="F1681" s="1" t="s">
        <v>4586</v>
      </c>
      <c r="G1681" s="1" t="s">
        <v>4587</v>
      </c>
    </row>
    <row r="1682" spans="1:7">
      <c r="A1682" s="1">
        <v>3194</v>
      </c>
      <c r="B1682" s="1" t="s">
        <v>4588</v>
      </c>
      <c r="D1682" s="1" t="s">
        <v>4576</v>
      </c>
      <c r="E1682" s="1" t="s">
        <v>4589</v>
      </c>
      <c r="F1682" s="1" t="s">
        <v>4590</v>
      </c>
      <c r="G1682" s="1" t="s">
        <v>4591</v>
      </c>
    </row>
    <row r="1683" spans="1:7">
      <c r="A1683" s="1">
        <v>3198</v>
      </c>
      <c r="B1683" s="1" t="s">
        <v>4592</v>
      </c>
      <c r="D1683" s="1" t="s">
        <v>4593</v>
      </c>
      <c r="E1683" s="1" t="s">
        <v>4594</v>
      </c>
      <c r="F1683" s="1" t="s">
        <v>4595</v>
      </c>
      <c r="G1683" s="1" t="s">
        <v>4596</v>
      </c>
    </row>
    <row r="1684" spans="1:7">
      <c r="A1684" s="1">
        <v>3199</v>
      </c>
      <c r="B1684" s="1" t="s">
        <v>4597</v>
      </c>
      <c r="D1684" s="1" t="s">
        <v>4593</v>
      </c>
      <c r="E1684" s="1" t="s">
        <v>4598</v>
      </c>
      <c r="F1684" s="1" t="s">
        <v>4599</v>
      </c>
      <c r="G1684" s="1" t="s">
        <v>4600</v>
      </c>
    </row>
    <row r="1685" spans="1:7">
      <c r="A1685" s="1">
        <v>3200</v>
      </c>
      <c r="B1685" s="1" t="s">
        <v>4601</v>
      </c>
      <c r="D1685" s="1" t="s">
        <v>4593</v>
      </c>
      <c r="E1685" s="1" t="s">
        <v>4602</v>
      </c>
      <c r="F1685" s="1" t="s">
        <v>4603</v>
      </c>
      <c r="G1685" s="1" t="s">
        <v>4604</v>
      </c>
    </row>
    <row r="1686" spans="1:7">
      <c r="A1686" s="1">
        <v>3206</v>
      </c>
      <c r="B1686" s="1" t="s">
        <v>4605</v>
      </c>
      <c r="D1686" s="1" t="s">
        <v>4606</v>
      </c>
      <c r="E1686" s="1" t="s">
        <v>4607</v>
      </c>
      <c r="F1686" s="1" t="s">
        <v>4608</v>
      </c>
      <c r="G1686" s="1" t="s">
        <v>4609</v>
      </c>
    </row>
    <row r="1687" spans="1:7">
      <c r="A1687" s="1">
        <v>3207</v>
      </c>
      <c r="B1687" s="1" t="s">
        <v>4610</v>
      </c>
      <c r="D1687" s="1" t="s">
        <v>4606</v>
      </c>
      <c r="E1687" s="1" t="s">
        <v>4611</v>
      </c>
      <c r="F1687" s="1" t="s">
        <v>4612</v>
      </c>
      <c r="G1687" s="1" t="s">
        <v>4613</v>
      </c>
    </row>
    <row r="1688" spans="1:7">
      <c r="A1688" s="1">
        <v>3208</v>
      </c>
      <c r="B1688" s="1" t="s">
        <v>4614</v>
      </c>
      <c r="D1688" s="1" t="s">
        <v>4606</v>
      </c>
      <c r="E1688" s="1" t="s">
        <v>4615</v>
      </c>
      <c r="F1688" s="1" t="s">
        <v>4616</v>
      </c>
      <c r="G1688" s="1" t="s">
        <v>4617</v>
      </c>
    </row>
    <row r="1689" spans="1:7">
      <c r="A1689" s="1">
        <v>3213</v>
      </c>
      <c r="B1689" s="1" t="s">
        <v>4618</v>
      </c>
      <c r="D1689" s="1" t="s">
        <v>4619</v>
      </c>
      <c r="E1689" s="1" t="s">
        <v>4620</v>
      </c>
      <c r="F1689" s="1" t="s">
        <v>4621</v>
      </c>
      <c r="G1689" s="1" t="s">
        <v>4622</v>
      </c>
    </row>
    <row r="1690" spans="1:7">
      <c r="A1690" s="1">
        <v>3214</v>
      </c>
      <c r="B1690" s="1" t="s">
        <v>4623</v>
      </c>
      <c r="D1690" s="1" t="s">
        <v>4619</v>
      </c>
      <c r="E1690" s="1" t="s">
        <v>4624</v>
      </c>
      <c r="F1690" s="1" t="s">
        <v>4625</v>
      </c>
      <c r="G1690" s="1" t="s">
        <v>4626</v>
      </c>
    </row>
    <row r="1691" spans="1:7">
      <c r="A1691" s="1">
        <v>3215</v>
      </c>
      <c r="B1691" s="1" t="s">
        <v>4627</v>
      </c>
      <c r="D1691" s="1" t="s">
        <v>4619</v>
      </c>
      <c r="E1691" s="1" t="s">
        <v>4628</v>
      </c>
      <c r="F1691" s="1" t="s">
        <v>4629</v>
      </c>
      <c r="G1691" s="1" t="s">
        <v>4630</v>
      </c>
    </row>
    <row r="1692" spans="1:7">
      <c r="A1692" s="1">
        <v>3219</v>
      </c>
      <c r="B1692" s="1" t="s">
        <v>4631</v>
      </c>
      <c r="D1692" s="1" t="s">
        <v>4632</v>
      </c>
      <c r="E1692" s="1" t="s">
        <v>4633</v>
      </c>
      <c r="F1692" s="1" t="s">
        <v>4634</v>
      </c>
      <c r="G1692" s="1" t="s">
        <v>4635</v>
      </c>
    </row>
    <row r="1693" spans="1:7">
      <c r="A1693" s="1">
        <v>3220</v>
      </c>
      <c r="B1693" s="1" t="s">
        <v>4636</v>
      </c>
      <c r="D1693" s="1" t="s">
        <v>4632</v>
      </c>
      <c r="E1693" s="1" t="s">
        <v>4637</v>
      </c>
      <c r="F1693" s="1" t="s">
        <v>4638</v>
      </c>
      <c r="G1693" s="1" t="s">
        <v>4639</v>
      </c>
    </row>
    <row r="1694" spans="1:7">
      <c r="A1694" s="1">
        <v>3221</v>
      </c>
      <c r="B1694" s="1" t="s">
        <v>4640</v>
      </c>
      <c r="D1694" s="1" t="s">
        <v>4632</v>
      </c>
      <c r="E1694" s="1" t="s">
        <v>4641</v>
      </c>
      <c r="F1694" s="1" t="s">
        <v>4642</v>
      </c>
      <c r="G1694" s="1" t="s">
        <v>4643</v>
      </c>
    </row>
    <row r="1695" spans="1:7">
      <c r="A1695" s="1">
        <v>3225</v>
      </c>
      <c r="B1695" s="1" t="s">
        <v>4644</v>
      </c>
      <c r="D1695" s="1" t="s">
        <v>4645</v>
      </c>
      <c r="E1695" s="1" t="s">
        <v>4646</v>
      </c>
      <c r="F1695" s="1" t="s">
        <v>4647</v>
      </c>
      <c r="G1695" s="1" t="s">
        <v>4648</v>
      </c>
    </row>
    <row r="1696" spans="1:7">
      <c r="A1696" s="1">
        <v>3228</v>
      </c>
      <c r="B1696" s="1" t="s">
        <v>4649</v>
      </c>
      <c r="D1696" s="1" t="s">
        <v>4645</v>
      </c>
      <c r="E1696" s="1" t="s">
        <v>4650</v>
      </c>
      <c r="F1696" s="1" t="s">
        <v>4651</v>
      </c>
      <c r="G1696" s="1" t="s">
        <v>4652</v>
      </c>
    </row>
    <row r="1697" spans="1:7">
      <c r="A1697" s="1">
        <v>3229</v>
      </c>
      <c r="B1697" s="1" t="s">
        <v>4653</v>
      </c>
      <c r="D1697" s="1" t="s">
        <v>4645</v>
      </c>
      <c r="E1697" s="1" t="s">
        <v>4654</v>
      </c>
      <c r="F1697" s="1" t="s">
        <v>4655</v>
      </c>
      <c r="G1697" s="1" t="s">
        <v>4656</v>
      </c>
    </row>
    <row r="1698" spans="1:7">
      <c r="A1698" s="1">
        <v>3230</v>
      </c>
      <c r="B1698" s="1" t="s">
        <v>4657</v>
      </c>
      <c r="D1698" s="1" t="s">
        <v>4645</v>
      </c>
      <c r="E1698" s="1" t="s">
        <v>4658</v>
      </c>
      <c r="F1698" s="1" t="s">
        <v>4659</v>
      </c>
      <c r="G1698" s="1" t="s">
        <v>4660</v>
      </c>
    </row>
    <row r="1699" spans="1:7">
      <c r="A1699" s="1">
        <v>3233</v>
      </c>
      <c r="B1699" s="1" t="s">
        <v>4661</v>
      </c>
      <c r="D1699" s="1" t="s">
        <v>4662</v>
      </c>
      <c r="E1699" s="1" t="s">
        <v>4663</v>
      </c>
      <c r="F1699" s="1" t="s">
        <v>4664</v>
      </c>
      <c r="G1699" s="1" t="s">
        <v>4665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S1735"/>
  <sheetViews>
    <sheetView workbookViewId="0">
      <selection activeCell="F7" sqref="F7"/>
    </sheetView>
  </sheetViews>
  <sheetFormatPr defaultColWidth="9" defaultRowHeight="13.5"/>
  <cols>
    <col min="1" max="9" width="9.00833333333333" style="1" customWidth="1"/>
    <col min="10" max="16384" width="9" style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S1" s="8"/>
    </row>
    <row r="2" spans="1:19">
      <c r="A2" s="1">
        <v>1</v>
      </c>
      <c r="B2" s="1" t="s">
        <v>4666</v>
      </c>
      <c r="D2" s="1" t="s">
        <v>4667</v>
      </c>
      <c r="E2" s="1" t="s">
        <v>4668</v>
      </c>
      <c r="F2" s="1" t="s">
        <v>4669</v>
      </c>
      <c r="G2" s="1" t="s">
        <v>4670</v>
      </c>
      <c r="I2" s="1" t="str">
        <f>IFERROR(IF(OR(MID(G2,FIND(":",G2)-1,1)="""",MID(G2,FIND(":",G2)-1,1)="}",MID(G2,FIND(":",G2)-1,1)=")",MID(G2,FIND(":",G2)-1,1)="]"),"",RIGHT(G2,LEN(G2)-FIND(":",G2)-1)),"")</f>
        <v>FS [{#FSNAME}]: 索引节点不足(空闲 &lt; {$VFS.FS.INODE.PFREE.MIN.WARN: "{#FSNAME}"}%)</v>
      </c>
      <c r="J2" s="1" t="str">
        <f>IF(AND(I2="",H2=""),G2,IF(H2="",I2,H2&amp;": "&amp;I2))</f>
        <v>FS [{#FSNAME}]: 索引节点不足(空闲 &lt; {$VFS.FS.INODE.PFREE.MIN.WARN: "{#FSNAME}"}%)</v>
      </c>
      <c r="K2" s="1" t="str">
        <f>IFERROR(IF(OR(MID(F2,FIND(":",F2)-1,1)="""",MID(F2,FIND(":",F2)-1,1)="}",MID(F2,FIND(":",F2)-1,1)=")",MID(F2,FIND(":",F2)-1,1)="]"),"",RIGHT(F2,LEN(F2)-FIND(":",F2)-1)),"")</f>
        <v>FS [{#FSNAME}]: Running out of free inodes (free &lt; {$VFS.FS.INODE.PFREE.MIN.WARN:"{#FSNAME}"}%)</v>
      </c>
      <c r="L2" s="1">
        <f>LEN(F2)-LEN(SUBSTITUTE(F2,":",""))</f>
        <v>3</v>
      </c>
      <c r="M2" s="1">
        <f>LEN(G2)-LEN(SUBSTITUTE(G2,":",""))</f>
        <v>3</v>
      </c>
      <c r="N2" s="1">
        <f>LEN(G2)-LEN(SUBSTITUTE(G2,"：",""))</f>
        <v>0</v>
      </c>
      <c r="O2" s="1" t="str">
        <f>IF(M2&gt;=2,MID(G2,FIND(":",G2)+1,LEN(G2)))</f>
        <v> FS [{#FSNAME}]: 索引节点不足(空闲 &lt; {$VFS.FS.INODE.PFREE.MIN.WARN: "{#FSNAME}"}%)</v>
      </c>
      <c r="P2" s="1" t="str">
        <f>INDEX(G:G,MATCH(G2,G:G,0))</f>
        <v>AIX: FS [{#FSNAME}]: 索引节点不足(空闲 &lt; {$VFS.FS.INODE.PFREE.MIN.WARN: "{#FSNAME}"}%)</v>
      </c>
      <c r="Q2" s="1" t="str">
        <f>IF(P2&lt;&gt;G2,"校验","")</f>
        <v/>
      </c>
      <c r="R2" s="1" t="e">
        <f>INDEX('6.0.35'!I:I,MATCH(F2,'6.0.35'!K:K,0))</f>
        <v>#N/A</v>
      </c>
      <c r="S2" s="1" t="e">
        <f>INDEX('6.0.35'!J:J,MATCH(F2,'6.0.35'!F:F,0))</f>
        <v>#N/A</v>
      </c>
    </row>
    <row r="3" spans="1:7">
      <c r="A3" s="1">
        <v>2</v>
      </c>
      <c r="B3" s="1" t="s">
        <v>4671</v>
      </c>
      <c r="D3" s="1" t="s">
        <v>4667</v>
      </c>
      <c r="E3" s="1" t="s">
        <v>4672</v>
      </c>
      <c r="F3" s="1" t="s">
        <v>4673</v>
      </c>
      <c r="G3" s="1" t="s">
        <v>4674</v>
      </c>
    </row>
    <row r="4" spans="1:7">
      <c r="A4" s="1">
        <v>3</v>
      </c>
      <c r="B4" s="1" t="s">
        <v>4675</v>
      </c>
      <c r="D4" s="1" t="s">
        <v>4667</v>
      </c>
      <c r="E4" s="1" t="s">
        <v>4676</v>
      </c>
      <c r="F4" s="1" t="s">
        <v>4677</v>
      </c>
      <c r="G4" s="1" t="s">
        <v>4678</v>
      </c>
    </row>
    <row r="5" spans="1:7">
      <c r="A5" s="1">
        <v>4</v>
      </c>
      <c r="B5" s="1" t="s">
        <v>4679</v>
      </c>
      <c r="D5" s="1" t="s">
        <v>4667</v>
      </c>
      <c r="E5" s="1" t="s">
        <v>4680</v>
      </c>
      <c r="F5" s="1" t="s">
        <v>4681</v>
      </c>
      <c r="G5" s="1" t="s">
        <v>4682</v>
      </c>
    </row>
    <row r="6" spans="1:7">
      <c r="A6" s="1">
        <v>8</v>
      </c>
      <c r="B6" s="1" t="s">
        <v>4683</v>
      </c>
      <c r="D6" s="1" t="s">
        <v>9</v>
      </c>
      <c r="E6" s="1" t="s">
        <v>10</v>
      </c>
      <c r="F6" s="1" t="s">
        <v>4684</v>
      </c>
      <c r="G6" s="1" t="s">
        <v>4685</v>
      </c>
    </row>
    <row r="7" spans="1:7">
      <c r="A7" s="1">
        <v>15</v>
      </c>
      <c r="B7" s="1" t="s">
        <v>4686</v>
      </c>
      <c r="D7" s="1" t="s">
        <v>9</v>
      </c>
      <c r="E7" s="1" t="s">
        <v>14</v>
      </c>
      <c r="F7" s="1" t="s">
        <v>4687</v>
      </c>
      <c r="G7" s="1" t="s">
        <v>4688</v>
      </c>
    </row>
    <row r="8" spans="1:7">
      <c r="A8" s="1">
        <v>16</v>
      </c>
      <c r="B8" s="1" t="s">
        <v>4689</v>
      </c>
      <c r="D8" s="1" t="s">
        <v>9</v>
      </c>
      <c r="E8" s="1" t="s">
        <v>18</v>
      </c>
      <c r="F8" s="1" t="s">
        <v>4690</v>
      </c>
      <c r="G8" s="1" t="s">
        <v>4691</v>
      </c>
    </row>
    <row r="9" spans="1:7">
      <c r="A9" s="1">
        <v>19</v>
      </c>
      <c r="B9" s="1" t="s">
        <v>4692</v>
      </c>
      <c r="D9" s="1" t="s">
        <v>22</v>
      </c>
      <c r="E9" s="1" t="s">
        <v>23</v>
      </c>
      <c r="F9" s="1" t="s">
        <v>4684</v>
      </c>
      <c r="G9" s="1" t="s">
        <v>4685</v>
      </c>
    </row>
    <row r="10" spans="1:7">
      <c r="A10" s="1">
        <v>26</v>
      </c>
      <c r="B10" s="1" t="s">
        <v>4693</v>
      </c>
      <c r="D10" s="1" t="s">
        <v>22</v>
      </c>
      <c r="E10" s="1" t="s">
        <v>25</v>
      </c>
      <c r="F10" s="1" t="s">
        <v>4687</v>
      </c>
      <c r="G10" s="1" t="s">
        <v>4688</v>
      </c>
    </row>
    <row r="11" spans="1:7">
      <c r="A11" s="1">
        <v>27</v>
      </c>
      <c r="B11" s="1" t="s">
        <v>4694</v>
      </c>
      <c r="D11" s="1" t="s">
        <v>22</v>
      </c>
      <c r="E11" s="1" t="s">
        <v>27</v>
      </c>
      <c r="F11" s="1" t="s">
        <v>4690</v>
      </c>
      <c r="G11" s="1" t="s">
        <v>4691</v>
      </c>
    </row>
    <row r="12" spans="1:7">
      <c r="A12" s="1">
        <v>30</v>
      </c>
      <c r="B12" s="1" t="s">
        <v>4695</v>
      </c>
      <c r="D12" s="1" t="s">
        <v>29</v>
      </c>
      <c r="E12" s="1" t="s">
        <v>30</v>
      </c>
      <c r="F12" s="1" t="s">
        <v>4684</v>
      </c>
      <c r="G12" s="1" t="s">
        <v>4685</v>
      </c>
    </row>
    <row r="13" spans="1:7">
      <c r="A13" s="1">
        <v>37</v>
      </c>
      <c r="B13" s="1" t="s">
        <v>4696</v>
      </c>
      <c r="D13" s="1" t="s">
        <v>29</v>
      </c>
      <c r="E13" s="1" t="s">
        <v>32</v>
      </c>
      <c r="F13" s="1" t="s">
        <v>4687</v>
      </c>
      <c r="G13" s="1" t="s">
        <v>4688</v>
      </c>
    </row>
    <row r="14" spans="1:7">
      <c r="A14" s="1">
        <v>38</v>
      </c>
      <c r="B14" s="1" t="s">
        <v>4697</v>
      </c>
      <c r="D14" s="1" t="s">
        <v>29</v>
      </c>
      <c r="E14" s="1" t="s">
        <v>34</v>
      </c>
      <c r="F14" s="1" t="s">
        <v>4690</v>
      </c>
      <c r="G14" s="1" t="s">
        <v>4691</v>
      </c>
    </row>
    <row r="15" spans="1:7">
      <c r="A15" s="1">
        <v>41</v>
      </c>
      <c r="B15" s="1" t="s">
        <v>4698</v>
      </c>
      <c r="D15" s="1" t="s">
        <v>36</v>
      </c>
      <c r="E15" s="1" t="s">
        <v>37</v>
      </c>
      <c r="F15" s="1" t="s">
        <v>4684</v>
      </c>
      <c r="G15" s="1" t="s">
        <v>4685</v>
      </c>
    </row>
    <row r="16" spans="1:7">
      <c r="A16" s="1">
        <v>48</v>
      </c>
      <c r="B16" s="1" t="s">
        <v>4699</v>
      </c>
      <c r="D16" s="1" t="s">
        <v>36</v>
      </c>
      <c r="E16" s="1" t="s">
        <v>39</v>
      </c>
      <c r="F16" s="1" t="s">
        <v>4687</v>
      </c>
      <c r="G16" s="1" t="s">
        <v>4688</v>
      </c>
    </row>
    <row r="17" spans="1:7">
      <c r="A17" s="1">
        <v>49</v>
      </c>
      <c r="B17" s="1" t="s">
        <v>4700</v>
      </c>
      <c r="D17" s="1" t="s">
        <v>36</v>
      </c>
      <c r="E17" s="1" t="s">
        <v>41</v>
      </c>
      <c r="F17" s="1" t="s">
        <v>4690</v>
      </c>
      <c r="G17" s="1" t="s">
        <v>4691</v>
      </c>
    </row>
    <row r="18" spans="1:7">
      <c r="A18" s="1">
        <v>52</v>
      </c>
      <c r="B18" s="1" t="s">
        <v>4701</v>
      </c>
      <c r="D18" s="1" t="s">
        <v>43</v>
      </c>
      <c r="E18" s="1" t="s">
        <v>44</v>
      </c>
      <c r="F18" s="1" t="s">
        <v>4684</v>
      </c>
      <c r="G18" s="1" t="s">
        <v>4685</v>
      </c>
    </row>
    <row r="19" spans="1:7">
      <c r="A19" s="1">
        <v>59</v>
      </c>
      <c r="B19" s="1" t="s">
        <v>4702</v>
      </c>
      <c r="D19" s="1" t="s">
        <v>43</v>
      </c>
      <c r="E19" s="1" t="s">
        <v>46</v>
      </c>
      <c r="F19" s="1" t="s">
        <v>4687</v>
      </c>
      <c r="G19" s="1" t="s">
        <v>4688</v>
      </c>
    </row>
    <row r="20" spans="1:7">
      <c r="A20" s="1">
        <v>60</v>
      </c>
      <c r="B20" s="1" t="s">
        <v>4703</v>
      </c>
      <c r="D20" s="1" t="s">
        <v>43</v>
      </c>
      <c r="E20" s="1" t="s">
        <v>48</v>
      </c>
      <c r="F20" s="1" t="s">
        <v>4690</v>
      </c>
      <c r="G20" s="1" t="s">
        <v>4691</v>
      </c>
    </row>
    <row r="21" spans="1:7">
      <c r="A21" s="1">
        <v>63</v>
      </c>
      <c r="B21" s="1" t="s">
        <v>4704</v>
      </c>
      <c r="D21" s="1" t="s">
        <v>50</v>
      </c>
      <c r="E21" s="1" t="s">
        <v>51</v>
      </c>
      <c r="F21" s="1" t="s">
        <v>4684</v>
      </c>
      <c r="G21" s="1" t="s">
        <v>4685</v>
      </c>
    </row>
    <row r="22" spans="1:7">
      <c r="A22" s="1">
        <v>70</v>
      </c>
      <c r="B22" s="1" t="s">
        <v>4705</v>
      </c>
      <c r="D22" s="1" t="s">
        <v>50</v>
      </c>
      <c r="E22" s="1" t="s">
        <v>53</v>
      </c>
      <c r="F22" s="1" t="s">
        <v>4687</v>
      </c>
      <c r="G22" s="1" t="s">
        <v>4688</v>
      </c>
    </row>
    <row r="23" spans="1:7">
      <c r="A23" s="1">
        <v>71</v>
      </c>
      <c r="B23" s="1" t="s">
        <v>4706</v>
      </c>
      <c r="D23" s="1" t="s">
        <v>50</v>
      </c>
      <c r="E23" s="1" t="s">
        <v>55</v>
      </c>
      <c r="F23" s="1" t="s">
        <v>4690</v>
      </c>
      <c r="G23" s="1" t="s">
        <v>4691</v>
      </c>
    </row>
    <row r="24" spans="1:7">
      <c r="A24" s="1">
        <v>74</v>
      </c>
      <c r="B24" s="1" t="s">
        <v>4707</v>
      </c>
      <c r="D24" s="1" t="s">
        <v>57</v>
      </c>
      <c r="E24" s="1" t="s">
        <v>58</v>
      </c>
      <c r="F24" s="1" t="s">
        <v>4708</v>
      </c>
      <c r="G24" s="1" t="s">
        <v>4709</v>
      </c>
    </row>
    <row r="25" spans="1:7">
      <c r="A25" s="1">
        <v>81</v>
      </c>
      <c r="B25" s="1" t="s">
        <v>4710</v>
      </c>
      <c r="D25" s="1" t="s">
        <v>57</v>
      </c>
      <c r="E25" s="1" t="s">
        <v>60</v>
      </c>
      <c r="F25" s="1" t="s">
        <v>4711</v>
      </c>
      <c r="G25" s="1" t="s">
        <v>4712</v>
      </c>
    </row>
    <row r="26" spans="1:7">
      <c r="A26" s="1">
        <v>82</v>
      </c>
      <c r="B26" s="1" t="s">
        <v>4713</v>
      </c>
      <c r="D26" s="1" t="s">
        <v>57</v>
      </c>
      <c r="E26" s="1" t="s">
        <v>62</v>
      </c>
      <c r="F26" s="1" t="s">
        <v>4714</v>
      </c>
      <c r="G26" s="1" t="s">
        <v>4715</v>
      </c>
    </row>
    <row r="27" spans="1:7">
      <c r="A27" s="1">
        <v>85</v>
      </c>
      <c r="B27" s="1" t="s">
        <v>4716</v>
      </c>
      <c r="D27" s="1" t="s">
        <v>64</v>
      </c>
      <c r="E27" s="1" t="s">
        <v>65</v>
      </c>
      <c r="F27" s="1" t="s">
        <v>4717</v>
      </c>
      <c r="G27" s="1" t="s">
        <v>4718</v>
      </c>
    </row>
    <row r="28" spans="1:7">
      <c r="A28" s="1">
        <v>92</v>
      </c>
      <c r="B28" s="1" t="s">
        <v>4719</v>
      </c>
      <c r="D28" s="1" t="s">
        <v>64</v>
      </c>
      <c r="E28" s="1" t="s">
        <v>67</v>
      </c>
      <c r="F28" s="1" t="s">
        <v>4720</v>
      </c>
      <c r="G28" s="1" t="s">
        <v>4721</v>
      </c>
    </row>
    <row r="29" spans="1:7">
      <c r="A29" s="1">
        <v>93</v>
      </c>
      <c r="B29" s="1" t="s">
        <v>4722</v>
      </c>
      <c r="D29" s="1" t="s">
        <v>64</v>
      </c>
      <c r="E29" s="1" t="s">
        <v>69</v>
      </c>
      <c r="F29" s="1" t="s">
        <v>4723</v>
      </c>
      <c r="G29" s="1" t="s">
        <v>4724</v>
      </c>
    </row>
    <row r="30" spans="1:7">
      <c r="A30" s="1">
        <v>96</v>
      </c>
      <c r="B30" s="1" t="s">
        <v>4725</v>
      </c>
      <c r="D30" s="1" t="s">
        <v>71</v>
      </c>
      <c r="E30" s="1" t="s">
        <v>72</v>
      </c>
      <c r="F30" s="1" t="s">
        <v>4717</v>
      </c>
      <c r="G30" s="1" t="s">
        <v>4718</v>
      </c>
    </row>
    <row r="31" spans="1:7">
      <c r="A31" s="1">
        <v>103</v>
      </c>
      <c r="B31" s="1" t="s">
        <v>4726</v>
      </c>
      <c r="D31" s="1" t="s">
        <v>71</v>
      </c>
      <c r="E31" s="1" t="s">
        <v>74</v>
      </c>
      <c r="F31" s="1" t="s">
        <v>4720</v>
      </c>
      <c r="G31" s="1" t="s">
        <v>4721</v>
      </c>
    </row>
    <row r="32" spans="1:7">
      <c r="A32" s="1">
        <v>104</v>
      </c>
      <c r="B32" s="1" t="s">
        <v>4727</v>
      </c>
      <c r="D32" s="1" t="s">
        <v>71</v>
      </c>
      <c r="E32" s="1" t="s">
        <v>76</v>
      </c>
      <c r="F32" s="1" t="s">
        <v>4723</v>
      </c>
      <c r="G32" s="1" t="s">
        <v>4724</v>
      </c>
    </row>
    <row r="33" spans="1:7">
      <c r="A33" s="1">
        <v>107</v>
      </c>
      <c r="B33" s="1" t="s">
        <v>4728</v>
      </c>
      <c r="D33" s="1" t="s">
        <v>78</v>
      </c>
      <c r="E33" s="1" t="s">
        <v>79</v>
      </c>
      <c r="F33" s="1" t="s">
        <v>4717</v>
      </c>
      <c r="G33" s="1" t="s">
        <v>4718</v>
      </c>
    </row>
    <row r="34" spans="1:7">
      <c r="A34" s="1">
        <v>114</v>
      </c>
      <c r="B34" s="1" t="s">
        <v>4729</v>
      </c>
      <c r="D34" s="1" t="s">
        <v>78</v>
      </c>
      <c r="E34" s="1" t="s">
        <v>81</v>
      </c>
      <c r="F34" s="1" t="s">
        <v>4720</v>
      </c>
      <c r="G34" s="1" t="s">
        <v>4721</v>
      </c>
    </row>
    <row r="35" spans="1:7">
      <c r="A35" s="1">
        <v>115</v>
      </c>
      <c r="B35" s="1" t="s">
        <v>4730</v>
      </c>
      <c r="D35" s="1" t="s">
        <v>78</v>
      </c>
      <c r="E35" s="1" t="s">
        <v>83</v>
      </c>
      <c r="F35" s="1" t="s">
        <v>4723</v>
      </c>
      <c r="G35" s="1" t="s">
        <v>4724</v>
      </c>
    </row>
    <row r="36" spans="1:7">
      <c r="A36" s="1">
        <v>118</v>
      </c>
      <c r="B36" s="1" t="s">
        <v>4731</v>
      </c>
      <c r="D36" s="1" t="s">
        <v>85</v>
      </c>
      <c r="E36" s="1" t="s">
        <v>86</v>
      </c>
      <c r="F36" s="1" t="s">
        <v>4732</v>
      </c>
      <c r="G36" s="1" t="s">
        <v>4733</v>
      </c>
    </row>
    <row r="37" spans="1:7">
      <c r="A37" s="1">
        <v>125</v>
      </c>
      <c r="B37" s="1" t="s">
        <v>4734</v>
      </c>
      <c r="D37" s="1" t="s">
        <v>85</v>
      </c>
      <c r="E37" s="1" t="s">
        <v>88</v>
      </c>
      <c r="F37" s="1" t="s">
        <v>4735</v>
      </c>
      <c r="G37" s="1" t="s">
        <v>4736</v>
      </c>
    </row>
    <row r="38" spans="1:7">
      <c r="A38" s="1">
        <v>126</v>
      </c>
      <c r="B38" s="1" t="s">
        <v>4737</v>
      </c>
      <c r="D38" s="1" t="s">
        <v>85</v>
      </c>
      <c r="E38" s="1" t="s">
        <v>90</v>
      </c>
      <c r="F38" s="1" t="s">
        <v>4738</v>
      </c>
      <c r="G38" s="1" t="s">
        <v>4739</v>
      </c>
    </row>
    <row r="39" spans="1:7">
      <c r="A39" s="1">
        <v>130</v>
      </c>
      <c r="B39" s="1" t="s">
        <v>4740</v>
      </c>
      <c r="D39" s="1" t="s">
        <v>92</v>
      </c>
      <c r="E39" s="1" t="s">
        <v>4741</v>
      </c>
      <c r="F39" s="1" t="s">
        <v>4742</v>
      </c>
      <c r="G39" s="1" t="s">
        <v>4743</v>
      </c>
    </row>
    <row r="40" spans="1:7">
      <c r="A40" s="1">
        <v>133</v>
      </c>
      <c r="B40" s="1" t="s">
        <v>4744</v>
      </c>
      <c r="D40" s="1" t="s">
        <v>97</v>
      </c>
      <c r="E40" s="1" t="s">
        <v>4745</v>
      </c>
      <c r="F40" s="1" t="s">
        <v>4746</v>
      </c>
      <c r="G40" s="1" t="s">
        <v>4747</v>
      </c>
    </row>
    <row r="41" spans="1:7">
      <c r="A41" s="1">
        <v>134</v>
      </c>
      <c r="B41" s="1" t="s">
        <v>4748</v>
      </c>
      <c r="D41" s="1" t="s">
        <v>97</v>
      </c>
      <c r="E41" s="1" t="s">
        <v>4749</v>
      </c>
      <c r="F41" s="1" t="s">
        <v>4750</v>
      </c>
      <c r="G41" s="1" t="s">
        <v>4751</v>
      </c>
    </row>
    <row r="42" spans="1:7">
      <c r="A42" s="1">
        <v>137</v>
      </c>
      <c r="B42" s="1" t="s">
        <v>4752</v>
      </c>
      <c r="D42" s="1" t="s">
        <v>106</v>
      </c>
      <c r="E42" s="1" t="s">
        <v>4753</v>
      </c>
      <c r="F42" s="1" t="s">
        <v>4754</v>
      </c>
      <c r="G42" s="1" t="s">
        <v>4755</v>
      </c>
    </row>
    <row r="43" spans="1:7">
      <c r="A43" s="1">
        <v>138</v>
      </c>
      <c r="B43" s="1" t="s">
        <v>4756</v>
      </c>
      <c r="D43" s="1" t="s">
        <v>106</v>
      </c>
      <c r="E43" s="1" t="s">
        <v>3899</v>
      </c>
      <c r="F43" s="1" t="s">
        <v>4757</v>
      </c>
      <c r="G43" s="1" t="s">
        <v>4758</v>
      </c>
    </row>
    <row r="44" spans="1:7">
      <c r="A44" s="1">
        <v>139</v>
      </c>
      <c r="B44" s="1" t="s">
        <v>4759</v>
      </c>
      <c r="D44" s="1" t="s">
        <v>111</v>
      </c>
      <c r="E44" s="1" t="s">
        <v>4760</v>
      </c>
      <c r="F44" s="1" t="s">
        <v>4761</v>
      </c>
      <c r="G44" s="1" t="s">
        <v>4762</v>
      </c>
    </row>
    <row r="45" spans="1:7">
      <c r="A45" s="1">
        <v>140</v>
      </c>
      <c r="B45" s="1" t="s">
        <v>4763</v>
      </c>
      <c r="D45" s="1" t="s">
        <v>111</v>
      </c>
      <c r="E45" s="1" t="s">
        <v>4764</v>
      </c>
      <c r="F45" s="1" t="s">
        <v>4765</v>
      </c>
      <c r="G45" s="1" t="s">
        <v>4766</v>
      </c>
    </row>
    <row r="46" spans="1:7">
      <c r="A46" s="1">
        <v>141</v>
      </c>
      <c r="B46" s="1" t="s">
        <v>4767</v>
      </c>
      <c r="D46" s="1" t="s">
        <v>120</v>
      </c>
      <c r="E46" s="1" t="s">
        <v>4768</v>
      </c>
      <c r="F46" s="1" t="s">
        <v>4769</v>
      </c>
      <c r="G46" s="1" t="s">
        <v>4770</v>
      </c>
    </row>
    <row r="47" spans="1:7">
      <c r="A47" s="1">
        <v>142</v>
      </c>
      <c r="B47" s="1" t="s">
        <v>4771</v>
      </c>
      <c r="D47" s="1" t="s">
        <v>120</v>
      </c>
      <c r="E47" s="1" t="s">
        <v>4772</v>
      </c>
      <c r="F47" s="1" t="s">
        <v>4773</v>
      </c>
      <c r="G47" s="1" t="s">
        <v>4774</v>
      </c>
    </row>
    <row r="48" spans="1:7">
      <c r="A48" s="1">
        <v>143</v>
      </c>
      <c r="B48" s="1" t="s">
        <v>4775</v>
      </c>
      <c r="D48" s="1" t="s">
        <v>120</v>
      </c>
      <c r="E48" s="1" t="s">
        <v>4776</v>
      </c>
      <c r="F48" s="1" t="s">
        <v>4777</v>
      </c>
      <c r="G48" s="1" t="s">
        <v>4778</v>
      </c>
    </row>
    <row r="49" spans="1:7">
      <c r="A49" s="1">
        <v>144</v>
      </c>
      <c r="B49" s="1" t="s">
        <v>4779</v>
      </c>
      <c r="D49" s="1" t="s">
        <v>120</v>
      </c>
      <c r="E49" s="1" t="s">
        <v>4780</v>
      </c>
      <c r="F49" s="1" t="s">
        <v>4781</v>
      </c>
      <c r="G49" s="1" t="s">
        <v>4782</v>
      </c>
    </row>
    <row r="50" spans="1:7">
      <c r="A50" s="1">
        <v>145</v>
      </c>
      <c r="B50" s="1" t="s">
        <v>4783</v>
      </c>
      <c r="D50" s="1" t="s">
        <v>137</v>
      </c>
      <c r="E50" s="1" t="s">
        <v>4784</v>
      </c>
      <c r="F50" s="1" t="s">
        <v>4785</v>
      </c>
      <c r="G50" s="1" t="s">
        <v>4786</v>
      </c>
    </row>
    <row r="51" spans="1:7">
      <c r="A51" s="1">
        <v>146</v>
      </c>
      <c r="B51" s="1" t="s">
        <v>4787</v>
      </c>
      <c r="D51" s="1" t="s">
        <v>137</v>
      </c>
      <c r="E51" s="1" t="s">
        <v>4788</v>
      </c>
      <c r="F51" s="1" t="s">
        <v>4789</v>
      </c>
      <c r="G51" s="1" t="s">
        <v>4790</v>
      </c>
    </row>
    <row r="52" spans="1:7">
      <c r="A52" s="1">
        <v>151</v>
      </c>
      <c r="B52" s="1" t="s">
        <v>4791</v>
      </c>
      <c r="D52" s="1" t="s">
        <v>146</v>
      </c>
      <c r="E52" s="1" t="s">
        <v>4792</v>
      </c>
      <c r="F52" s="1" t="s">
        <v>4793</v>
      </c>
      <c r="G52" s="1" t="s">
        <v>4794</v>
      </c>
    </row>
    <row r="53" spans="1:7">
      <c r="A53" s="1">
        <v>152</v>
      </c>
      <c r="B53" s="1" t="s">
        <v>4795</v>
      </c>
      <c r="D53" s="1" t="s">
        <v>146</v>
      </c>
      <c r="E53" s="1" t="s">
        <v>4796</v>
      </c>
      <c r="F53" s="1" t="s">
        <v>4797</v>
      </c>
      <c r="G53" s="1" t="s">
        <v>4798</v>
      </c>
    </row>
    <row r="54" spans="1:7">
      <c r="A54" s="1">
        <v>153</v>
      </c>
      <c r="B54" s="1" t="s">
        <v>4799</v>
      </c>
      <c r="D54" s="1" t="s">
        <v>146</v>
      </c>
      <c r="E54" s="1" t="s">
        <v>4800</v>
      </c>
      <c r="F54" s="1" t="s">
        <v>4801</v>
      </c>
      <c r="G54" s="1" t="s">
        <v>4802</v>
      </c>
    </row>
    <row r="55" spans="1:7">
      <c r="A55" s="1">
        <v>168</v>
      </c>
      <c r="B55" s="1" t="s">
        <v>4803</v>
      </c>
      <c r="D55" s="1" t="s">
        <v>159</v>
      </c>
      <c r="E55" s="1" t="s">
        <v>164</v>
      </c>
      <c r="F55" s="1" t="s">
        <v>4804</v>
      </c>
      <c r="G55" s="1" t="s">
        <v>4805</v>
      </c>
    </row>
    <row r="56" spans="1:7">
      <c r="A56" s="1">
        <v>169</v>
      </c>
      <c r="B56" s="1" t="s">
        <v>4806</v>
      </c>
      <c r="D56" s="1" t="s">
        <v>159</v>
      </c>
      <c r="E56" s="1" t="s">
        <v>160</v>
      </c>
      <c r="F56" s="1" t="s">
        <v>4807</v>
      </c>
      <c r="G56" s="1" t="s">
        <v>4808</v>
      </c>
    </row>
    <row r="57" spans="1:7">
      <c r="A57" s="1">
        <v>175</v>
      </c>
      <c r="B57" s="1" t="s">
        <v>4809</v>
      </c>
      <c r="D57" s="1" t="s">
        <v>159</v>
      </c>
      <c r="E57" s="1" t="s">
        <v>172</v>
      </c>
      <c r="F57" s="1" t="s">
        <v>4810</v>
      </c>
      <c r="G57" s="1" t="s">
        <v>4811</v>
      </c>
    </row>
    <row r="58" spans="1:7">
      <c r="A58" s="1">
        <v>176</v>
      </c>
      <c r="B58" s="1" t="s">
        <v>4812</v>
      </c>
      <c r="D58" s="1" t="s">
        <v>159</v>
      </c>
      <c r="E58" s="1" t="s">
        <v>176</v>
      </c>
      <c r="F58" s="1" t="s">
        <v>4813</v>
      </c>
      <c r="G58" s="1" t="s">
        <v>4814</v>
      </c>
    </row>
    <row r="59" spans="1:7">
      <c r="A59" s="1">
        <v>177</v>
      </c>
      <c r="B59" s="1" t="s">
        <v>4815</v>
      </c>
      <c r="D59" s="1" t="s">
        <v>159</v>
      </c>
      <c r="E59" s="1" t="s">
        <v>180</v>
      </c>
      <c r="F59" s="1" t="s">
        <v>4816</v>
      </c>
      <c r="G59" s="1" t="s">
        <v>4817</v>
      </c>
    </row>
    <row r="60" spans="1:7">
      <c r="A60" s="1">
        <v>178</v>
      </c>
      <c r="B60" s="1" t="s">
        <v>4818</v>
      </c>
      <c r="D60" s="1" t="s">
        <v>159</v>
      </c>
      <c r="E60" s="1" t="s">
        <v>168</v>
      </c>
      <c r="F60" s="1" t="s">
        <v>4819</v>
      </c>
      <c r="G60" s="1" t="s">
        <v>4820</v>
      </c>
    </row>
    <row r="61" spans="1:7">
      <c r="A61" s="1">
        <v>179</v>
      </c>
      <c r="B61" s="1" t="s">
        <v>4821</v>
      </c>
      <c r="D61" s="1" t="s">
        <v>184</v>
      </c>
      <c r="E61" s="1" t="s">
        <v>227</v>
      </c>
      <c r="F61" s="1" t="s">
        <v>4822</v>
      </c>
      <c r="G61" s="1" t="s">
        <v>4823</v>
      </c>
    </row>
    <row r="62" spans="1:7">
      <c r="A62" s="1">
        <v>180</v>
      </c>
      <c r="B62" s="1" t="s">
        <v>4824</v>
      </c>
      <c r="D62" s="1" t="s">
        <v>184</v>
      </c>
      <c r="E62" s="1" t="s">
        <v>247</v>
      </c>
      <c r="F62" s="1" t="s">
        <v>4825</v>
      </c>
      <c r="G62" s="1" t="s">
        <v>4826</v>
      </c>
    </row>
    <row r="63" spans="1:7">
      <c r="A63" s="1">
        <v>181</v>
      </c>
      <c r="B63" s="1" t="s">
        <v>4827</v>
      </c>
      <c r="D63" s="1" t="s">
        <v>184</v>
      </c>
      <c r="E63" s="1" t="s">
        <v>189</v>
      </c>
      <c r="F63" s="1" t="s">
        <v>4828</v>
      </c>
      <c r="G63" s="1" t="s">
        <v>4829</v>
      </c>
    </row>
    <row r="64" spans="1:7">
      <c r="A64" s="1">
        <v>182</v>
      </c>
      <c r="B64" s="1" t="s">
        <v>4830</v>
      </c>
      <c r="D64" s="1" t="s">
        <v>184</v>
      </c>
      <c r="E64" s="1" t="s">
        <v>193</v>
      </c>
      <c r="F64" s="1" t="s">
        <v>4831</v>
      </c>
      <c r="G64" s="1" t="s">
        <v>4832</v>
      </c>
    </row>
    <row r="65" spans="1:7">
      <c r="A65" s="1">
        <v>183</v>
      </c>
      <c r="B65" s="1" t="s">
        <v>4833</v>
      </c>
      <c r="D65" s="1" t="s">
        <v>184</v>
      </c>
      <c r="E65" s="1" t="s">
        <v>223</v>
      </c>
      <c r="F65" s="1" t="s">
        <v>4834</v>
      </c>
      <c r="G65" s="1" t="s">
        <v>4835</v>
      </c>
    </row>
    <row r="66" spans="1:7">
      <c r="A66" s="1">
        <v>184</v>
      </c>
      <c r="B66" s="1" t="s">
        <v>4836</v>
      </c>
      <c r="D66" s="1" t="s">
        <v>184</v>
      </c>
      <c r="E66" s="1" t="s">
        <v>243</v>
      </c>
      <c r="F66" s="1" t="s">
        <v>4837</v>
      </c>
      <c r="G66" s="1" t="s">
        <v>4838</v>
      </c>
    </row>
    <row r="67" spans="1:7">
      <c r="A67" s="1">
        <v>185</v>
      </c>
      <c r="B67" s="1" t="s">
        <v>4839</v>
      </c>
      <c r="D67" s="1" t="s">
        <v>184</v>
      </c>
      <c r="E67" s="1" t="s">
        <v>231</v>
      </c>
      <c r="F67" s="1" t="s">
        <v>4840</v>
      </c>
      <c r="G67" s="1" t="s">
        <v>4841</v>
      </c>
    </row>
    <row r="68" spans="1:7">
      <c r="A68" s="1">
        <v>186</v>
      </c>
      <c r="B68" s="1" t="s">
        <v>4842</v>
      </c>
      <c r="D68" s="1" t="s">
        <v>184</v>
      </c>
      <c r="E68" s="1" t="s">
        <v>235</v>
      </c>
      <c r="F68" s="1" t="s">
        <v>4843</v>
      </c>
      <c r="G68" s="1" t="s">
        <v>4844</v>
      </c>
    </row>
    <row r="69" spans="1:7">
      <c r="A69" s="1">
        <v>187</v>
      </c>
      <c r="B69" s="1" t="s">
        <v>4845</v>
      </c>
      <c r="D69" s="1" t="s">
        <v>184</v>
      </c>
      <c r="E69" s="1" t="s">
        <v>239</v>
      </c>
      <c r="F69" s="1" t="s">
        <v>4846</v>
      </c>
      <c r="G69" s="1" t="s">
        <v>4847</v>
      </c>
    </row>
    <row r="70" spans="1:7">
      <c r="A70" s="1">
        <v>188</v>
      </c>
      <c r="B70" s="1" t="s">
        <v>4848</v>
      </c>
      <c r="D70" s="1" t="s">
        <v>184</v>
      </c>
      <c r="E70" s="1" t="s">
        <v>251</v>
      </c>
      <c r="F70" s="1" t="s">
        <v>4849</v>
      </c>
      <c r="G70" s="1" t="s">
        <v>4850</v>
      </c>
    </row>
    <row r="71" spans="1:7">
      <c r="A71" s="1">
        <v>189</v>
      </c>
      <c r="B71" s="1" t="s">
        <v>4851</v>
      </c>
      <c r="D71" s="1" t="s">
        <v>184</v>
      </c>
      <c r="E71" s="1" t="s">
        <v>205</v>
      </c>
      <c r="F71" s="1" t="s">
        <v>4852</v>
      </c>
      <c r="G71" s="1" t="s">
        <v>4853</v>
      </c>
    </row>
    <row r="72" spans="1:7">
      <c r="A72" s="1">
        <v>190</v>
      </c>
      <c r="B72" s="1" t="s">
        <v>4854</v>
      </c>
      <c r="D72" s="1" t="s">
        <v>184</v>
      </c>
      <c r="E72" s="1" t="s">
        <v>209</v>
      </c>
      <c r="F72" s="1" t="s">
        <v>4855</v>
      </c>
      <c r="G72" s="1" t="s">
        <v>4856</v>
      </c>
    </row>
    <row r="73" spans="1:7">
      <c r="A73" s="1">
        <v>191</v>
      </c>
      <c r="B73" s="1" t="s">
        <v>4857</v>
      </c>
      <c r="D73" s="1" t="s">
        <v>184</v>
      </c>
      <c r="E73" s="1" t="s">
        <v>213</v>
      </c>
      <c r="F73" s="1" t="s">
        <v>4858</v>
      </c>
      <c r="G73" s="1" t="s">
        <v>4859</v>
      </c>
    </row>
    <row r="74" spans="1:7">
      <c r="A74" s="1">
        <v>192</v>
      </c>
      <c r="B74" s="1" t="s">
        <v>4860</v>
      </c>
      <c r="D74" s="1" t="s">
        <v>184</v>
      </c>
      <c r="E74" s="1" t="s">
        <v>217</v>
      </c>
      <c r="F74" s="1" t="s">
        <v>4858</v>
      </c>
      <c r="G74" s="1" t="s">
        <v>4859</v>
      </c>
    </row>
    <row r="75" spans="1:7">
      <c r="A75" s="1">
        <v>193</v>
      </c>
      <c r="B75" s="1" t="s">
        <v>4861</v>
      </c>
      <c r="D75" s="1" t="s">
        <v>184</v>
      </c>
      <c r="E75" s="1" t="s">
        <v>185</v>
      </c>
      <c r="F75" s="1" t="s">
        <v>4862</v>
      </c>
      <c r="G75" s="1" t="s">
        <v>4863</v>
      </c>
    </row>
    <row r="76" spans="1:7">
      <c r="A76" s="1">
        <v>194</v>
      </c>
      <c r="B76" s="1" t="s">
        <v>4864</v>
      </c>
      <c r="D76" s="1" t="s">
        <v>184</v>
      </c>
      <c r="E76" s="1" t="s">
        <v>197</v>
      </c>
      <c r="F76" s="1" t="s">
        <v>4865</v>
      </c>
      <c r="G76" s="1" t="s">
        <v>4866</v>
      </c>
    </row>
    <row r="77" spans="1:7">
      <c r="A77" s="1">
        <v>195</v>
      </c>
      <c r="B77" s="1" t="s">
        <v>4867</v>
      </c>
      <c r="D77" s="1" t="s">
        <v>184</v>
      </c>
      <c r="E77" s="1" t="s">
        <v>201</v>
      </c>
      <c r="F77" s="1" t="s">
        <v>4868</v>
      </c>
      <c r="G77" s="1" t="s">
        <v>4869</v>
      </c>
    </row>
    <row r="78" spans="1:7">
      <c r="A78" s="1">
        <v>196</v>
      </c>
      <c r="B78" s="1" t="s">
        <v>4870</v>
      </c>
      <c r="D78" s="1" t="s">
        <v>184</v>
      </c>
      <c r="E78" s="1" t="s">
        <v>219</v>
      </c>
      <c r="F78" s="1" t="s">
        <v>4871</v>
      </c>
      <c r="G78" s="1" t="s">
        <v>4872</v>
      </c>
    </row>
    <row r="79" spans="1:7">
      <c r="A79" s="1">
        <v>198</v>
      </c>
      <c r="B79" s="1" t="s">
        <v>4873</v>
      </c>
      <c r="D79" s="1" t="s">
        <v>255</v>
      </c>
      <c r="E79" s="1" t="s">
        <v>256</v>
      </c>
      <c r="F79" s="1" t="s">
        <v>4874</v>
      </c>
      <c r="G79" s="1" t="s">
        <v>4875</v>
      </c>
    </row>
    <row r="80" spans="1:7">
      <c r="A80" s="1">
        <v>199</v>
      </c>
      <c r="B80" s="1" t="s">
        <v>4876</v>
      </c>
      <c r="D80" s="1" t="s">
        <v>4877</v>
      </c>
      <c r="E80" s="1" t="s">
        <v>4878</v>
      </c>
      <c r="F80" s="1" t="s">
        <v>4879</v>
      </c>
      <c r="G80" s="1" t="s">
        <v>4880</v>
      </c>
    </row>
    <row r="81" spans="1:7">
      <c r="A81" s="1">
        <v>201</v>
      </c>
      <c r="B81" s="1" t="s">
        <v>4881</v>
      </c>
      <c r="D81" s="1" t="s">
        <v>4877</v>
      </c>
      <c r="E81" s="1" t="s">
        <v>4882</v>
      </c>
      <c r="F81" s="1" t="s">
        <v>4883</v>
      </c>
      <c r="G81" s="1" t="s">
        <v>4884</v>
      </c>
    </row>
    <row r="82" spans="1:7">
      <c r="A82" s="1">
        <v>203</v>
      </c>
      <c r="B82" s="1" t="s">
        <v>4885</v>
      </c>
      <c r="D82" s="1" t="s">
        <v>4886</v>
      </c>
      <c r="E82" s="1" t="s">
        <v>4887</v>
      </c>
      <c r="F82" s="1" t="s">
        <v>4879</v>
      </c>
      <c r="G82" s="1" t="s">
        <v>4880</v>
      </c>
    </row>
    <row r="83" spans="1:7">
      <c r="A83" s="1">
        <v>205</v>
      </c>
      <c r="B83" s="1" t="s">
        <v>4888</v>
      </c>
      <c r="D83" s="1" t="s">
        <v>4886</v>
      </c>
      <c r="E83" s="1" t="s">
        <v>4889</v>
      </c>
      <c r="F83" s="1" t="s">
        <v>4883</v>
      </c>
      <c r="G83" s="1" t="s">
        <v>4884</v>
      </c>
    </row>
    <row r="84" spans="1:7">
      <c r="A84" s="1">
        <v>207</v>
      </c>
      <c r="B84" s="1" t="s">
        <v>4890</v>
      </c>
      <c r="D84" s="1" t="s">
        <v>260</v>
      </c>
      <c r="E84" s="1" t="s">
        <v>261</v>
      </c>
      <c r="F84" s="1" t="s">
        <v>4891</v>
      </c>
      <c r="G84" s="1" t="s">
        <v>4892</v>
      </c>
    </row>
    <row r="85" spans="1:7">
      <c r="A85" s="1">
        <v>208</v>
      </c>
      <c r="B85" s="1" t="s">
        <v>4893</v>
      </c>
      <c r="D85" s="1" t="s">
        <v>260</v>
      </c>
      <c r="E85" s="1" t="s">
        <v>265</v>
      </c>
      <c r="F85" s="1" t="s">
        <v>4894</v>
      </c>
      <c r="G85" s="1" t="s">
        <v>4895</v>
      </c>
    </row>
    <row r="86" spans="1:7">
      <c r="A86" s="1">
        <v>209</v>
      </c>
      <c r="B86" s="1" t="s">
        <v>4896</v>
      </c>
      <c r="D86" s="1" t="s">
        <v>260</v>
      </c>
      <c r="E86" s="1" t="s">
        <v>269</v>
      </c>
      <c r="F86" s="1" t="s">
        <v>4897</v>
      </c>
      <c r="G86" s="1" t="s">
        <v>4898</v>
      </c>
    </row>
    <row r="87" spans="1:7">
      <c r="A87" s="1">
        <v>210</v>
      </c>
      <c r="B87" s="1" t="s">
        <v>4899</v>
      </c>
      <c r="D87" s="1" t="s">
        <v>260</v>
      </c>
      <c r="E87" s="1" t="s">
        <v>273</v>
      </c>
      <c r="F87" s="1" t="s">
        <v>4900</v>
      </c>
      <c r="G87" s="1" t="s">
        <v>4901</v>
      </c>
    </row>
    <row r="88" spans="1:7">
      <c r="A88" s="1">
        <v>211</v>
      </c>
      <c r="B88" s="1" t="s">
        <v>4902</v>
      </c>
      <c r="D88" s="1" t="s">
        <v>260</v>
      </c>
      <c r="E88" s="1" t="s">
        <v>277</v>
      </c>
      <c r="F88" s="1" t="s">
        <v>4903</v>
      </c>
      <c r="G88" s="1" t="s">
        <v>4904</v>
      </c>
    </row>
    <row r="89" spans="1:7">
      <c r="A89" s="1">
        <v>212</v>
      </c>
      <c r="B89" s="1" t="s">
        <v>4905</v>
      </c>
      <c r="D89" s="1" t="s">
        <v>260</v>
      </c>
      <c r="E89" s="1" t="s">
        <v>281</v>
      </c>
      <c r="F89" s="1" t="s">
        <v>4906</v>
      </c>
      <c r="G89" s="1" t="s">
        <v>4907</v>
      </c>
    </row>
    <row r="90" spans="1:7">
      <c r="A90" s="1">
        <v>213</v>
      </c>
      <c r="B90" s="1" t="s">
        <v>4908</v>
      </c>
      <c r="D90" s="1" t="s">
        <v>260</v>
      </c>
      <c r="E90" s="1" t="s">
        <v>285</v>
      </c>
      <c r="F90" s="1" t="s">
        <v>4909</v>
      </c>
      <c r="G90" s="1" t="s">
        <v>4910</v>
      </c>
    </row>
    <row r="91" spans="1:7">
      <c r="A91" s="1">
        <v>215</v>
      </c>
      <c r="B91" s="1" t="s">
        <v>4911</v>
      </c>
      <c r="D91" s="1" t="s">
        <v>289</v>
      </c>
      <c r="E91" s="1" t="s">
        <v>292</v>
      </c>
      <c r="F91" s="1" t="s">
        <v>4912</v>
      </c>
      <c r="G91" s="1" t="s">
        <v>4913</v>
      </c>
    </row>
    <row r="92" spans="1:7">
      <c r="A92" s="1">
        <v>216</v>
      </c>
      <c r="B92" s="1" t="s">
        <v>4914</v>
      </c>
      <c r="D92" s="1" t="s">
        <v>289</v>
      </c>
      <c r="E92" s="1" t="s">
        <v>290</v>
      </c>
      <c r="F92" s="1" t="s">
        <v>4915</v>
      </c>
      <c r="G92" s="1" t="s">
        <v>4916</v>
      </c>
    </row>
    <row r="93" spans="1:7">
      <c r="A93" s="1">
        <v>219</v>
      </c>
      <c r="B93" s="1" t="s">
        <v>4917</v>
      </c>
      <c r="D93" s="1" t="s">
        <v>289</v>
      </c>
      <c r="E93" s="1" t="s">
        <v>308</v>
      </c>
      <c r="F93" s="1" t="s">
        <v>4918</v>
      </c>
      <c r="G93" s="1" t="s">
        <v>4919</v>
      </c>
    </row>
    <row r="94" spans="1:7">
      <c r="A94" s="1">
        <v>220</v>
      </c>
      <c r="B94" s="1" t="s">
        <v>4920</v>
      </c>
      <c r="D94" s="1" t="s">
        <v>289</v>
      </c>
      <c r="E94" s="1" t="s">
        <v>312</v>
      </c>
      <c r="F94" s="1" t="s">
        <v>4921</v>
      </c>
      <c r="G94" s="1" t="s">
        <v>4922</v>
      </c>
    </row>
    <row r="95" spans="1:7">
      <c r="A95" s="1">
        <v>221</v>
      </c>
      <c r="B95" s="1" t="s">
        <v>4923</v>
      </c>
      <c r="D95" s="1" t="s">
        <v>289</v>
      </c>
      <c r="E95" s="1" t="s">
        <v>316</v>
      </c>
      <c r="F95" s="1" t="s">
        <v>4924</v>
      </c>
      <c r="G95" s="1" t="s">
        <v>4925</v>
      </c>
    </row>
    <row r="96" spans="1:7">
      <c r="A96" s="1">
        <v>222</v>
      </c>
      <c r="B96" s="1" t="s">
        <v>4926</v>
      </c>
      <c r="D96" s="1" t="s">
        <v>289</v>
      </c>
      <c r="E96" s="1" t="s">
        <v>320</v>
      </c>
      <c r="F96" s="1" t="s">
        <v>4927</v>
      </c>
      <c r="G96" s="1" t="s">
        <v>4928</v>
      </c>
    </row>
    <row r="97" spans="1:7">
      <c r="A97" s="1">
        <v>225</v>
      </c>
      <c r="B97" s="1" t="s">
        <v>4929</v>
      </c>
      <c r="D97" s="1" t="s">
        <v>289</v>
      </c>
      <c r="E97" s="1" t="s">
        <v>324</v>
      </c>
      <c r="F97" s="1" t="s">
        <v>4930</v>
      </c>
      <c r="G97" s="1" t="s">
        <v>4931</v>
      </c>
    </row>
    <row r="98" spans="1:7">
      <c r="A98" s="1">
        <v>226</v>
      </c>
      <c r="B98" s="1" t="s">
        <v>4932</v>
      </c>
      <c r="D98" s="1" t="s">
        <v>289</v>
      </c>
      <c r="E98" s="1" t="s">
        <v>328</v>
      </c>
      <c r="F98" s="1" t="s">
        <v>4933</v>
      </c>
      <c r="G98" s="1" t="s">
        <v>4934</v>
      </c>
    </row>
    <row r="99" spans="1:7">
      <c r="A99" s="1">
        <v>227</v>
      </c>
      <c r="B99" s="1" t="s">
        <v>4935</v>
      </c>
      <c r="D99" s="1" t="s">
        <v>289</v>
      </c>
      <c r="E99" s="1" t="s">
        <v>332</v>
      </c>
      <c r="F99" s="1" t="s">
        <v>4936</v>
      </c>
      <c r="G99" s="1" t="s">
        <v>4937</v>
      </c>
    </row>
    <row r="100" spans="1:7">
      <c r="A100" s="1">
        <v>228</v>
      </c>
      <c r="B100" s="1" t="s">
        <v>4938</v>
      </c>
      <c r="D100" s="1" t="s">
        <v>289</v>
      </c>
      <c r="E100" s="1" t="s">
        <v>336</v>
      </c>
      <c r="F100" s="1" t="s">
        <v>4939</v>
      </c>
      <c r="G100" s="1" t="s">
        <v>4940</v>
      </c>
    </row>
    <row r="101" spans="1:7">
      <c r="A101" s="1">
        <v>229</v>
      </c>
      <c r="B101" s="1" t="s">
        <v>4941</v>
      </c>
      <c r="D101" s="1" t="s">
        <v>289</v>
      </c>
      <c r="E101" s="1" t="s">
        <v>340</v>
      </c>
      <c r="F101" s="1" t="s">
        <v>4942</v>
      </c>
      <c r="G101" s="1" t="s">
        <v>4943</v>
      </c>
    </row>
    <row r="102" spans="1:7">
      <c r="A102" s="1">
        <v>230</v>
      </c>
      <c r="B102" s="1" t="s">
        <v>4944</v>
      </c>
      <c r="D102" s="1" t="s">
        <v>289</v>
      </c>
      <c r="E102" s="1" t="s">
        <v>344</v>
      </c>
      <c r="F102" s="1" t="s">
        <v>4945</v>
      </c>
      <c r="G102" s="1" t="s">
        <v>4946</v>
      </c>
    </row>
    <row r="103" spans="1:7">
      <c r="A103" s="1">
        <v>231</v>
      </c>
      <c r="B103" s="1" t="s">
        <v>4947</v>
      </c>
      <c r="D103" s="1" t="s">
        <v>289</v>
      </c>
      <c r="E103" s="1" t="s">
        <v>348</v>
      </c>
      <c r="F103" s="1" t="s">
        <v>4948</v>
      </c>
      <c r="G103" s="1" t="s">
        <v>4949</v>
      </c>
    </row>
    <row r="104" spans="1:7">
      <c r="A104" s="1">
        <v>232</v>
      </c>
      <c r="B104" s="1" t="s">
        <v>4950</v>
      </c>
      <c r="D104" s="1" t="s">
        <v>289</v>
      </c>
      <c r="E104" s="1" t="s">
        <v>352</v>
      </c>
      <c r="F104" s="1" t="s">
        <v>4951</v>
      </c>
      <c r="G104" s="1" t="s">
        <v>4952</v>
      </c>
    </row>
    <row r="105" spans="1:7">
      <c r="A105" s="1">
        <v>233</v>
      </c>
      <c r="B105" s="1" t="s">
        <v>4953</v>
      </c>
      <c r="D105" s="1" t="s">
        <v>289</v>
      </c>
      <c r="E105" s="1" t="s">
        <v>294</v>
      </c>
      <c r="F105" s="1" t="s">
        <v>4954</v>
      </c>
      <c r="G105" s="1" t="s">
        <v>4955</v>
      </c>
    </row>
    <row r="106" spans="1:7">
      <c r="A106" s="1">
        <v>234</v>
      </c>
      <c r="B106" s="1" t="s">
        <v>4956</v>
      </c>
      <c r="D106" s="1" t="s">
        <v>289</v>
      </c>
      <c r="E106" s="1" t="s">
        <v>296</v>
      </c>
      <c r="F106" s="1" t="s">
        <v>4957</v>
      </c>
      <c r="G106" s="1" t="s">
        <v>4958</v>
      </c>
    </row>
    <row r="107" spans="1:7">
      <c r="A107" s="1">
        <v>235</v>
      </c>
      <c r="B107" s="1" t="s">
        <v>4959</v>
      </c>
      <c r="D107" s="1" t="s">
        <v>289</v>
      </c>
      <c r="E107" s="1" t="s">
        <v>300</v>
      </c>
      <c r="F107" s="1" t="s">
        <v>4960</v>
      </c>
      <c r="G107" s="1" t="s">
        <v>4961</v>
      </c>
    </row>
    <row r="108" spans="1:7">
      <c r="A108" s="1">
        <v>236</v>
      </c>
      <c r="B108" s="1" t="s">
        <v>4962</v>
      </c>
      <c r="D108" s="1" t="s">
        <v>289</v>
      </c>
      <c r="E108" s="1" t="s">
        <v>304</v>
      </c>
      <c r="F108" s="1" t="s">
        <v>4963</v>
      </c>
      <c r="G108" s="1" t="s">
        <v>4964</v>
      </c>
    </row>
    <row r="109" spans="1:7">
      <c r="A109" s="1">
        <v>237</v>
      </c>
      <c r="B109" s="1" t="s">
        <v>4965</v>
      </c>
      <c r="D109" s="1" t="s">
        <v>356</v>
      </c>
      <c r="E109" s="1" t="s">
        <v>361</v>
      </c>
      <c r="F109" s="1" t="s">
        <v>4966</v>
      </c>
      <c r="G109" s="1" t="s">
        <v>4967</v>
      </c>
    </row>
    <row r="110" spans="1:7">
      <c r="A110" s="1">
        <v>239</v>
      </c>
      <c r="B110" s="1" t="s">
        <v>4968</v>
      </c>
      <c r="D110" s="1" t="s">
        <v>356</v>
      </c>
      <c r="E110" s="1" t="s">
        <v>365</v>
      </c>
      <c r="F110" s="1" t="s">
        <v>4969</v>
      </c>
      <c r="G110" s="1" t="s">
        <v>4970</v>
      </c>
    </row>
    <row r="111" spans="1:7">
      <c r="A111" s="1">
        <v>241</v>
      </c>
      <c r="B111" s="1" t="s">
        <v>4971</v>
      </c>
      <c r="D111" s="1" t="s">
        <v>356</v>
      </c>
      <c r="E111" s="1" t="s">
        <v>357</v>
      </c>
      <c r="F111" s="1" t="s">
        <v>4972</v>
      </c>
      <c r="G111" s="1" t="s">
        <v>4973</v>
      </c>
    </row>
    <row r="112" spans="1:7">
      <c r="A112" s="1">
        <v>242</v>
      </c>
      <c r="B112" s="1" t="s">
        <v>4974</v>
      </c>
      <c r="D112" s="1" t="s">
        <v>356</v>
      </c>
      <c r="E112" s="1" t="s">
        <v>369</v>
      </c>
      <c r="F112" s="1" t="s">
        <v>4975</v>
      </c>
      <c r="G112" s="1" t="s">
        <v>4976</v>
      </c>
    </row>
    <row r="113" spans="1:7">
      <c r="A113" s="1">
        <v>244</v>
      </c>
      <c r="B113" s="1" t="s">
        <v>4977</v>
      </c>
      <c r="D113" s="1" t="s">
        <v>4978</v>
      </c>
      <c r="E113" s="1" t="s">
        <v>4979</v>
      </c>
      <c r="F113" s="1" t="s">
        <v>4980</v>
      </c>
      <c r="G113" s="1" t="s">
        <v>4981</v>
      </c>
    </row>
    <row r="114" spans="1:7">
      <c r="A114" s="1">
        <v>245</v>
      </c>
      <c r="B114" s="1" t="s">
        <v>4982</v>
      </c>
      <c r="D114" s="1" t="s">
        <v>4978</v>
      </c>
      <c r="E114" s="1" t="s">
        <v>4983</v>
      </c>
      <c r="F114" s="1" t="s">
        <v>4984</v>
      </c>
      <c r="G114" s="1" t="s">
        <v>4985</v>
      </c>
    </row>
    <row r="115" spans="1:7">
      <c r="A115" s="1">
        <v>246</v>
      </c>
      <c r="B115" s="1" t="s">
        <v>4986</v>
      </c>
      <c r="D115" s="1" t="s">
        <v>4978</v>
      </c>
      <c r="E115" s="1" t="s">
        <v>4987</v>
      </c>
      <c r="F115" s="1" t="s">
        <v>4988</v>
      </c>
      <c r="G115" s="1" t="s">
        <v>4989</v>
      </c>
    </row>
    <row r="116" spans="1:7">
      <c r="A116" s="1">
        <v>247</v>
      </c>
      <c r="B116" s="1" t="s">
        <v>4990</v>
      </c>
      <c r="D116" s="1" t="s">
        <v>4978</v>
      </c>
      <c r="E116" s="1" t="s">
        <v>4991</v>
      </c>
      <c r="F116" s="1" t="s">
        <v>4992</v>
      </c>
      <c r="G116" s="1" t="s">
        <v>4993</v>
      </c>
    </row>
    <row r="117" spans="1:7">
      <c r="A117" s="1">
        <v>248</v>
      </c>
      <c r="B117" s="1" t="s">
        <v>4994</v>
      </c>
      <c r="D117" s="1" t="s">
        <v>4978</v>
      </c>
      <c r="E117" s="1" t="s">
        <v>4995</v>
      </c>
      <c r="F117" s="1" t="s">
        <v>4996</v>
      </c>
      <c r="G117" s="1" t="s">
        <v>4997</v>
      </c>
    </row>
    <row r="118" spans="1:7">
      <c r="A118" s="1">
        <v>249</v>
      </c>
      <c r="B118" s="1" t="s">
        <v>4998</v>
      </c>
      <c r="D118" s="1" t="s">
        <v>373</v>
      </c>
      <c r="E118" s="1" t="s">
        <v>4999</v>
      </c>
      <c r="F118" s="1" t="s">
        <v>375</v>
      </c>
      <c r="G118" s="1" t="s">
        <v>376</v>
      </c>
    </row>
    <row r="119" spans="1:7">
      <c r="A119" s="1">
        <v>250</v>
      </c>
      <c r="B119" s="1" t="s">
        <v>5000</v>
      </c>
      <c r="D119" s="1" t="s">
        <v>373</v>
      </c>
      <c r="E119" s="1" t="s">
        <v>5001</v>
      </c>
      <c r="F119" s="1" t="s">
        <v>379</v>
      </c>
      <c r="G119" s="1" t="s">
        <v>380</v>
      </c>
    </row>
    <row r="120" spans="1:7">
      <c r="A120" s="1">
        <v>251</v>
      </c>
      <c r="B120" s="1" t="s">
        <v>5002</v>
      </c>
      <c r="D120" s="1" t="s">
        <v>373</v>
      </c>
      <c r="E120" s="1" t="s">
        <v>4046</v>
      </c>
      <c r="F120" s="1" t="s">
        <v>383</v>
      </c>
      <c r="G120" s="1" t="s">
        <v>384</v>
      </c>
    </row>
    <row r="121" spans="1:7">
      <c r="A121" s="1">
        <v>252</v>
      </c>
      <c r="B121" s="1" t="s">
        <v>5003</v>
      </c>
      <c r="D121" s="1" t="s">
        <v>386</v>
      </c>
      <c r="E121" s="1" t="s">
        <v>389</v>
      </c>
      <c r="F121" s="1" t="s">
        <v>5004</v>
      </c>
      <c r="G121" s="1" t="s">
        <v>5005</v>
      </c>
    </row>
    <row r="122" spans="1:7">
      <c r="A122" s="1">
        <v>253</v>
      </c>
      <c r="B122" s="1" t="s">
        <v>5006</v>
      </c>
      <c r="D122" s="1" t="s">
        <v>386</v>
      </c>
      <c r="E122" s="1" t="s">
        <v>387</v>
      </c>
      <c r="F122" s="1" t="s">
        <v>5007</v>
      </c>
      <c r="G122" s="1" t="s">
        <v>5008</v>
      </c>
    </row>
    <row r="123" spans="1:7">
      <c r="A123" s="1">
        <v>260</v>
      </c>
      <c r="B123" s="1" t="s">
        <v>5009</v>
      </c>
      <c r="D123" s="1" t="s">
        <v>386</v>
      </c>
      <c r="E123" s="1" t="s">
        <v>391</v>
      </c>
      <c r="F123" s="1" t="s">
        <v>5010</v>
      </c>
      <c r="G123" s="1" t="s">
        <v>5011</v>
      </c>
    </row>
    <row r="124" spans="1:7">
      <c r="A124" s="1">
        <v>261</v>
      </c>
      <c r="B124" s="1" t="s">
        <v>5012</v>
      </c>
      <c r="D124" s="1" t="s">
        <v>386</v>
      </c>
      <c r="E124" s="1" t="s">
        <v>395</v>
      </c>
      <c r="F124" s="1" t="s">
        <v>5013</v>
      </c>
      <c r="G124" s="1" t="s">
        <v>5014</v>
      </c>
    </row>
    <row r="125" spans="1:7">
      <c r="A125" s="1">
        <v>262</v>
      </c>
      <c r="B125" s="1" t="s">
        <v>5015</v>
      </c>
      <c r="D125" s="1" t="s">
        <v>386</v>
      </c>
      <c r="E125" s="1" t="s">
        <v>399</v>
      </c>
      <c r="F125" s="1" t="s">
        <v>5016</v>
      </c>
      <c r="G125" s="1" t="s">
        <v>5017</v>
      </c>
    </row>
    <row r="126" spans="1:7">
      <c r="A126" s="1">
        <v>263</v>
      </c>
      <c r="B126" s="1" t="s">
        <v>5018</v>
      </c>
      <c r="D126" s="1" t="s">
        <v>403</v>
      </c>
      <c r="E126" s="1" t="s">
        <v>418</v>
      </c>
      <c r="F126" s="1" t="s">
        <v>5019</v>
      </c>
      <c r="G126" s="1" t="s">
        <v>5020</v>
      </c>
    </row>
    <row r="127" spans="1:7">
      <c r="A127" s="1">
        <v>264</v>
      </c>
      <c r="B127" s="1" t="s">
        <v>5021</v>
      </c>
      <c r="D127" s="1" t="s">
        <v>403</v>
      </c>
      <c r="E127" s="1" t="s">
        <v>416</v>
      </c>
      <c r="F127" s="1" t="s">
        <v>5022</v>
      </c>
      <c r="G127" s="1" t="s">
        <v>5023</v>
      </c>
    </row>
    <row r="128" spans="1:7">
      <c r="A128" s="1">
        <v>271</v>
      </c>
      <c r="B128" s="1" t="s">
        <v>5024</v>
      </c>
      <c r="D128" s="1" t="s">
        <v>403</v>
      </c>
      <c r="E128" s="1" t="s">
        <v>420</v>
      </c>
      <c r="F128" s="1" t="s">
        <v>5025</v>
      </c>
      <c r="G128" s="1" t="s">
        <v>5026</v>
      </c>
    </row>
    <row r="129" spans="1:7">
      <c r="A129" s="1">
        <v>272</v>
      </c>
      <c r="B129" s="1" t="s">
        <v>5027</v>
      </c>
      <c r="D129" s="1" t="s">
        <v>403</v>
      </c>
      <c r="E129" s="1" t="s">
        <v>424</v>
      </c>
      <c r="F129" s="1" t="s">
        <v>5028</v>
      </c>
      <c r="G129" s="1" t="s">
        <v>5029</v>
      </c>
    </row>
    <row r="130" spans="1:7">
      <c r="A130" s="1">
        <v>273</v>
      </c>
      <c r="B130" s="1" t="s">
        <v>5030</v>
      </c>
      <c r="D130" s="1" t="s">
        <v>403</v>
      </c>
      <c r="E130" s="1" t="s">
        <v>428</v>
      </c>
      <c r="F130" s="1" t="s">
        <v>5031</v>
      </c>
      <c r="G130" s="1" t="s">
        <v>5032</v>
      </c>
    </row>
    <row r="131" spans="1:7">
      <c r="A131" s="1">
        <v>274</v>
      </c>
      <c r="B131" s="1" t="s">
        <v>5033</v>
      </c>
      <c r="D131" s="1" t="s">
        <v>403</v>
      </c>
      <c r="E131" s="1" t="s">
        <v>404</v>
      </c>
      <c r="F131" s="1" t="s">
        <v>5034</v>
      </c>
      <c r="G131" s="1" t="s">
        <v>5035</v>
      </c>
    </row>
    <row r="132" spans="1:7">
      <c r="A132" s="1">
        <v>275</v>
      </c>
      <c r="B132" s="1" t="s">
        <v>5036</v>
      </c>
      <c r="D132" s="1" t="s">
        <v>403</v>
      </c>
      <c r="E132" s="1" t="s">
        <v>408</v>
      </c>
      <c r="F132" s="1" t="s">
        <v>5037</v>
      </c>
      <c r="G132" s="1" t="s">
        <v>5038</v>
      </c>
    </row>
    <row r="133" spans="1:7">
      <c r="A133" s="1">
        <v>276</v>
      </c>
      <c r="B133" s="1" t="s">
        <v>5039</v>
      </c>
      <c r="D133" s="1" t="s">
        <v>403</v>
      </c>
      <c r="E133" s="1" t="s">
        <v>412</v>
      </c>
      <c r="F133" s="1" t="s">
        <v>5040</v>
      </c>
      <c r="G133" s="1" t="s">
        <v>5041</v>
      </c>
    </row>
    <row r="134" spans="1:7">
      <c r="A134" s="1">
        <v>277</v>
      </c>
      <c r="B134" s="1" t="s">
        <v>5042</v>
      </c>
      <c r="D134" s="1" t="s">
        <v>432</v>
      </c>
      <c r="E134" s="1" t="s">
        <v>435</v>
      </c>
      <c r="F134" s="1" t="s">
        <v>5043</v>
      </c>
      <c r="G134" s="1" t="s">
        <v>5044</v>
      </c>
    </row>
    <row r="135" spans="1:7">
      <c r="A135" s="1">
        <v>278</v>
      </c>
      <c r="B135" s="1" t="s">
        <v>5045</v>
      </c>
      <c r="D135" s="1" t="s">
        <v>432</v>
      </c>
      <c r="E135" s="1" t="s">
        <v>433</v>
      </c>
      <c r="F135" s="1" t="s">
        <v>5046</v>
      </c>
      <c r="G135" s="1" t="s">
        <v>5047</v>
      </c>
    </row>
    <row r="136" spans="1:7">
      <c r="A136" s="1">
        <v>285</v>
      </c>
      <c r="B136" s="1" t="s">
        <v>5048</v>
      </c>
      <c r="D136" s="1" t="s">
        <v>432</v>
      </c>
      <c r="E136" s="1" t="s">
        <v>441</v>
      </c>
      <c r="F136" s="1" t="s">
        <v>5049</v>
      </c>
      <c r="G136" s="1" t="s">
        <v>5050</v>
      </c>
    </row>
    <row r="137" spans="1:7">
      <c r="A137" s="1">
        <v>286</v>
      </c>
      <c r="B137" s="1" t="s">
        <v>5051</v>
      </c>
      <c r="D137" s="1" t="s">
        <v>432</v>
      </c>
      <c r="E137" s="1" t="s">
        <v>443</v>
      </c>
      <c r="F137" s="1" t="s">
        <v>5052</v>
      </c>
      <c r="G137" s="1" t="s">
        <v>5053</v>
      </c>
    </row>
    <row r="138" spans="1:7">
      <c r="A138" s="1">
        <v>287</v>
      </c>
      <c r="B138" s="1" t="s">
        <v>5054</v>
      </c>
      <c r="D138" s="1" t="s">
        <v>432</v>
      </c>
      <c r="E138" s="1" t="s">
        <v>445</v>
      </c>
      <c r="F138" s="1" t="s">
        <v>5055</v>
      </c>
      <c r="G138" s="1" t="s">
        <v>5056</v>
      </c>
    </row>
    <row r="139" spans="1:7">
      <c r="A139" s="1">
        <v>288</v>
      </c>
      <c r="B139" s="1" t="s">
        <v>5057</v>
      </c>
      <c r="D139" s="1" t="s">
        <v>432</v>
      </c>
      <c r="E139" s="1" t="s">
        <v>437</v>
      </c>
      <c r="F139" s="1" t="s">
        <v>5058</v>
      </c>
      <c r="G139" s="1" t="s">
        <v>5059</v>
      </c>
    </row>
    <row r="140" spans="1:7">
      <c r="A140" s="1">
        <v>293</v>
      </c>
      <c r="B140" s="1" t="s">
        <v>5060</v>
      </c>
      <c r="D140" s="1" t="s">
        <v>447</v>
      </c>
      <c r="E140" s="1" t="s">
        <v>448</v>
      </c>
      <c r="F140" s="1" t="s">
        <v>5061</v>
      </c>
      <c r="G140" s="1" t="s">
        <v>5062</v>
      </c>
    </row>
    <row r="141" spans="1:7">
      <c r="A141" s="1">
        <v>294</v>
      </c>
      <c r="B141" s="1" t="s">
        <v>5063</v>
      </c>
      <c r="D141" s="1" t="s">
        <v>447</v>
      </c>
      <c r="E141" s="1" t="s">
        <v>452</v>
      </c>
      <c r="F141" s="1" t="s">
        <v>5064</v>
      </c>
      <c r="G141" s="1" t="s">
        <v>5065</v>
      </c>
    </row>
    <row r="142" spans="1:7">
      <c r="A142" s="1">
        <v>295</v>
      </c>
      <c r="B142" s="1" t="s">
        <v>5066</v>
      </c>
      <c r="D142" s="1" t="s">
        <v>447</v>
      </c>
      <c r="E142" s="1" t="s">
        <v>456</v>
      </c>
      <c r="F142" s="1" t="s">
        <v>5067</v>
      </c>
      <c r="G142" s="1" t="s">
        <v>5068</v>
      </c>
    </row>
    <row r="143" spans="1:7">
      <c r="A143" s="1">
        <v>296</v>
      </c>
      <c r="B143" s="1" t="s">
        <v>5069</v>
      </c>
      <c r="D143" s="1" t="s">
        <v>447</v>
      </c>
      <c r="E143" s="1" t="s">
        <v>460</v>
      </c>
      <c r="F143" s="1" t="s">
        <v>5070</v>
      </c>
      <c r="G143" s="1" t="s">
        <v>5071</v>
      </c>
    </row>
    <row r="144" spans="1:7">
      <c r="A144" s="1">
        <v>297</v>
      </c>
      <c r="B144" s="1" t="s">
        <v>5072</v>
      </c>
      <c r="D144" s="1" t="s">
        <v>447</v>
      </c>
      <c r="E144" s="1" t="s">
        <v>464</v>
      </c>
      <c r="F144" s="1" t="s">
        <v>5073</v>
      </c>
      <c r="G144" s="1" t="s">
        <v>5074</v>
      </c>
    </row>
    <row r="145" spans="1:7">
      <c r="A145" s="1">
        <v>298</v>
      </c>
      <c r="B145" s="1" t="s">
        <v>5075</v>
      </c>
      <c r="D145" s="1" t="s">
        <v>447</v>
      </c>
      <c r="E145" s="1" t="s">
        <v>468</v>
      </c>
      <c r="F145" s="1" t="s">
        <v>5076</v>
      </c>
      <c r="G145" s="1" t="s">
        <v>5077</v>
      </c>
    </row>
    <row r="146" spans="1:7">
      <c r="A146" s="1">
        <v>299</v>
      </c>
      <c r="B146" s="1" t="s">
        <v>5078</v>
      </c>
      <c r="D146" s="1" t="s">
        <v>472</v>
      </c>
      <c r="E146" s="1" t="s">
        <v>5079</v>
      </c>
      <c r="F146" s="1" t="s">
        <v>474</v>
      </c>
      <c r="G146" s="1" t="s">
        <v>475</v>
      </c>
    </row>
    <row r="147" spans="1:7">
      <c r="A147" s="1">
        <v>300</v>
      </c>
      <c r="B147" s="1" t="s">
        <v>5080</v>
      </c>
      <c r="D147" s="1" t="s">
        <v>472</v>
      </c>
      <c r="E147" s="1" t="s">
        <v>5081</v>
      </c>
      <c r="F147" s="1" t="s">
        <v>5082</v>
      </c>
      <c r="G147" s="1" t="s">
        <v>5083</v>
      </c>
    </row>
    <row r="148" spans="1:7">
      <c r="A148" s="1">
        <v>301</v>
      </c>
      <c r="B148" s="1" t="s">
        <v>5084</v>
      </c>
      <c r="D148" s="1" t="s">
        <v>472</v>
      </c>
      <c r="E148" s="1" t="s">
        <v>1148</v>
      </c>
      <c r="F148" s="1" t="s">
        <v>5085</v>
      </c>
      <c r="G148" s="1" t="s">
        <v>5086</v>
      </c>
    </row>
    <row r="149" spans="1:7">
      <c r="A149" s="1">
        <v>306</v>
      </c>
      <c r="B149" s="1" t="s">
        <v>5087</v>
      </c>
      <c r="D149" s="1" t="s">
        <v>472</v>
      </c>
      <c r="E149" s="1" t="s">
        <v>5088</v>
      </c>
      <c r="F149" s="1" t="s">
        <v>5089</v>
      </c>
      <c r="G149" s="1" t="s">
        <v>5090</v>
      </c>
    </row>
    <row r="150" spans="1:7">
      <c r="A150" s="1">
        <v>307</v>
      </c>
      <c r="B150" s="1" t="s">
        <v>5091</v>
      </c>
      <c r="D150" s="1" t="s">
        <v>472</v>
      </c>
      <c r="E150" s="1" t="s">
        <v>5092</v>
      </c>
      <c r="F150" s="1" t="s">
        <v>5093</v>
      </c>
      <c r="G150" s="1" t="s">
        <v>5094</v>
      </c>
    </row>
    <row r="151" spans="1:7">
      <c r="A151" s="1">
        <v>308</v>
      </c>
      <c r="B151" s="1" t="s">
        <v>5095</v>
      </c>
      <c r="D151" s="1" t="s">
        <v>472</v>
      </c>
      <c r="E151" s="1" t="s">
        <v>5096</v>
      </c>
      <c r="F151" s="1" t="s">
        <v>5097</v>
      </c>
      <c r="G151" s="1" t="s">
        <v>5098</v>
      </c>
    </row>
    <row r="152" spans="1:7">
      <c r="A152" s="1">
        <v>309</v>
      </c>
      <c r="B152" s="1" t="s">
        <v>5099</v>
      </c>
      <c r="D152" s="1" t="s">
        <v>472</v>
      </c>
      <c r="E152" s="1" t="s">
        <v>5100</v>
      </c>
      <c r="F152" s="1" t="s">
        <v>5101</v>
      </c>
      <c r="G152" s="1" t="s">
        <v>5102</v>
      </c>
    </row>
    <row r="153" spans="1:7">
      <c r="A153" s="1">
        <v>311</v>
      </c>
      <c r="B153" s="1" t="s">
        <v>5103</v>
      </c>
      <c r="D153" s="1" t="s">
        <v>472</v>
      </c>
      <c r="E153" s="1" t="s">
        <v>5104</v>
      </c>
      <c r="F153" s="1" t="s">
        <v>5105</v>
      </c>
      <c r="G153" s="1" t="s">
        <v>5106</v>
      </c>
    </row>
    <row r="154" spans="1:7">
      <c r="A154" s="1">
        <v>312</v>
      </c>
      <c r="B154" s="1" t="s">
        <v>5107</v>
      </c>
      <c r="D154" s="1" t="s">
        <v>472</v>
      </c>
      <c r="E154" s="1" t="s">
        <v>5108</v>
      </c>
      <c r="F154" s="1" t="s">
        <v>5109</v>
      </c>
      <c r="G154" s="1" t="s">
        <v>5110</v>
      </c>
    </row>
    <row r="155" spans="1:7">
      <c r="A155" s="1">
        <v>314</v>
      </c>
      <c r="B155" s="1" t="s">
        <v>5111</v>
      </c>
      <c r="D155" s="1" t="s">
        <v>509</v>
      </c>
      <c r="E155" s="1" t="s">
        <v>510</v>
      </c>
      <c r="F155" s="1" t="s">
        <v>511</v>
      </c>
      <c r="G155" s="1" t="s">
        <v>512</v>
      </c>
    </row>
    <row r="156" spans="1:7">
      <c r="A156" s="1">
        <v>315</v>
      </c>
      <c r="B156" s="1" t="s">
        <v>5112</v>
      </c>
      <c r="D156" s="1" t="s">
        <v>509</v>
      </c>
      <c r="E156" s="1" t="s">
        <v>518</v>
      </c>
      <c r="F156" s="1" t="s">
        <v>519</v>
      </c>
      <c r="G156" s="1" t="s">
        <v>520</v>
      </c>
    </row>
    <row r="157" spans="1:7">
      <c r="A157" s="1">
        <v>317</v>
      </c>
      <c r="B157" s="1" t="s">
        <v>5113</v>
      </c>
      <c r="D157" s="1" t="s">
        <v>509</v>
      </c>
      <c r="E157" s="1" t="s">
        <v>514</v>
      </c>
      <c r="F157" s="1" t="s">
        <v>515</v>
      </c>
      <c r="G157" s="1" t="s">
        <v>516</v>
      </c>
    </row>
    <row r="158" spans="1:7">
      <c r="A158" s="1">
        <v>319</v>
      </c>
      <c r="B158" s="1" t="s">
        <v>5114</v>
      </c>
      <c r="D158" s="1" t="s">
        <v>544</v>
      </c>
      <c r="E158" s="1" t="s">
        <v>555</v>
      </c>
      <c r="F158" s="1" t="s">
        <v>5115</v>
      </c>
      <c r="G158" s="1" t="s">
        <v>5116</v>
      </c>
    </row>
    <row r="159" spans="1:7">
      <c r="A159" s="1">
        <v>320</v>
      </c>
      <c r="B159" s="1" t="s">
        <v>5117</v>
      </c>
      <c r="D159" s="1" t="s">
        <v>544</v>
      </c>
      <c r="E159" s="1" t="s">
        <v>547</v>
      </c>
      <c r="F159" s="1" t="s">
        <v>5118</v>
      </c>
      <c r="G159" s="1" t="s">
        <v>5119</v>
      </c>
    </row>
    <row r="160" spans="1:7">
      <c r="A160" s="1">
        <v>321</v>
      </c>
      <c r="B160" s="1" t="s">
        <v>5120</v>
      </c>
      <c r="D160" s="1" t="s">
        <v>544</v>
      </c>
      <c r="E160" s="1" t="s">
        <v>559</v>
      </c>
      <c r="F160" s="1" t="s">
        <v>5121</v>
      </c>
      <c r="G160" s="1" t="s">
        <v>5122</v>
      </c>
    </row>
    <row r="161" spans="1:7">
      <c r="A161" s="1">
        <v>322</v>
      </c>
      <c r="B161" s="1" t="s">
        <v>5123</v>
      </c>
      <c r="D161" s="1" t="s">
        <v>544</v>
      </c>
      <c r="E161" s="1" t="s">
        <v>551</v>
      </c>
      <c r="F161" s="1" t="s">
        <v>5124</v>
      </c>
      <c r="G161" s="1" t="s">
        <v>5125</v>
      </c>
    </row>
    <row r="162" spans="1:7">
      <c r="A162" s="1">
        <v>331</v>
      </c>
      <c r="B162" s="1" t="s">
        <v>5126</v>
      </c>
      <c r="D162" s="1" t="s">
        <v>544</v>
      </c>
      <c r="E162" s="1" t="s">
        <v>568</v>
      </c>
      <c r="F162" s="1" t="s">
        <v>5127</v>
      </c>
      <c r="G162" s="1" t="s">
        <v>5128</v>
      </c>
    </row>
    <row r="163" spans="1:7">
      <c r="A163" s="1">
        <v>332</v>
      </c>
      <c r="B163" s="1" t="s">
        <v>5129</v>
      </c>
      <c r="D163" s="1" t="s">
        <v>544</v>
      </c>
      <c r="E163" s="1" t="s">
        <v>570</v>
      </c>
      <c r="F163" s="1" t="s">
        <v>5130</v>
      </c>
      <c r="G163" s="1" t="s">
        <v>5131</v>
      </c>
    </row>
    <row r="164" spans="1:7">
      <c r="A164" s="1">
        <v>333</v>
      </c>
      <c r="B164" s="1" t="s">
        <v>5132</v>
      </c>
      <c r="D164" s="1" t="s">
        <v>544</v>
      </c>
      <c r="E164" s="1" t="s">
        <v>572</v>
      </c>
      <c r="F164" s="1" t="s">
        <v>5133</v>
      </c>
      <c r="G164" s="1" t="s">
        <v>5134</v>
      </c>
    </row>
    <row r="165" spans="1:7">
      <c r="A165" s="1">
        <v>334</v>
      </c>
      <c r="B165" s="1" t="s">
        <v>5135</v>
      </c>
      <c r="D165" s="1" t="s">
        <v>544</v>
      </c>
      <c r="E165" s="1" t="s">
        <v>545</v>
      </c>
      <c r="F165" s="1" t="s">
        <v>5136</v>
      </c>
      <c r="G165" s="1" t="s">
        <v>5137</v>
      </c>
    </row>
    <row r="166" spans="1:7">
      <c r="A166" s="1">
        <v>335</v>
      </c>
      <c r="B166" s="1" t="s">
        <v>5138</v>
      </c>
      <c r="D166" s="1" t="s">
        <v>544</v>
      </c>
      <c r="E166" s="1" t="s">
        <v>563</v>
      </c>
      <c r="F166" s="1" t="s">
        <v>5139</v>
      </c>
      <c r="G166" s="1" t="s">
        <v>5140</v>
      </c>
    </row>
    <row r="167" spans="1:7">
      <c r="A167" s="1">
        <v>336</v>
      </c>
      <c r="B167" s="1" t="s">
        <v>5141</v>
      </c>
      <c r="D167" s="1" t="s">
        <v>544</v>
      </c>
      <c r="E167" s="1" t="s">
        <v>565</v>
      </c>
      <c r="F167" s="1" t="s">
        <v>5142</v>
      </c>
      <c r="G167" s="1" t="s">
        <v>5143</v>
      </c>
    </row>
    <row r="168" spans="1:7">
      <c r="A168" s="1">
        <v>338</v>
      </c>
      <c r="B168" s="1" t="s">
        <v>5144</v>
      </c>
      <c r="D168" s="1" t="s">
        <v>574</v>
      </c>
      <c r="E168" s="1" t="s">
        <v>581</v>
      </c>
      <c r="F168" s="1" t="s">
        <v>5145</v>
      </c>
      <c r="G168" s="1" t="s">
        <v>5146</v>
      </c>
    </row>
    <row r="169" spans="1:7">
      <c r="A169" s="1">
        <v>339</v>
      </c>
      <c r="B169" s="1" t="s">
        <v>5147</v>
      </c>
      <c r="D169" s="1" t="s">
        <v>574</v>
      </c>
      <c r="E169" s="1" t="s">
        <v>577</v>
      </c>
      <c r="F169" s="1" t="s">
        <v>5148</v>
      </c>
      <c r="G169" s="1" t="s">
        <v>5149</v>
      </c>
    </row>
    <row r="170" spans="1:7">
      <c r="A170" s="1">
        <v>340</v>
      </c>
      <c r="B170" s="1" t="s">
        <v>5150</v>
      </c>
      <c r="D170" s="1" t="s">
        <v>574</v>
      </c>
      <c r="E170" s="1" t="s">
        <v>583</v>
      </c>
      <c r="F170" s="1" t="s">
        <v>5151</v>
      </c>
      <c r="G170" s="1" t="s">
        <v>5152</v>
      </c>
    </row>
    <row r="171" spans="1:7">
      <c r="A171" s="1">
        <v>341</v>
      </c>
      <c r="B171" s="1" t="s">
        <v>5153</v>
      </c>
      <c r="D171" s="1" t="s">
        <v>574</v>
      </c>
      <c r="E171" s="1" t="s">
        <v>579</v>
      </c>
      <c r="F171" s="1" t="s">
        <v>5154</v>
      </c>
      <c r="G171" s="1" t="s">
        <v>5155</v>
      </c>
    </row>
    <row r="172" spans="1:7">
      <c r="A172" s="1">
        <v>350</v>
      </c>
      <c r="B172" s="1" t="s">
        <v>5156</v>
      </c>
      <c r="D172" s="1" t="s">
        <v>574</v>
      </c>
      <c r="E172" s="1" t="s">
        <v>589</v>
      </c>
      <c r="F172" s="1" t="s">
        <v>5157</v>
      </c>
      <c r="G172" s="1" t="s">
        <v>5158</v>
      </c>
    </row>
    <row r="173" spans="1:7">
      <c r="A173" s="1">
        <v>351</v>
      </c>
      <c r="B173" s="1" t="s">
        <v>5159</v>
      </c>
      <c r="D173" s="1" t="s">
        <v>574</v>
      </c>
      <c r="E173" s="1" t="s">
        <v>591</v>
      </c>
      <c r="F173" s="1" t="s">
        <v>5160</v>
      </c>
      <c r="G173" s="1" t="s">
        <v>5161</v>
      </c>
    </row>
    <row r="174" spans="1:7">
      <c r="A174" s="1">
        <v>352</v>
      </c>
      <c r="B174" s="1" t="s">
        <v>5162</v>
      </c>
      <c r="D174" s="1" t="s">
        <v>574</v>
      </c>
      <c r="E174" s="1" t="s">
        <v>593</v>
      </c>
      <c r="F174" s="1" t="s">
        <v>5163</v>
      </c>
      <c r="G174" s="1" t="s">
        <v>5164</v>
      </c>
    </row>
    <row r="175" spans="1:7">
      <c r="A175" s="1">
        <v>353</v>
      </c>
      <c r="B175" s="1" t="s">
        <v>5165</v>
      </c>
      <c r="D175" s="1" t="s">
        <v>574</v>
      </c>
      <c r="E175" s="1" t="s">
        <v>575</v>
      </c>
      <c r="F175" s="1" t="s">
        <v>5166</v>
      </c>
      <c r="G175" s="1" t="s">
        <v>5167</v>
      </c>
    </row>
    <row r="176" spans="1:7">
      <c r="A176" s="1">
        <v>354</v>
      </c>
      <c r="B176" s="1" t="s">
        <v>5168</v>
      </c>
      <c r="D176" s="1" t="s">
        <v>574</v>
      </c>
      <c r="E176" s="1" t="s">
        <v>585</v>
      </c>
      <c r="F176" s="1" t="s">
        <v>5169</v>
      </c>
      <c r="G176" s="1" t="s">
        <v>5170</v>
      </c>
    </row>
    <row r="177" spans="1:7">
      <c r="A177" s="1">
        <v>355</v>
      </c>
      <c r="B177" s="1" t="s">
        <v>5171</v>
      </c>
      <c r="D177" s="1" t="s">
        <v>574</v>
      </c>
      <c r="E177" s="1" t="s">
        <v>587</v>
      </c>
      <c r="F177" s="1" t="s">
        <v>5172</v>
      </c>
      <c r="G177" s="1" t="s">
        <v>5173</v>
      </c>
    </row>
    <row r="178" spans="1:7">
      <c r="A178" s="1">
        <v>357</v>
      </c>
      <c r="B178" s="1" t="s">
        <v>5174</v>
      </c>
      <c r="D178" s="1" t="s">
        <v>595</v>
      </c>
      <c r="E178" s="1" t="s">
        <v>602</v>
      </c>
      <c r="F178" s="1" t="s">
        <v>5175</v>
      </c>
      <c r="G178" s="1" t="s">
        <v>5176</v>
      </c>
    </row>
    <row r="179" spans="1:7">
      <c r="A179" s="1">
        <v>358</v>
      </c>
      <c r="B179" s="1" t="s">
        <v>5177</v>
      </c>
      <c r="D179" s="1" t="s">
        <v>595</v>
      </c>
      <c r="E179" s="1" t="s">
        <v>598</v>
      </c>
      <c r="F179" s="1" t="s">
        <v>5178</v>
      </c>
      <c r="G179" s="1" t="s">
        <v>5179</v>
      </c>
    </row>
    <row r="180" spans="1:7">
      <c r="A180" s="1">
        <v>359</v>
      </c>
      <c r="B180" s="1" t="s">
        <v>5180</v>
      </c>
      <c r="D180" s="1" t="s">
        <v>595</v>
      </c>
      <c r="E180" s="1" t="s">
        <v>604</v>
      </c>
      <c r="F180" s="1" t="s">
        <v>5181</v>
      </c>
      <c r="G180" s="1" t="s">
        <v>5182</v>
      </c>
    </row>
    <row r="181" spans="1:7">
      <c r="A181" s="1">
        <v>360</v>
      </c>
      <c r="B181" s="1" t="s">
        <v>5183</v>
      </c>
      <c r="D181" s="1" t="s">
        <v>595</v>
      </c>
      <c r="E181" s="1" t="s">
        <v>600</v>
      </c>
      <c r="F181" s="1" t="s">
        <v>5184</v>
      </c>
      <c r="G181" s="1" t="s">
        <v>5185</v>
      </c>
    </row>
    <row r="182" spans="1:7">
      <c r="A182" s="1">
        <v>369</v>
      </c>
      <c r="B182" s="1" t="s">
        <v>5186</v>
      </c>
      <c r="D182" s="1" t="s">
        <v>595</v>
      </c>
      <c r="E182" s="1" t="s">
        <v>610</v>
      </c>
      <c r="F182" s="1" t="s">
        <v>5187</v>
      </c>
      <c r="G182" s="1" t="s">
        <v>5188</v>
      </c>
    </row>
    <row r="183" spans="1:7">
      <c r="A183" s="1">
        <v>370</v>
      </c>
      <c r="B183" s="1" t="s">
        <v>5189</v>
      </c>
      <c r="D183" s="1" t="s">
        <v>595</v>
      </c>
      <c r="E183" s="1" t="s">
        <v>612</v>
      </c>
      <c r="F183" s="1" t="s">
        <v>5190</v>
      </c>
      <c r="G183" s="1" t="s">
        <v>5191</v>
      </c>
    </row>
    <row r="184" spans="1:7">
      <c r="A184" s="1">
        <v>371</v>
      </c>
      <c r="B184" s="1" t="s">
        <v>5192</v>
      </c>
      <c r="D184" s="1" t="s">
        <v>595</v>
      </c>
      <c r="E184" s="1" t="s">
        <v>614</v>
      </c>
      <c r="F184" s="1" t="s">
        <v>5193</v>
      </c>
      <c r="G184" s="1" t="s">
        <v>5194</v>
      </c>
    </row>
    <row r="185" spans="1:7">
      <c r="A185" s="1">
        <v>372</v>
      </c>
      <c r="B185" s="1" t="s">
        <v>5195</v>
      </c>
      <c r="D185" s="1" t="s">
        <v>595</v>
      </c>
      <c r="E185" s="1" t="s">
        <v>596</v>
      </c>
      <c r="F185" s="1" t="s">
        <v>5196</v>
      </c>
      <c r="G185" s="1" t="s">
        <v>5197</v>
      </c>
    </row>
    <row r="186" spans="1:7">
      <c r="A186" s="1">
        <v>373</v>
      </c>
      <c r="B186" s="1" t="s">
        <v>5198</v>
      </c>
      <c r="D186" s="1" t="s">
        <v>595</v>
      </c>
      <c r="E186" s="1" t="s">
        <v>606</v>
      </c>
      <c r="F186" s="1" t="s">
        <v>5199</v>
      </c>
      <c r="G186" s="1" t="s">
        <v>5200</v>
      </c>
    </row>
    <row r="187" spans="1:7">
      <c r="A187" s="1">
        <v>374</v>
      </c>
      <c r="B187" s="1" t="s">
        <v>5201</v>
      </c>
      <c r="D187" s="1" t="s">
        <v>595</v>
      </c>
      <c r="E187" s="1" t="s">
        <v>608</v>
      </c>
      <c r="F187" s="1" t="s">
        <v>5202</v>
      </c>
      <c r="G187" s="1" t="s">
        <v>5203</v>
      </c>
    </row>
    <row r="188" spans="1:7">
      <c r="A188" s="1">
        <v>376</v>
      </c>
      <c r="B188" s="1" t="s">
        <v>5204</v>
      </c>
      <c r="D188" s="1" t="s">
        <v>616</v>
      </c>
      <c r="E188" s="1" t="s">
        <v>623</v>
      </c>
      <c r="F188" s="1" t="s">
        <v>5205</v>
      </c>
      <c r="G188" s="1" t="s">
        <v>5206</v>
      </c>
    </row>
    <row r="189" spans="1:7">
      <c r="A189" s="1">
        <v>377</v>
      </c>
      <c r="B189" s="1" t="s">
        <v>5207</v>
      </c>
      <c r="D189" s="1" t="s">
        <v>616</v>
      </c>
      <c r="E189" s="1" t="s">
        <v>619</v>
      </c>
      <c r="F189" s="1" t="s">
        <v>5208</v>
      </c>
      <c r="G189" s="1" t="s">
        <v>5209</v>
      </c>
    </row>
    <row r="190" spans="1:7">
      <c r="A190" s="1">
        <v>378</v>
      </c>
      <c r="B190" s="1" t="s">
        <v>5210</v>
      </c>
      <c r="D190" s="1" t="s">
        <v>616</v>
      </c>
      <c r="E190" s="1" t="s">
        <v>625</v>
      </c>
      <c r="F190" s="1" t="s">
        <v>5211</v>
      </c>
      <c r="G190" s="1" t="s">
        <v>5212</v>
      </c>
    </row>
    <row r="191" spans="1:7">
      <c r="A191" s="1">
        <v>379</v>
      </c>
      <c r="B191" s="1" t="s">
        <v>5213</v>
      </c>
      <c r="D191" s="1" t="s">
        <v>616</v>
      </c>
      <c r="E191" s="1" t="s">
        <v>621</v>
      </c>
      <c r="F191" s="1" t="s">
        <v>5214</v>
      </c>
      <c r="G191" s="1" t="s">
        <v>5215</v>
      </c>
    </row>
    <row r="192" spans="1:7">
      <c r="A192" s="1">
        <v>388</v>
      </c>
      <c r="B192" s="1" t="s">
        <v>5216</v>
      </c>
      <c r="D192" s="1" t="s">
        <v>616</v>
      </c>
      <c r="E192" s="1" t="s">
        <v>631</v>
      </c>
      <c r="F192" s="1" t="s">
        <v>5217</v>
      </c>
      <c r="G192" s="1" t="s">
        <v>5218</v>
      </c>
    </row>
    <row r="193" spans="1:7">
      <c r="A193" s="1">
        <v>389</v>
      </c>
      <c r="B193" s="1" t="s">
        <v>5219</v>
      </c>
      <c r="D193" s="1" t="s">
        <v>616</v>
      </c>
      <c r="E193" s="1" t="s">
        <v>633</v>
      </c>
      <c r="F193" s="1" t="s">
        <v>5220</v>
      </c>
      <c r="G193" s="1" t="s">
        <v>5221</v>
      </c>
    </row>
    <row r="194" spans="1:7">
      <c r="A194" s="1">
        <v>390</v>
      </c>
      <c r="B194" s="1" t="s">
        <v>5222</v>
      </c>
      <c r="D194" s="1" t="s">
        <v>616</v>
      </c>
      <c r="E194" s="1" t="s">
        <v>635</v>
      </c>
      <c r="F194" s="1" t="s">
        <v>5223</v>
      </c>
      <c r="G194" s="1" t="s">
        <v>5224</v>
      </c>
    </row>
    <row r="195" spans="1:7">
      <c r="A195" s="1">
        <v>391</v>
      </c>
      <c r="B195" s="1" t="s">
        <v>5225</v>
      </c>
      <c r="D195" s="1" t="s">
        <v>616</v>
      </c>
      <c r="E195" s="1" t="s">
        <v>617</v>
      </c>
      <c r="F195" s="1" t="s">
        <v>5226</v>
      </c>
      <c r="G195" s="1" t="s">
        <v>5227</v>
      </c>
    </row>
    <row r="196" spans="1:7">
      <c r="A196" s="1">
        <v>392</v>
      </c>
      <c r="B196" s="1" t="s">
        <v>5228</v>
      </c>
      <c r="D196" s="1" t="s">
        <v>616</v>
      </c>
      <c r="E196" s="1" t="s">
        <v>627</v>
      </c>
      <c r="F196" s="1" t="s">
        <v>5229</v>
      </c>
      <c r="G196" s="1" t="s">
        <v>5230</v>
      </c>
    </row>
    <row r="197" spans="1:7">
      <c r="A197" s="1">
        <v>393</v>
      </c>
      <c r="B197" s="1" t="s">
        <v>5231</v>
      </c>
      <c r="D197" s="1" t="s">
        <v>616</v>
      </c>
      <c r="E197" s="1" t="s">
        <v>629</v>
      </c>
      <c r="F197" s="1" t="s">
        <v>5232</v>
      </c>
      <c r="G197" s="1" t="s">
        <v>5233</v>
      </c>
    </row>
    <row r="198" spans="1:7">
      <c r="A198" s="1">
        <v>395</v>
      </c>
      <c r="B198" s="1" t="s">
        <v>5234</v>
      </c>
      <c r="D198" s="1" t="s">
        <v>637</v>
      </c>
      <c r="E198" s="1" t="s">
        <v>644</v>
      </c>
      <c r="F198" s="1" t="s">
        <v>5235</v>
      </c>
      <c r="G198" s="1" t="s">
        <v>5236</v>
      </c>
    </row>
    <row r="199" spans="1:7">
      <c r="A199" s="1">
        <v>396</v>
      </c>
      <c r="B199" s="1" t="s">
        <v>5237</v>
      </c>
      <c r="D199" s="1" t="s">
        <v>637</v>
      </c>
      <c r="E199" s="1" t="s">
        <v>640</v>
      </c>
      <c r="F199" s="1" t="s">
        <v>5238</v>
      </c>
      <c r="G199" s="1" t="s">
        <v>5239</v>
      </c>
    </row>
    <row r="200" spans="1:7">
      <c r="A200" s="1">
        <v>397</v>
      </c>
      <c r="B200" s="1" t="s">
        <v>5240</v>
      </c>
      <c r="D200" s="1" t="s">
        <v>637</v>
      </c>
      <c r="E200" s="1" t="s">
        <v>646</v>
      </c>
      <c r="F200" s="1" t="s">
        <v>5241</v>
      </c>
      <c r="G200" s="1" t="s">
        <v>5242</v>
      </c>
    </row>
    <row r="201" spans="1:7">
      <c r="A201" s="1">
        <v>398</v>
      </c>
      <c r="B201" s="1" t="s">
        <v>5243</v>
      </c>
      <c r="D201" s="1" t="s">
        <v>637</v>
      </c>
      <c r="E201" s="1" t="s">
        <v>642</v>
      </c>
      <c r="F201" s="1" t="s">
        <v>5244</v>
      </c>
      <c r="G201" s="1" t="s">
        <v>5245</v>
      </c>
    </row>
    <row r="202" spans="1:7">
      <c r="A202" s="1">
        <v>407</v>
      </c>
      <c r="B202" s="1" t="s">
        <v>5246</v>
      </c>
      <c r="D202" s="1" t="s">
        <v>637</v>
      </c>
      <c r="E202" s="1" t="s">
        <v>652</v>
      </c>
      <c r="F202" s="1" t="s">
        <v>5247</v>
      </c>
      <c r="G202" s="1" t="s">
        <v>5248</v>
      </c>
    </row>
    <row r="203" spans="1:7">
      <c r="A203" s="1">
        <v>408</v>
      </c>
      <c r="B203" s="1" t="s">
        <v>5249</v>
      </c>
      <c r="D203" s="1" t="s">
        <v>637</v>
      </c>
      <c r="E203" s="1" t="s">
        <v>654</v>
      </c>
      <c r="F203" s="1" t="s">
        <v>5250</v>
      </c>
      <c r="G203" s="1" t="s">
        <v>5251</v>
      </c>
    </row>
    <row r="204" spans="1:7">
      <c r="A204" s="1">
        <v>409</v>
      </c>
      <c r="B204" s="1" t="s">
        <v>5252</v>
      </c>
      <c r="D204" s="1" t="s">
        <v>637</v>
      </c>
      <c r="E204" s="1" t="s">
        <v>656</v>
      </c>
      <c r="F204" s="1" t="s">
        <v>5253</v>
      </c>
      <c r="G204" s="1" t="s">
        <v>5254</v>
      </c>
    </row>
    <row r="205" spans="1:7">
      <c r="A205" s="1">
        <v>410</v>
      </c>
      <c r="B205" s="1" t="s">
        <v>5255</v>
      </c>
      <c r="D205" s="1" t="s">
        <v>637</v>
      </c>
      <c r="E205" s="1" t="s">
        <v>638</v>
      </c>
      <c r="F205" s="1" t="s">
        <v>5256</v>
      </c>
      <c r="G205" s="1" t="s">
        <v>5257</v>
      </c>
    </row>
    <row r="206" spans="1:7">
      <c r="A206" s="1">
        <v>411</v>
      </c>
      <c r="B206" s="1" t="s">
        <v>5258</v>
      </c>
      <c r="D206" s="1" t="s">
        <v>637</v>
      </c>
      <c r="E206" s="1" t="s">
        <v>648</v>
      </c>
      <c r="F206" s="1" t="s">
        <v>5259</v>
      </c>
      <c r="G206" s="1" t="s">
        <v>5260</v>
      </c>
    </row>
    <row r="207" spans="1:7">
      <c r="A207" s="1">
        <v>412</v>
      </c>
      <c r="B207" s="1" t="s">
        <v>5261</v>
      </c>
      <c r="D207" s="1" t="s">
        <v>637</v>
      </c>
      <c r="E207" s="1" t="s">
        <v>650</v>
      </c>
      <c r="F207" s="1" t="s">
        <v>5262</v>
      </c>
      <c r="G207" s="1" t="s">
        <v>5263</v>
      </c>
    </row>
    <row r="208" spans="1:7">
      <c r="A208" s="1">
        <v>414</v>
      </c>
      <c r="B208" s="1" t="s">
        <v>5264</v>
      </c>
      <c r="D208" s="1" t="s">
        <v>658</v>
      </c>
      <c r="E208" s="1" t="s">
        <v>663</v>
      </c>
      <c r="F208" s="1" t="s">
        <v>5265</v>
      </c>
      <c r="G208" s="1" t="s">
        <v>5266</v>
      </c>
    </row>
    <row r="209" spans="1:7">
      <c r="A209" s="1">
        <v>415</v>
      </c>
      <c r="B209" s="1" t="s">
        <v>5267</v>
      </c>
      <c r="D209" s="1" t="s">
        <v>658</v>
      </c>
      <c r="E209" s="1" t="s">
        <v>661</v>
      </c>
      <c r="F209" s="1" t="s">
        <v>5268</v>
      </c>
      <c r="G209" s="1" t="s">
        <v>5269</v>
      </c>
    </row>
    <row r="210" spans="1:7">
      <c r="A210" s="1">
        <v>422</v>
      </c>
      <c r="B210" s="1" t="s">
        <v>5270</v>
      </c>
      <c r="D210" s="1" t="s">
        <v>658</v>
      </c>
      <c r="E210" s="1" t="s">
        <v>669</v>
      </c>
      <c r="F210" s="1" t="s">
        <v>5271</v>
      </c>
      <c r="G210" s="1" t="s">
        <v>5272</v>
      </c>
    </row>
    <row r="211" spans="1:7">
      <c r="A211" s="1">
        <v>423</v>
      </c>
      <c r="B211" s="1" t="s">
        <v>5273</v>
      </c>
      <c r="D211" s="1" t="s">
        <v>658</v>
      </c>
      <c r="E211" s="1" t="s">
        <v>671</v>
      </c>
      <c r="F211" s="1" t="s">
        <v>5274</v>
      </c>
      <c r="G211" s="1" t="s">
        <v>5275</v>
      </c>
    </row>
    <row r="212" spans="1:7">
      <c r="A212" s="1">
        <v>424</v>
      </c>
      <c r="B212" s="1" t="s">
        <v>5276</v>
      </c>
      <c r="D212" s="1" t="s">
        <v>658</v>
      </c>
      <c r="E212" s="1" t="s">
        <v>673</v>
      </c>
      <c r="F212" s="1" t="s">
        <v>5277</v>
      </c>
      <c r="G212" s="1" t="s">
        <v>5278</v>
      </c>
    </row>
    <row r="213" spans="1:7">
      <c r="A213" s="1">
        <v>425</v>
      </c>
      <c r="B213" s="1" t="s">
        <v>5279</v>
      </c>
      <c r="D213" s="1" t="s">
        <v>658</v>
      </c>
      <c r="E213" s="1" t="s">
        <v>659</v>
      </c>
      <c r="F213" s="1" t="s">
        <v>5280</v>
      </c>
      <c r="G213" s="1" t="s">
        <v>5281</v>
      </c>
    </row>
    <row r="214" spans="1:7">
      <c r="A214" s="1">
        <v>426</v>
      </c>
      <c r="B214" s="1" t="s">
        <v>5282</v>
      </c>
      <c r="D214" s="1" t="s">
        <v>658</v>
      </c>
      <c r="E214" s="1" t="s">
        <v>665</v>
      </c>
      <c r="F214" s="1" t="s">
        <v>5283</v>
      </c>
      <c r="G214" s="1" t="s">
        <v>5284</v>
      </c>
    </row>
    <row r="215" spans="1:7">
      <c r="A215" s="1">
        <v>427</v>
      </c>
      <c r="B215" s="1" t="s">
        <v>5285</v>
      </c>
      <c r="D215" s="1" t="s">
        <v>658</v>
      </c>
      <c r="E215" s="1" t="s">
        <v>667</v>
      </c>
      <c r="F215" s="1" t="s">
        <v>5286</v>
      </c>
      <c r="G215" s="1" t="s">
        <v>5287</v>
      </c>
    </row>
    <row r="216" spans="1:7">
      <c r="A216" s="1">
        <v>432</v>
      </c>
      <c r="B216" s="1" t="s">
        <v>5288</v>
      </c>
      <c r="D216" s="1" t="s">
        <v>675</v>
      </c>
      <c r="E216" s="1" t="s">
        <v>680</v>
      </c>
      <c r="F216" s="1" t="s">
        <v>5271</v>
      </c>
      <c r="G216" s="1" t="s">
        <v>5272</v>
      </c>
    </row>
    <row r="217" spans="1:7">
      <c r="A217" s="1">
        <v>433</v>
      </c>
      <c r="B217" s="1" t="s">
        <v>5289</v>
      </c>
      <c r="D217" s="1" t="s">
        <v>675</v>
      </c>
      <c r="E217" s="1" t="s">
        <v>682</v>
      </c>
      <c r="F217" s="1" t="s">
        <v>5274</v>
      </c>
      <c r="G217" s="1" t="s">
        <v>5275</v>
      </c>
    </row>
    <row r="218" spans="1:7">
      <c r="A218" s="1">
        <v>434</v>
      </c>
      <c r="B218" s="1" t="s">
        <v>5290</v>
      </c>
      <c r="D218" s="1" t="s">
        <v>675</v>
      </c>
      <c r="E218" s="1" t="s">
        <v>684</v>
      </c>
      <c r="F218" s="1" t="s">
        <v>5277</v>
      </c>
      <c r="G218" s="1" t="s">
        <v>5278</v>
      </c>
    </row>
    <row r="219" spans="1:7">
      <c r="A219" s="1">
        <v>435</v>
      </c>
      <c r="B219" s="1" t="s">
        <v>5291</v>
      </c>
      <c r="D219" s="1" t="s">
        <v>675</v>
      </c>
      <c r="E219" s="1" t="s">
        <v>676</v>
      </c>
      <c r="F219" s="1" t="s">
        <v>5283</v>
      </c>
      <c r="G219" s="1" t="s">
        <v>5284</v>
      </c>
    </row>
    <row r="220" spans="1:7">
      <c r="A220" s="1">
        <v>436</v>
      </c>
      <c r="B220" s="1" t="s">
        <v>5292</v>
      </c>
      <c r="D220" s="1" t="s">
        <v>675</v>
      </c>
      <c r="E220" s="1" t="s">
        <v>678</v>
      </c>
      <c r="F220" s="1" t="s">
        <v>5286</v>
      </c>
      <c r="G220" s="1" t="s">
        <v>5287</v>
      </c>
    </row>
    <row r="221" spans="1:7">
      <c r="A221" s="1">
        <v>437</v>
      </c>
      <c r="B221" s="1" t="s">
        <v>5293</v>
      </c>
      <c r="D221" s="1" t="s">
        <v>686</v>
      </c>
      <c r="E221" s="1" t="s">
        <v>689</v>
      </c>
      <c r="F221" s="1" t="s">
        <v>5265</v>
      </c>
      <c r="G221" s="1" t="s">
        <v>5266</v>
      </c>
    </row>
    <row r="222" spans="1:7">
      <c r="A222" s="1">
        <v>438</v>
      </c>
      <c r="B222" s="1" t="s">
        <v>5294</v>
      </c>
      <c r="D222" s="1" t="s">
        <v>686</v>
      </c>
      <c r="E222" s="1" t="s">
        <v>687</v>
      </c>
      <c r="F222" s="1" t="s">
        <v>5268</v>
      </c>
      <c r="G222" s="1" t="s">
        <v>5269</v>
      </c>
    </row>
    <row r="223" spans="1:7">
      <c r="A223" s="1">
        <v>445</v>
      </c>
      <c r="B223" s="1" t="s">
        <v>5295</v>
      </c>
      <c r="D223" s="1" t="s">
        <v>686</v>
      </c>
      <c r="E223" s="1" t="s">
        <v>697</v>
      </c>
      <c r="F223" s="1" t="s">
        <v>5271</v>
      </c>
      <c r="G223" s="1" t="s">
        <v>5272</v>
      </c>
    </row>
    <row r="224" spans="1:7">
      <c r="A224" s="1">
        <v>446</v>
      </c>
      <c r="B224" s="1" t="s">
        <v>5296</v>
      </c>
      <c r="D224" s="1" t="s">
        <v>686</v>
      </c>
      <c r="E224" s="1" t="s">
        <v>699</v>
      </c>
      <c r="F224" s="1" t="s">
        <v>5274</v>
      </c>
      <c r="G224" s="1" t="s">
        <v>5275</v>
      </c>
    </row>
    <row r="225" spans="1:7">
      <c r="A225" s="1">
        <v>447</v>
      </c>
      <c r="B225" s="1" t="s">
        <v>5297</v>
      </c>
      <c r="D225" s="1" t="s">
        <v>686</v>
      </c>
      <c r="E225" s="1" t="s">
        <v>701</v>
      </c>
      <c r="F225" s="1" t="s">
        <v>5277</v>
      </c>
      <c r="G225" s="1" t="s">
        <v>5278</v>
      </c>
    </row>
    <row r="226" spans="1:7">
      <c r="A226" s="1">
        <v>448</v>
      </c>
      <c r="B226" s="1" t="s">
        <v>5298</v>
      </c>
      <c r="D226" s="1" t="s">
        <v>686</v>
      </c>
      <c r="E226" s="1" t="s">
        <v>693</v>
      </c>
      <c r="F226" s="1" t="s">
        <v>5299</v>
      </c>
      <c r="G226" s="1" t="s">
        <v>5300</v>
      </c>
    </row>
    <row r="227" spans="1:7">
      <c r="A227" s="1">
        <v>449</v>
      </c>
      <c r="B227" s="1" t="s">
        <v>5301</v>
      </c>
      <c r="D227" s="1" t="s">
        <v>686</v>
      </c>
      <c r="E227" s="1" t="s">
        <v>691</v>
      </c>
      <c r="F227" s="1" t="s">
        <v>5283</v>
      </c>
      <c r="G227" s="1" t="s">
        <v>5284</v>
      </c>
    </row>
    <row r="228" spans="1:7">
      <c r="A228" s="1">
        <v>450</v>
      </c>
      <c r="B228" s="1" t="s">
        <v>5302</v>
      </c>
      <c r="D228" s="1" t="s">
        <v>686</v>
      </c>
      <c r="E228" s="1" t="s">
        <v>695</v>
      </c>
      <c r="F228" s="1" t="s">
        <v>5286</v>
      </c>
      <c r="G228" s="1" t="s">
        <v>5287</v>
      </c>
    </row>
    <row r="229" spans="1:7">
      <c r="A229" s="1">
        <v>454</v>
      </c>
      <c r="B229" s="1" t="s">
        <v>5303</v>
      </c>
      <c r="D229" s="1" t="s">
        <v>706</v>
      </c>
      <c r="E229" s="1" t="s">
        <v>5304</v>
      </c>
      <c r="F229" s="1" t="s">
        <v>5305</v>
      </c>
      <c r="G229" s="1" t="s">
        <v>5306</v>
      </c>
    </row>
    <row r="230" spans="1:7">
      <c r="A230" s="1">
        <v>456</v>
      </c>
      <c r="B230" s="1" t="s">
        <v>5307</v>
      </c>
      <c r="D230" s="1" t="s">
        <v>711</v>
      </c>
      <c r="E230" s="1" t="s">
        <v>5308</v>
      </c>
      <c r="F230" s="1" t="s">
        <v>5309</v>
      </c>
      <c r="G230" s="1" t="s">
        <v>5310</v>
      </c>
    </row>
    <row r="231" spans="1:7">
      <c r="A231" s="1">
        <v>457</v>
      </c>
      <c r="B231" s="1" t="s">
        <v>5311</v>
      </c>
      <c r="D231" s="1" t="s">
        <v>711</v>
      </c>
      <c r="E231" s="1" t="s">
        <v>5312</v>
      </c>
      <c r="F231" s="1" t="s">
        <v>5313</v>
      </c>
      <c r="G231" s="1" t="s">
        <v>5314</v>
      </c>
    </row>
    <row r="232" spans="1:7">
      <c r="A232" s="1">
        <v>458</v>
      </c>
      <c r="B232" s="1" t="s">
        <v>5315</v>
      </c>
      <c r="D232" s="1" t="s">
        <v>711</v>
      </c>
      <c r="E232" s="1" t="s">
        <v>3994</v>
      </c>
      <c r="F232" s="1" t="s">
        <v>5316</v>
      </c>
      <c r="G232" s="1" t="s">
        <v>5317</v>
      </c>
    </row>
    <row r="233" spans="1:7">
      <c r="A233" s="1">
        <v>459</v>
      </c>
      <c r="B233" s="1" t="s">
        <v>5318</v>
      </c>
      <c r="D233" s="1" t="s">
        <v>711</v>
      </c>
      <c r="E233" s="1" t="s">
        <v>5319</v>
      </c>
      <c r="F233" s="1" t="s">
        <v>5320</v>
      </c>
      <c r="G233" s="1" t="s">
        <v>5321</v>
      </c>
    </row>
    <row r="234" spans="1:7">
      <c r="A234" s="1">
        <v>470</v>
      </c>
      <c r="B234" s="1" t="s">
        <v>5322</v>
      </c>
      <c r="D234" s="1" t="s">
        <v>711</v>
      </c>
      <c r="E234" s="1" t="s">
        <v>4000</v>
      </c>
      <c r="F234" s="1" t="s">
        <v>5323</v>
      </c>
      <c r="G234" s="1" t="s">
        <v>5324</v>
      </c>
    </row>
    <row r="235" spans="1:7">
      <c r="A235" s="1">
        <v>471</v>
      </c>
      <c r="B235" s="1" t="s">
        <v>5325</v>
      </c>
      <c r="D235" s="1" t="s">
        <v>711</v>
      </c>
      <c r="E235" s="1" t="s">
        <v>4020</v>
      </c>
      <c r="F235" s="1" t="s">
        <v>5326</v>
      </c>
      <c r="G235" s="1" t="s">
        <v>5327</v>
      </c>
    </row>
    <row r="236" spans="1:7">
      <c r="A236" s="1">
        <v>472</v>
      </c>
      <c r="B236" s="1" t="s">
        <v>5328</v>
      </c>
      <c r="D236" s="1" t="s">
        <v>711</v>
      </c>
      <c r="E236" s="1" t="s">
        <v>4024</v>
      </c>
      <c r="F236" s="1" t="s">
        <v>5329</v>
      </c>
      <c r="G236" s="1" t="s">
        <v>5330</v>
      </c>
    </row>
    <row r="237" spans="1:7">
      <c r="A237" s="1">
        <v>473</v>
      </c>
      <c r="B237" s="1" t="s">
        <v>5331</v>
      </c>
      <c r="D237" s="1" t="s">
        <v>711</v>
      </c>
      <c r="E237" s="1" t="s">
        <v>5332</v>
      </c>
      <c r="F237" s="1" t="s">
        <v>5333</v>
      </c>
      <c r="G237" s="1" t="s">
        <v>5334</v>
      </c>
    </row>
    <row r="238" spans="1:7">
      <c r="A238" s="1">
        <v>474</v>
      </c>
      <c r="B238" s="1" t="s">
        <v>5335</v>
      </c>
      <c r="D238" s="1" t="s">
        <v>711</v>
      </c>
      <c r="E238" s="1" t="s">
        <v>5336</v>
      </c>
      <c r="F238" s="1" t="s">
        <v>5337</v>
      </c>
      <c r="G238" s="1" t="s">
        <v>5338</v>
      </c>
    </row>
    <row r="239" spans="1:7">
      <c r="A239" s="1">
        <v>475</v>
      </c>
      <c r="B239" s="1" t="s">
        <v>5339</v>
      </c>
      <c r="D239" s="1" t="s">
        <v>711</v>
      </c>
      <c r="E239" s="1" t="s">
        <v>5340</v>
      </c>
      <c r="F239" s="1" t="s">
        <v>5341</v>
      </c>
      <c r="G239" s="1" t="s">
        <v>5342</v>
      </c>
    </row>
    <row r="240" spans="1:7">
      <c r="A240" s="1">
        <v>476</v>
      </c>
      <c r="B240" s="1" t="s">
        <v>5343</v>
      </c>
      <c r="D240" s="1" t="s">
        <v>738</v>
      </c>
      <c r="E240" s="1" t="s">
        <v>5344</v>
      </c>
      <c r="F240" s="1" t="s">
        <v>5345</v>
      </c>
      <c r="G240" s="1" t="s">
        <v>5346</v>
      </c>
    </row>
    <row r="241" spans="1:7">
      <c r="A241" s="1">
        <v>477</v>
      </c>
      <c r="B241" s="1" t="s">
        <v>5347</v>
      </c>
      <c r="D241" s="1" t="s">
        <v>738</v>
      </c>
      <c r="E241" s="1" t="s">
        <v>5348</v>
      </c>
      <c r="F241" s="1" t="s">
        <v>5349</v>
      </c>
      <c r="G241" s="1" t="s">
        <v>5350</v>
      </c>
    </row>
    <row r="242" spans="1:7">
      <c r="A242" s="1">
        <v>478</v>
      </c>
      <c r="B242" s="1" t="s">
        <v>5351</v>
      </c>
      <c r="D242" s="1" t="s">
        <v>738</v>
      </c>
      <c r="E242" s="1" t="s">
        <v>5352</v>
      </c>
      <c r="F242" s="1" t="s">
        <v>5353</v>
      </c>
      <c r="G242" s="1" t="s">
        <v>5354</v>
      </c>
    </row>
    <row r="243" spans="1:7">
      <c r="A243" s="1">
        <v>479</v>
      </c>
      <c r="B243" s="1" t="s">
        <v>5355</v>
      </c>
      <c r="D243" s="1" t="s">
        <v>738</v>
      </c>
      <c r="E243" s="1" t="s">
        <v>5356</v>
      </c>
      <c r="F243" s="1" t="s">
        <v>5357</v>
      </c>
      <c r="G243" s="1" t="s">
        <v>5358</v>
      </c>
    </row>
    <row r="244" spans="1:7">
      <c r="A244" s="1">
        <v>482</v>
      </c>
      <c r="B244" s="1" t="s">
        <v>5359</v>
      </c>
      <c r="D244" s="1" t="s">
        <v>5360</v>
      </c>
      <c r="E244" s="1" t="s">
        <v>5361</v>
      </c>
      <c r="F244" s="1" t="s">
        <v>5362</v>
      </c>
      <c r="G244" s="1" t="s">
        <v>5363</v>
      </c>
    </row>
    <row r="245" spans="1:7">
      <c r="A245" s="1">
        <v>485</v>
      </c>
      <c r="B245" s="1" t="s">
        <v>5364</v>
      </c>
      <c r="D245" s="1" t="s">
        <v>5360</v>
      </c>
      <c r="E245" s="1" t="s">
        <v>5365</v>
      </c>
      <c r="F245" s="1" t="s">
        <v>5366</v>
      </c>
      <c r="G245" s="1" t="s">
        <v>5367</v>
      </c>
    </row>
    <row r="246" spans="1:7">
      <c r="A246" s="1">
        <v>486</v>
      </c>
      <c r="B246" s="1" t="s">
        <v>5368</v>
      </c>
      <c r="D246" s="1" t="s">
        <v>5360</v>
      </c>
      <c r="E246" s="1" t="s">
        <v>5369</v>
      </c>
      <c r="F246" s="1" t="s">
        <v>5370</v>
      </c>
      <c r="G246" s="1" t="s">
        <v>5371</v>
      </c>
    </row>
    <row r="247" spans="1:7">
      <c r="A247" s="1">
        <v>487</v>
      </c>
      <c r="B247" s="1" t="s">
        <v>5372</v>
      </c>
      <c r="D247" s="1" t="s">
        <v>5360</v>
      </c>
      <c r="E247" s="1" t="s">
        <v>5373</v>
      </c>
      <c r="F247" s="1" t="s">
        <v>5374</v>
      </c>
      <c r="G247" s="1" t="s">
        <v>5375</v>
      </c>
    </row>
    <row r="248" spans="1:7">
      <c r="A248" s="1">
        <v>489</v>
      </c>
      <c r="B248" s="1" t="s">
        <v>5376</v>
      </c>
      <c r="D248" s="1" t="s">
        <v>5360</v>
      </c>
      <c r="E248" s="1" t="s">
        <v>5377</v>
      </c>
      <c r="F248" s="1" t="s">
        <v>5378</v>
      </c>
      <c r="G248" s="1" t="s">
        <v>5379</v>
      </c>
    </row>
    <row r="249" spans="1:7">
      <c r="A249" s="1">
        <v>490</v>
      </c>
      <c r="B249" s="1" t="s">
        <v>5380</v>
      </c>
      <c r="D249" s="1" t="s">
        <v>5360</v>
      </c>
      <c r="E249" s="1" t="s">
        <v>5381</v>
      </c>
      <c r="F249" s="1" t="s">
        <v>5382</v>
      </c>
      <c r="G249" s="1" t="s">
        <v>5383</v>
      </c>
    </row>
    <row r="250" spans="1:7">
      <c r="A250" s="1">
        <v>491</v>
      </c>
      <c r="B250" s="1" t="s">
        <v>5384</v>
      </c>
      <c r="D250" s="1" t="s">
        <v>5360</v>
      </c>
      <c r="E250" s="1" t="s">
        <v>5385</v>
      </c>
      <c r="F250" s="1" t="s">
        <v>5386</v>
      </c>
      <c r="G250" s="1" t="s">
        <v>5387</v>
      </c>
    </row>
    <row r="251" spans="1:7">
      <c r="A251" s="1">
        <v>497</v>
      </c>
      <c r="B251" s="1" t="s">
        <v>5388</v>
      </c>
      <c r="D251" s="1" t="s">
        <v>755</v>
      </c>
      <c r="E251" s="1" t="s">
        <v>760</v>
      </c>
      <c r="F251" s="1" t="s">
        <v>5389</v>
      </c>
      <c r="G251" s="1" t="s">
        <v>5390</v>
      </c>
    </row>
    <row r="252" spans="1:7">
      <c r="A252" s="1">
        <v>500</v>
      </c>
      <c r="B252" s="1" t="s">
        <v>5391</v>
      </c>
      <c r="D252" s="1" t="s">
        <v>755</v>
      </c>
      <c r="E252" s="1" t="s">
        <v>804</v>
      </c>
      <c r="F252" s="1" t="s">
        <v>5392</v>
      </c>
      <c r="G252" s="1" t="s">
        <v>5393</v>
      </c>
    </row>
    <row r="253" spans="1:7">
      <c r="A253" s="1">
        <v>502</v>
      </c>
      <c r="B253" s="1" t="s">
        <v>5394</v>
      </c>
      <c r="D253" s="1" t="s">
        <v>755</v>
      </c>
      <c r="E253" s="1" t="s">
        <v>756</v>
      </c>
      <c r="F253" s="1" t="s">
        <v>5395</v>
      </c>
      <c r="G253" s="1" t="s">
        <v>5396</v>
      </c>
    </row>
    <row r="254" spans="1:7">
      <c r="A254" s="1">
        <v>508</v>
      </c>
      <c r="B254" s="1" t="s">
        <v>5397</v>
      </c>
      <c r="D254" s="1" t="s">
        <v>755</v>
      </c>
      <c r="E254" s="1" t="s">
        <v>780</v>
      </c>
      <c r="F254" s="1" t="s">
        <v>5398</v>
      </c>
      <c r="G254" s="1" t="s">
        <v>5399</v>
      </c>
    </row>
    <row r="255" spans="1:7">
      <c r="A255" s="1">
        <v>509</v>
      </c>
      <c r="B255" s="1" t="s">
        <v>5400</v>
      </c>
      <c r="D255" s="1" t="s">
        <v>755</v>
      </c>
      <c r="E255" s="1" t="s">
        <v>784</v>
      </c>
      <c r="F255" s="1" t="s">
        <v>5401</v>
      </c>
      <c r="G255" s="1" t="s">
        <v>5402</v>
      </c>
    </row>
    <row r="256" spans="1:7">
      <c r="A256" s="1">
        <v>510</v>
      </c>
      <c r="B256" s="1" t="s">
        <v>5403</v>
      </c>
      <c r="D256" s="1" t="s">
        <v>755</v>
      </c>
      <c r="E256" s="1" t="s">
        <v>764</v>
      </c>
      <c r="F256" s="1" t="s">
        <v>5404</v>
      </c>
      <c r="G256" s="1" t="s">
        <v>5405</v>
      </c>
    </row>
    <row r="257" spans="1:7">
      <c r="A257" s="1">
        <v>511</v>
      </c>
      <c r="B257" s="1" t="s">
        <v>5406</v>
      </c>
      <c r="D257" s="1" t="s">
        <v>755</v>
      </c>
      <c r="E257" s="1" t="s">
        <v>768</v>
      </c>
      <c r="F257" s="1" t="s">
        <v>5407</v>
      </c>
      <c r="G257" s="1" t="s">
        <v>5408</v>
      </c>
    </row>
    <row r="258" spans="1:7">
      <c r="A258" s="1">
        <v>512</v>
      </c>
      <c r="B258" s="1" t="s">
        <v>5409</v>
      </c>
      <c r="D258" s="1" t="s">
        <v>755</v>
      </c>
      <c r="E258" s="1" t="s">
        <v>772</v>
      </c>
      <c r="F258" s="1" t="s">
        <v>5410</v>
      </c>
      <c r="G258" s="1" t="s">
        <v>5411</v>
      </c>
    </row>
    <row r="259" spans="1:7">
      <c r="A259" s="1">
        <v>513</v>
      </c>
      <c r="B259" s="1" t="s">
        <v>5412</v>
      </c>
      <c r="D259" s="1" t="s">
        <v>755</v>
      </c>
      <c r="E259" s="1" t="s">
        <v>776</v>
      </c>
      <c r="F259" s="1" t="s">
        <v>5413</v>
      </c>
      <c r="G259" s="1" t="s">
        <v>5414</v>
      </c>
    </row>
    <row r="260" spans="1:7">
      <c r="A260" s="1">
        <v>514</v>
      </c>
      <c r="B260" s="1" t="s">
        <v>5415</v>
      </c>
      <c r="D260" s="1" t="s">
        <v>755</v>
      </c>
      <c r="E260" s="1" t="s">
        <v>788</v>
      </c>
      <c r="F260" s="1" t="s">
        <v>5416</v>
      </c>
      <c r="G260" s="1" t="s">
        <v>5417</v>
      </c>
    </row>
    <row r="261" spans="1:7">
      <c r="A261" s="1">
        <v>515</v>
      </c>
      <c r="B261" s="1" t="s">
        <v>5418</v>
      </c>
      <c r="D261" s="1" t="s">
        <v>755</v>
      </c>
      <c r="E261" s="1" t="s">
        <v>792</v>
      </c>
      <c r="F261" s="1" t="s">
        <v>5419</v>
      </c>
      <c r="G261" s="1" t="s">
        <v>5420</v>
      </c>
    </row>
    <row r="262" spans="1:7">
      <c r="A262" s="1">
        <v>516</v>
      </c>
      <c r="B262" s="1" t="s">
        <v>5421</v>
      </c>
      <c r="D262" s="1" t="s">
        <v>755</v>
      </c>
      <c r="E262" s="1" t="s">
        <v>796</v>
      </c>
      <c r="F262" s="1" t="s">
        <v>5422</v>
      </c>
      <c r="G262" s="1" t="s">
        <v>5423</v>
      </c>
    </row>
    <row r="263" spans="1:7">
      <c r="A263" s="1">
        <v>517</v>
      </c>
      <c r="B263" s="1" t="s">
        <v>5424</v>
      </c>
      <c r="D263" s="1" t="s">
        <v>755</v>
      </c>
      <c r="E263" s="1" t="s">
        <v>800</v>
      </c>
      <c r="F263" s="1" t="s">
        <v>5425</v>
      </c>
      <c r="G263" s="1" t="s">
        <v>5426</v>
      </c>
    </row>
    <row r="264" spans="1:7">
      <c r="A264" s="1">
        <v>524</v>
      </c>
      <c r="B264" s="1" t="s">
        <v>5427</v>
      </c>
      <c r="D264" s="1" t="s">
        <v>808</v>
      </c>
      <c r="E264" s="1" t="s">
        <v>833</v>
      </c>
      <c r="F264" s="1" t="s">
        <v>5428</v>
      </c>
      <c r="G264" s="1" t="s">
        <v>5429</v>
      </c>
    </row>
    <row r="265" spans="1:7">
      <c r="A265" s="1">
        <v>525</v>
      </c>
      <c r="B265" s="1" t="s">
        <v>5430</v>
      </c>
      <c r="D265" s="1" t="s">
        <v>808</v>
      </c>
      <c r="E265" s="1" t="s">
        <v>837</v>
      </c>
      <c r="F265" s="1" t="s">
        <v>5431</v>
      </c>
      <c r="G265" s="1" t="s">
        <v>5432</v>
      </c>
    </row>
    <row r="266" spans="1:7">
      <c r="A266" s="1">
        <v>526</v>
      </c>
      <c r="B266" s="1" t="s">
        <v>5433</v>
      </c>
      <c r="D266" s="1" t="s">
        <v>808</v>
      </c>
      <c r="E266" s="1" t="s">
        <v>841</v>
      </c>
      <c r="F266" s="1" t="s">
        <v>5434</v>
      </c>
      <c r="G266" s="1" t="s">
        <v>5435</v>
      </c>
    </row>
    <row r="267" spans="1:7">
      <c r="A267" s="1">
        <v>527</v>
      </c>
      <c r="B267" s="1" t="s">
        <v>5436</v>
      </c>
      <c r="D267" s="1" t="s">
        <v>808</v>
      </c>
      <c r="E267" s="1" t="s">
        <v>809</v>
      </c>
      <c r="F267" s="1" t="s">
        <v>5437</v>
      </c>
      <c r="G267" s="1" t="s">
        <v>5438</v>
      </c>
    </row>
    <row r="268" spans="1:7">
      <c r="A268" s="1">
        <v>528</v>
      </c>
      <c r="B268" s="1" t="s">
        <v>5439</v>
      </c>
      <c r="D268" s="1" t="s">
        <v>808</v>
      </c>
      <c r="E268" s="1" t="s">
        <v>813</v>
      </c>
      <c r="F268" s="1" t="s">
        <v>5440</v>
      </c>
      <c r="G268" s="1" t="s">
        <v>5441</v>
      </c>
    </row>
    <row r="269" spans="1:7">
      <c r="A269" s="1">
        <v>529</v>
      </c>
      <c r="B269" s="1" t="s">
        <v>5442</v>
      </c>
      <c r="D269" s="1" t="s">
        <v>808</v>
      </c>
      <c r="E269" s="1" t="s">
        <v>817</v>
      </c>
      <c r="F269" s="1" t="s">
        <v>5443</v>
      </c>
      <c r="G269" s="1" t="s">
        <v>5444</v>
      </c>
    </row>
    <row r="270" spans="1:7">
      <c r="A270" s="1">
        <v>530</v>
      </c>
      <c r="B270" s="1" t="s">
        <v>5445</v>
      </c>
      <c r="D270" s="1" t="s">
        <v>808</v>
      </c>
      <c r="E270" s="1" t="s">
        <v>821</v>
      </c>
      <c r="F270" s="1" t="s">
        <v>5446</v>
      </c>
      <c r="G270" s="1" t="s">
        <v>5447</v>
      </c>
    </row>
    <row r="271" spans="1:7">
      <c r="A271" s="1">
        <v>531</v>
      </c>
      <c r="B271" s="1" t="s">
        <v>5448</v>
      </c>
      <c r="D271" s="1" t="s">
        <v>808</v>
      </c>
      <c r="E271" s="1" t="s">
        <v>825</v>
      </c>
      <c r="F271" s="1" t="s">
        <v>5449</v>
      </c>
      <c r="G271" s="1" t="s">
        <v>5450</v>
      </c>
    </row>
    <row r="272" spans="1:7">
      <c r="A272" s="1">
        <v>532</v>
      </c>
      <c r="B272" s="1" t="s">
        <v>5451</v>
      </c>
      <c r="D272" s="1" t="s">
        <v>808</v>
      </c>
      <c r="E272" s="1" t="s">
        <v>829</v>
      </c>
      <c r="F272" s="1" t="s">
        <v>5452</v>
      </c>
      <c r="G272" s="1" t="s">
        <v>5453</v>
      </c>
    </row>
    <row r="273" spans="1:7">
      <c r="A273" s="1">
        <v>533</v>
      </c>
      <c r="B273" s="1" t="s">
        <v>5454</v>
      </c>
      <c r="D273" s="1" t="s">
        <v>808</v>
      </c>
      <c r="E273" s="1" t="s">
        <v>845</v>
      </c>
      <c r="F273" s="1" t="s">
        <v>5455</v>
      </c>
      <c r="G273" s="1" t="s">
        <v>5456</v>
      </c>
    </row>
    <row r="274" spans="1:7">
      <c r="A274" s="1">
        <v>534</v>
      </c>
      <c r="B274" s="1" t="s">
        <v>5457</v>
      </c>
      <c r="D274" s="1" t="s">
        <v>808</v>
      </c>
      <c r="E274" s="1" t="s">
        <v>849</v>
      </c>
      <c r="F274" s="1" t="s">
        <v>5458</v>
      </c>
      <c r="G274" s="1" t="s">
        <v>5459</v>
      </c>
    </row>
    <row r="275" spans="1:7">
      <c r="A275" s="1">
        <v>535</v>
      </c>
      <c r="B275" s="1" t="s">
        <v>5460</v>
      </c>
      <c r="D275" s="1" t="s">
        <v>808</v>
      </c>
      <c r="E275" s="1" t="s">
        <v>853</v>
      </c>
      <c r="F275" s="1" t="s">
        <v>5461</v>
      </c>
      <c r="G275" s="1" t="s">
        <v>5462</v>
      </c>
    </row>
    <row r="276" spans="1:7">
      <c r="A276" s="1">
        <v>536</v>
      </c>
      <c r="B276" s="1" t="s">
        <v>5463</v>
      </c>
      <c r="D276" s="1" t="s">
        <v>808</v>
      </c>
      <c r="E276" s="1" t="s">
        <v>857</v>
      </c>
      <c r="F276" s="1" t="s">
        <v>5464</v>
      </c>
      <c r="G276" s="1" t="s">
        <v>5465</v>
      </c>
    </row>
    <row r="277" spans="1:7">
      <c r="A277" s="1">
        <v>537</v>
      </c>
      <c r="B277" s="1" t="s">
        <v>5466</v>
      </c>
      <c r="D277" s="1" t="s">
        <v>808</v>
      </c>
      <c r="E277" s="1" t="s">
        <v>861</v>
      </c>
      <c r="F277" s="1" t="s">
        <v>5467</v>
      </c>
      <c r="G277" s="1" t="s">
        <v>5468</v>
      </c>
    </row>
    <row r="278" spans="1:7">
      <c r="A278" s="1">
        <v>538</v>
      </c>
      <c r="B278" s="1" t="s">
        <v>5469</v>
      </c>
      <c r="D278" s="1" t="s">
        <v>808</v>
      </c>
      <c r="E278" s="1" t="s">
        <v>865</v>
      </c>
      <c r="F278" s="1" t="s">
        <v>5470</v>
      </c>
      <c r="G278" s="1" t="s">
        <v>5471</v>
      </c>
    </row>
    <row r="279" spans="1:7">
      <c r="A279" s="1">
        <v>546</v>
      </c>
      <c r="B279" s="1" t="s">
        <v>5472</v>
      </c>
      <c r="D279" s="1" t="s">
        <v>808</v>
      </c>
      <c r="E279" s="1" t="s">
        <v>869</v>
      </c>
      <c r="F279" s="1" t="s">
        <v>5473</v>
      </c>
      <c r="G279" s="1" t="s">
        <v>5474</v>
      </c>
    </row>
    <row r="280" spans="1:7">
      <c r="A280" s="1">
        <v>553</v>
      </c>
      <c r="B280" s="1" t="s">
        <v>5475</v>
      </c>
      <c r="D280" s="1" t="s">
        <v>871</v>
      </c>
      <c r="E280" s="1" t="s">
        <v>872</v>
      </c>
      <c r="F280" s="1" t="s">
        <v>873</v>
      </c>
      <c r="G280" s="1" t="s">
        <v>874</v>
      </c>
    </row>
    <row r="281" spans="1:7">
      <c r="A281" s="1">
        <v>554</v>
      </c>
      <c r="B281" s="1" t="s">
        <v>5476</v>
      </c>
      <c r="D281" s="1" t="s">
        <v>871</v>
      </c>
      <c r="E281" s="1" t="s">
        <v>876</v>
      </c>
      <c r="F281" s="1" t="s">
        <v>877</v>
      </c>
      <c r="G281" s="1" t="s">
        <v>878</v>
      </c>
    </row>
    <row r="282" spans="1:7">
      <c r="A282" s="1">
        <v>555</v>
      </c>
      <c r="B282" s="1" t="s">
        <v>5477</v>
      </c>
      <c r="D282" s="1" t="s">
        <v>880</v>
      </c>
      <c r="E282" s="1" t="s">
        <v>5478</v>
      </c>
      <c r="F282" s="1" t="s">
        <v>882</v>
      </c>
      <c r="G282" s="1" t="s">
        <v>883</v>
      </c>
    </row>
    <row r="283" spans="1:7">
      <c r="A283" s="1">
        <v>556</v>
      </c>
      <c r="B283" s="1" t="s">
        <v>5479</v>
      </c>
      <c r="D283" s="1" t="s">
        <v>880</v>
      </c>
      <c r="E283" s="1" t="s">
        <v>5480</v>
      </c>
      <c r="F283" s="1" t="s">
        <v>886</v>
      </c>
      <c r="G283" s="1" t="s">
        <v>887</v>
      </c>
    </row>
    <row r="284" spans="1:7">
      <c r="A284" s="1">
        <v>565</v>
      </c>
      <c r="B284" s="1" t="s">
        <v>5481</v>
      </c>
      <c r="D284" s="1" t="s">
        <v>889</v>
      </c>
      <c r="E284" s="1" t="s">
        <v>892</v>
      </c>
      <c r="F284" s="1" t="s">
        <v>5482</v>
      </c>
      <c r="G284" s="1" t="s">
        <v>5483</v>
      </c>
    </row>
    <row r="285" spans="1:7">
      <c r="A285" s="1">
        <v>566</v>
      </c>
      <c r="B285" s="1" t="s">
        <v>5484</v>
      </c>
      <c r="D285" s="1" t="s">
        <v>889</v>
      </c>
      <c r="E285" s="1" t="s">
        <v>890</v>
      </c>
      <c r="F285" s="1" t="s">
        <v>5485</v>
      </c>
      <c r="G285" s="1" t="s">
        <v>5486</v>
      </c>
    </row>
    <row r="286" spans="1:7">
      <c r="A286" s="1">
        <v>571</v>
      </c>
      <c r="B286" s="1" t="s">
        <v>5487</v>
      </c>
      <c r="D286" s="1" t="s">
        <v>889</v>
      </c>
      <c r="E286" s="1" t="s">
        <v>898</v>
      </c>
      <c r="F286" s="1" t="s">
        <v>5488</v>
      </c>
      <c r="G286" s="1" t="s">
        <v>5489</v>
      </c>
    </row>
    <row r="287" spans="1:7">
      <c r="A287" s="1">
        <v>572</v>
      </c>
      <c r="B287" s="1" t="s">
        <v>5490</v>
      </c>
      <c r="D287" s="1" t="s">
        <v>889</v>
      </c>
      <c r="E287" s="1" t="s">
        <v>900</v>
      </c>
      <c r="F287" s="1" t="s">
        <v>5491</v>
      </c>
      <c r="G287" s="1" t="s">
        <v>5492</v>
      </c>
    </row>
    <row r="288" spans="1:7">
      <c r="A288" s="1">
        <v>573</v>
      </c>
      <c r="B288" s="1" t="s">
        <v>5493</v>
      </c>
      <c r="D288" s="1" t="s">
        <v>889</v>
      </c>
      <c r="E288" s="1" t="s">
        <v>902</v>
      </c>
      <c r="F288" s="1" t="s">
        <v>5494</v>
      </c>
      <c r="G288" s="1" t="s">
        <v>5495</v>
      </c>
    </row>
    <row r="289" spans="1:7">
      <c r="A289" s="1">
        <v>574</v>
      </c>
      <c r="B289" s="1" t="s">
        <v>5496</v>
      </c>
      <c r="D289" s="1" t="s">
        <v>889</v>
      </c>
      <c r="E289" s="1" t="s">
        <v>894</v>
      </c>
      <c r="F289" s="1" t="s">
        <v>5497</v>
      </c>
      <c r="G289" s="1" t="s">
        <v>5498</v>
      </c>
    </row>
    <row r="290" spans="1:7">
      <c r="A290" s="1">
        <v>576</v>
      </c>
      <c r="B290" s="1" t="s">
        <v>5499</v>
      </c>
      <c r="D290" s="1" t="s">
        <v>904</v>
      </c>
      <c r="E290" s="1" t="s">
        <v>923</v>
      </c>
      <c r="F290" s="1" t="s">
        <v>5500</v>
      </c>
      <c r="G290" s="1" t="s">
        <v>5501</v>
      </c>
    </row>
    <row r="291" spans="1:7">
      <c r="A291" s="1">
        <v>577</v>
      </c>
      <c r="B291" s="1" t="s">
        <v>5502</v>
      </c>
      <c r="D291" s="1" t="s">
        <v>904</v>
      </c>
      <c r="E291" s="1" t="s">
        <v>921</v>
      </c>
      <c r="F291" s="1" t="s">
        <v>5503</v>
      </c>
      <c r="G291" s="1" t="s">
        <v>5504</v>
      </c>
    </row>
    <row r="292" spans="1:7">
      <c r="A292" s="1">
        <v>582</v>
      </c>
      <c r="B292" s="1" t="s">
        <v>5505</v>
      </c>
      <c r="D292" s="1" t="s">
        <v>904</v>
      </c>
      <c r="E292" s="1" t="s">
        <v>909</v>
      </c>
      <c r="F292" s="1" t="s">
        <v>5506</v>
      </c>
      <c r="G292" s="1" t="s">
        <v>5507</v>
      </c>
    </row>
    <row r="293" spans="1:7">
      <c r="A293" s="1">
        <v>583</v>
      </c>
      <c r="B293" s="1" t="s">
        <v>5508</v>
      </c>
      <c r="D293" s="1" t="s">
        <v>904</v>
      </c>
      <c r="E293" s="1" t="s">
        <v>913</v>
      </c>
      <c r="F293" s="1" t="s">
        <v>5509</v>
      </c>
      <c r="G293" s="1" t="s">
        <v>5510</v>
      </c>
    </row>
    <row r="294" spans="1:7">
      <c r="A294" s="1">
        <v>584</v>
      </c>
      <c r="B294" s="1" t="s">
        <v>5511</v>
      </c>
      <c r="D294" s="1" t="s">
        <v>904</v>
      </c>
      <c r="E294" s="1" t="s">
        <v>917</v>
      </c>
      <c r="F294" s="1" t="s">
        <v>5512</v>
      </c>
      <c r="G294" s="1" t="s">
        <v>5513</v>
      </c>
    </row>
    <row r="295" spans="1:7">
      <c r="A295" s="1">
        <v>585</v>
      </c>
      <c r="B295" s="1" t="s">
        <v>5514</v>
      </c>
      <c r="D295" s="1" t="s">
        <v>904</v>
      </c>
      <c r="E295" s="1" t="s">
        <v>905</v>
      </c>
      <c r="F295" s="1" t="s">
        <v>5515</v>
      </c>
      <c r="G295" s="1" t="s">
        <v>5516</v>
      </c>
    </row>
    <row r="296" spans="1:7">
      <c r="A296" s="1">
        <v>590</v>
      </c>
      <c r="B296" s="1" t="s">
        <v>5517</v>
      </c>
      <c r="D296" s="1" t="s">
        <v>5518</v>
      </c>
      <c r="E296" s="1" t="s">
        <v>5519</v>
      </c>
      <c r="F296" s="1" t="s">
        <v>5520</v>
      </c>
      <c r="G296" s="1" t="s">
        <v>5521</v>
      </c>
    </row>
    <row r="297" spans="1:7">
      <c r="A297" s="1">
        <v>616</v>
      </c>
      <c r="B297" s="1" t="s">
        <v>5522</v>
      </c>
      <c r="D297" s="1" t="s">
        <v>5523</v>
      </c>
      <c r="E297" s="1" t="s">
        <v>5524</v>
      </c>
      <c r="F297" s="1" t="s">
        <v>5520</v>
      </c>
      <c r="G297" s="1" t="s">
        <v>5521</v>
      </c>
    </row>
    <row r="298" spans="1:7">
      <c r="A298" s="1">
        <v>638</v>
      </c>
      <c r="B298" s="1" t="s">
        <v>5525</v>
      </c>
      <c r="D298" s="1" t="s">
        <v>925</v>
      </c>
      <c r="E298" s="1" t="s">
        <v>5526</v>
      </c>
      <c r="F298" s="1" t="s">
        <v>5527</v>
      </c>
      <c r="G298" s="1" t="s">
        <v>5528</v>
      </c>
    </row>
    <row r="299" spans="1:7">
      <c r="A299" s="1">
        <v>664</v>
      </c>
      <c r="B299" s="1" t="s">
        <v>5529</v>
      </c>
      <c r="D299" s="1" t="s">
        <v>930</v>
      </c>
      <c r="E299" s="1" t="s">
        <v>5530</v>
      </c>
      <c r="F299" s="1" t="s">
        <v>5527</v>
      </c>
      <c r="G299" s="1" t="s">
        <v>5528</v>
      </c>
    </row>
    <row r="300" spans="1:7">
      <c r="A300" s="1">
        <v>686</v>
      </c>
      <c r="B300" s="1" t="s">
        <v>5531</v>
      </c>
      <c r="D300" s="1" t="s">
        <v>933</v>
      </c>
      <c r="E300" s="1" t="s">
        <v>5532</v>
      </c>
      <c r="F300" s="1" t="s">
        <v>5533</v>
      </c>
      <c r="G300" s="1" t="s">
        <v>5534</v>
      </c>
    </row>
    <row r="301" spans="1:7">
      <c r="A301" s="1">
        <v>712</v>
      </c>
      <c r="B301" s="1" t="s">
        <v>5535</v>
      </c>
      <c r="D301" s="1" t="s">
        <v>938</v>
      </c>
      <c r="E301" s="1" t="s">
        <v>5536</v>
      </c>
      <c r="F301" s="1" t="s">
        <v>5533</v>
      </c>
      <c r="G301" s="1" t="s">
        <v>5534</v>
      </c>
    </row>
    <row r="302" spans="1:7">
      <c r="A302" s="1">
        <v>734</v>
      </c>
      <c r="B302" s="1" t="s">
        <v>5537</v>
      </c>
      <c r="D302" s="1" t="s">
        <v>5538</v>
      </c>
      <c r="E302" s="1" t="s">
        <v>5539</v>
      </c>
      <c r="F302" s="1" t="s">
        <v>5540</v>
      </c>
      <c r="G302" s="1" t="s">
        <v>5541</v>
      </c>
    </row>
    <row r="303" spans="1:7">
      <c r="A303" s="1">
        <v>760</v>
      </c>
      <c r="B303" s="1" t="s">
        <v>5542</v>
      </c>
      <c r="D303" s="1" t="s">
        <v>5543</v>
      </c>
      <c r="E303" s="1" t="s">
        <v>5544</v>
      </c>
      <c r="F303" s="1" t="s">
        <v>5540</v>
      </c>
      <c r="G303" s="1" t="s">
        <v>5541</v>
      </c>
    </row>
    <row r="304" spans="1:7">
      <c r="A304" s="1">
        <v>782</v>
      </c>
      <c r="B304" s="1" t="s">
        <v>5545</v>
      </c>
      <c r="D304" s="1" t="s">
        <v>941</v>
      </c>
      <c r="E304" s="1" t="s">
        <v>5546</v>
      </c>
      <c r="F304" s="1" t="s">
        <v>5547</v>
      </c>
      <c r="G304" s="1" t="s">
        <v>5548</v>
      </c>
    </row>
    <row r="305" spans="1:7">
      <c r="A305" s="1">
        <v>808</v>
      </c>
      <c r="B305" s="1" t="s">
        <v>5549</v>
      </c>
      <c r="D305" s="1" t="s">
        <v>946</v>
      </c>
      <c r="E305" s="1" t="s">
        <v>5550</v>
      </c>
      <c r="F305" s="1" t="s">
        <v>5547</v>
      </c>
      <c r="G305" s="1" t="s">
        <v>5548</v>
      </c>
    </row>
    <row r="306" spans="1:7">
      <c r="A306" s="1">
        <v>830</v>
      </c>
      <c r="B306" s="1" t="s">
        <v>5551</v>
      </c>
      <c r="D306" s="1" t="s">
        <v>949</v>
      </c>
      <c r="E306" s="1" t="s">
        <v>5552</v>
      </c>
      <c r="F306" s="1" t="s">
        <v>5553</v>
      </c>
      <c r="G306" s="1" t="s">
        <v>5554</v>
      </c>
    </row>
    <row r="307" spans="1:7">
      <c r="A307" s="1">
        <v>856</v>
      </c>
      <c r="B307" s="1" t="s">
        <v>5555</v>
      </c>
      <c r="D307" s="1" t="s">
        <v>954</v>
      </c>
      <c r="E307" s="1" t="s">
        <v>5556</v>
      </c>
      <c r="F307" s="1" t="s">
        <v>5553</v>
      </c>
      <c r="G307" s="1" t="s">
        <v>5554</v>
      </c>
    </row>
    <row r="308" spans="1:7">
      <c r="A308" s="1">
        <v>875</v>
      </c>
      <c r="B308" s="1" t="s">
        <v>5557</v>
      </c>
      <c r="D308" s="1" t="s">
        <v>957</v>
      </c>
      <c r="E308" s="1" t="s">
        <v>982</v>
      </c>
      <c r="F308" s="1" t="s">
        <v>5558</v>
      </c>
      <c r="G308" s="1" t="s">
        <v>5559</v>
      </c>
    </row>
    <row r="309" spans="1:7">
      <c r="A309" s="1">
        <v>876</v>
      </c>
      <c r="B309" s="1" t="s">
        <v>5560</v>
      </c>
      <c r="D309" s="1" t="s">
        <v>957</v>
      </c>
      <c r="E309" s="1" t="s">
        <v>980</v>
      </c>
      <c r="F309" s="1" t="s">
        <v>5561</v>
      </c>
      <c r="G309" s="1" t="s">
        <v>5562</v>
      </c>
    </row>
    <row r="310" spans="1:7">
      <c r="A310" s="1">
        <v>883</v>
      </c>
      <c r="B310" s="1" t="s">
        <v>5563</v>
      </c>
      <c r="D310" s="1" t="s">
        <v>957</v>
      </c>
      <c r="E310" s="1" t="s">
        <v>968</v>
      </c>
      <c r="F310" s="1" t="s">
        <v>5564</v>
      </c>
      <c r="G310" s="1" t="s">
        <v>5565</v>
      </c>
    </row>
    <row r="311" spans="1:7">
      <c r="A311" s="1">
        <v>884</v>
      </c>
      <c r="B311" s="1" t="s">
        <v>5566</v>
      </c>
      <c r="D311" s="1" t="s">
        <v>957</v>
      </c>
      <c r="E311" s="1" t="s">
        <v>972</v>
      </c>
      <c r="F311" s="1" t="s">
        <v>5567</v>
      </c>
      <c r="G311" s="1" t="s">
        <v>5568</v>
      </c>
    </row>
    <row r="312" spans="1:7">
      <c r="A312" s="1">
        <v>885</v>
      </c>
      <c r="B312" s="1" t="s">
        <v>5569</v>
      </c>
      <c r="D312" s="1" t="s">
        <v>957</v>
      </c>
      <c r="E312" s="1" t="s">
        <v>976</v>
      </c>
      <c r="F312" s="1" t="s">
        <v>5570</v>
      </c>
      <c r="G312" s="1" t="s">
        <v>5571</v>
      </c>
    </row>
    <row r="313" spans="1:7">
      <c r="A313" s="1">
        <v>886</v>
      </c>
      <c r="B313" s="1" t="s">
        <v>5572</v>
      </c>
      <c r="D313" s="1" t="s">
        <v>957</v>
      </c>
      <c r="E313" s="1" t="s">
        <v>958</v>
      </c>
      <c r="F313" s="1" t="s">
        <v>5573</v>
      </c>
      <c r="G313" s="1" t="s">
        <v>5574</v>
      </c>
    </row>
    <row r="314" spans="1:7">
      <c r="A314" s="1">
        <v>887</v>
      </c>
      <c r="B314" s="1" t="s">
        <v>5575</v>
      </c>
      <c r="D314" s="1" t="s">
        <v>957</v>
      </c>
      <c r="E314" s="1" t="s">
        <v>964</v>
      </c>
      <c r="F314" s="1" t="s">
        <v>5576</v>
      </c>
      <c r="G314" s="1" t="s">
        <v>5577</v>
      </c>
    </row>
    <row r="315" spans="1:7">
      <c r="A315" s="1">
        <v>889</v>
      </c>
      <c r="B315" s="1" t="s">
        <v>5578</v>
      </c>
      <c r="D315" s="1" t="s">
        <v>957</v>
      </c>
      <c r="E315" s="1" t="s">
        <v>960</v>
      </c>
      <c r="F315" s="1" t="s">
        <v>5579</v>
      </c>
      <c r="G315" s="1" t="s">
        <v>5580</v>
      </c>
    </row>
    <row r="316" spans="1:7">
      <c r="A316" s="1">
        <v>898</v>
      </c>
      <c r="B316" s="1" t="s">
        <v>5581</v>
      </c>
      <c r="D316" s="1" t="s">
        <v>984</v>
      </c>
      <c r="E316" s="1" t="s">
        <v>5582</v>
      </c>
      <c r="F316" s="1" t="s">
        <v>5583</v>
      </c>
      <c r="G316" s="1" t="s">
        <v>5584</v>
      </c>
    </row>
    <row r="317" spans="1:7">
      <c r="A317" s="1">
        <v>916</v>
      </c>
      <c r="B317" s="1" t="s">
        <v>5585</v>
      </c>
      <c r="D317" s="1" t="s">
        <v>1013</v>
      </c>
      <c r="E317" s="1" t="s">
        <v>1014</v>
      </c>
      <c r="F317" s="1" t="s">
        <v>5586</v>
      </c>
      <c r="G317" s="1" t="s">
        <v>5587</v>
      </c>
    </row>
    <row r="318" spans="1:7">
      <c r="A318" s="1">
        <v>919</v>
      </c>
      <c r="B318" s="1" t="s">
        <v>5588</v>
      </c>
      <c r="D318" s="1" t="s">
        <v>1018</v>
      </c>
      <c r="E318" s="1" t="s">
        <v>1023</v>
      </c>
      <c r="F318" s="1" t="s">
        <v>5589</v>
      </c>
      <c r="G318" s="1" t="s">
        <v>5590</v>
      </c>
    </row>
    <row r="319" spans="1:7">
      <c r="A319" s="1">
        <v>920</v>
      </c>
      <c r="B319" s="1" t="s">
        <v>5591</v>
      </c>
      <c r="D319" s="1" t="s">
        <v>1018</v>
      </c>
      <c r="E319" s="1" t="s">
        <v>1027</v>
      </c>
      <c r="F319" s="1" t="s">
        <v>5592</v>
      </c>
      <c r="G319" s="1" t="s">
        <v>5593</v>
      </c>
    </row>
    <row r="320" spans="1:7">
      <c r="A320" s="1">
        <v>921</v>
      </c>
      <c r="B320" s="1" t="s">
        <v>5594</v>
      </c>
      <c r="D320" s="1" t="s">
        <v>1018</v>
      </c>
      <c r="E320" s="1" t="s">
        <v>1019</v>
      </c>
      <c r="F320" s="1" t="s">
        <v>5595</v>
      </c>
      <c r="G320" s="1" t="s">
        <v>5596</v>
      </c>
    </row>
    <row r="321" spans="1:7">
      <c r="A321" s="1">
        <v>922</v>
      </c>
      <c r="B321" s="1" t="s">
        <v>5597</v>
      </c>
      <c r="D321" s="1" t="s">
        <v>1018</v>
      </c>
      <c r="E321" s="1" t="s">
        <v>1043</v>
      </c>
      <c r="F321" s="1" t="s">
        <v>5598</v>
      </c>
      <c r="G321" s="1" t="s">
        <v>5599</v>
      </c>
    </row>
    <row r="322" spans="1:7">
      <c r="A322" s="1">
        <v>923</v>
      </c>
      <c r="B322" s="1" t="s">
        <v>5600</v>
      </c>
      <c r="D322" s="1" t="s">
        <v>1018</v>
      </c>
      <c r="E322" s="1" t="s">
        <v>1035</v>
      </c>
      <c r="F322" s="1" t="s">
        <v>5601</v>
      </c>
      <c r="G322" s="1" t="s">
        <v>5602</v>
      </c>
    </row>
    <row r="323" spans="1:7">
      <c r="A323" s="1">
        <v>924</v>
      </c>
      <c r="B323" s="1" t="s">
        <v>5603</v>
      </c>
      <c r="D323" s="1" t="s">
        <v>1018</v>
      </c>
      <c r="E323" s="1" t="s">
        <v>1039</v>
      </c>
      <c r="F323" s="1" t="s">
        <v>5604</v>
      </c>
      <c r="G323" s="1" t="s">
        <v>5605</v>
      </c>
    </row>
    <row r="324" spans="1:7">
      <c r="A324" s="1">
        <v>925</v>
      </c>
      <c r="B324" s="1" t="s">
        <v>5606</v>
      </c>
      <c r="D324" s="1" t="s">
        <v>1018</v>
      </c>
      <c r="E324" s="1" t="s">
        <v>1031</v>
      </c>
      <c r="F324" s="1" t="s">
        <v>5607</v>
      </c>
      <c r="G324" s="1" t="s">
        <v>5608</v>
      </c>
    </row>
    <row r="325" spans="1:7">
      <c r="A325" s="1">
        <v>926</v>
      </c>
      <c r="B325" s="1" t="s">
        <v>5609</v>
      </c>
      <c r="D325" s="1" t="s">
        <v>1018</v>
      </c>
      <c r="E325" s="1" t="s">
        <v>1047</v>
      </c>
      <c r="F325" s="1" t="s">
        <v>5610</v>
      </c>
      <c r="G325" s="1" t="s">
        <v>5611</v>
      </c>
    </row>
    <row r="326" spans="1:7">
      <c r="A326" s="1">
        <v>927</v>
      </c>
      <c r="B326" s="1" t="s">
        <v>5612</v>
      </c>
      <c r="D326" s="1" t="s">
        <v>1018</v>
      </c>
      <c r="E326" s="1" t="s">
        <v>1051</v>
      </c>
      <c r="F326" s="1" t="s">
        <v>5613</v>
      </c>
      <c r="G326" s="1" t="s">
        <v>5614</v>
      </c>
    </row>
    <row r="327" spans="1:7">
      <c r="A327" s="1">
        <v>928</v>
      </c>
      <c r="B327" s="1" t="s">
        <v>5615</v>
      </c>
      <c r="D327" s="1" t="s">
        <v>1018</v>
      </c>
      <c r="E327" s="1" t="s">
        <v>1055</v>
      </c>
      <c r="F327" s="1" t="s">
        <v>5616</v>
      </c>
      <c r="G327" s="1" t="s">
        <v>5617</v>
      </c>
    </row>
    <row r="328" spans="1:7">
      <c r="A328" s="1">
        <v>930</v>
      </c>
      <c r="B328" s="1" t="s">
        <v>5618</v>
      </c>
      <c r="D328" s="1" t="s">
        <v>1059</v>
      </c>
      <c r="E328" s="1" t="s">
        <v>1060</v>
      </c>
      <c r="F328" s="1" t="s">
        <v>1061</v>
      </c>
      <c r="G328" s="1" t="s">
        <v>1062</v>
      </c>
    </row>
    <row r="329" spans="1:7">
      <c r="A329" s="1">
        <v>932</v>
      </c>
      <c r="B329" s="1" t="s">
        <v>5619</v>
      </c>
      <c r="D329" s="1" t="s">
        <v>1064</v>
      </c>
      <c r="E329" s="1" t="s">
        <v>1069</v>
      </c>
      <c r="F329" s="1" t="s">
        <v>5620</v>
      </c>
      <c r="G329" s="1" t="s">
        <v>5621</v>
      </c>
    </row>
    <row r="330" spans="1:7">
      <c r="A330" s="1">
        <v>933</v>
      </c>
      <c r="B330" s="1" t="s">
        <v>5622</v>
      </c>
      <c r="D330" s="1" t="s">
        <v>1064</v>
      </c>
      <c r="E330" s="1" t="s">
        <v>1067</v>
      </c>
      <c r="F330" s="1" t="s">
        <v>5623</v>
      </c>
      <c r="G330" s="1" t="s">
        <v>5624</v>
      </c>
    </row>
    <row r="331" spans="1:7">
      <c r="A331" s="1">
        <v>938</v>
      </c>
      <c r="B331" s="1" t="s">
        <v>5625</v>
      </c>
      <c r="D331" s="1" t="s">
        <v>1064</v>
      </c>
      <c r="E331" s="1" t="s">
        <v>1065</v>
      </c>
      <c r="F331" s="1" t="s">
        <v>5626</v>
      </c>
      <c r="G331" s="1" t="s">
        <v>5627</v>
      </c>
    </row>
    <row r="332" spans="1:7">
      <c r="A332" s="1">
        <v>939</v>
      </c>
      <c r="B332" s="1" t="s">
        <v>5628</v>
      </c>
      <c r="D332" s="1" t="s">
        <v>1071</v>
      </c>
      <c r="E332" s="1" t="s">
        <v>1072</v>
      </c>
      <c r="F332" s="1" t="s">
        <v>5629</v>
      </c>
      <c r="G332" s="1" t="s">
        <v>1074</v>
      </c>
    </row>
    <row r="333" spans="1:7">
      <c r="A333" s="1">
        <v>944</v>
      </c>
      <c r="B333" s="1" t="s">
        <v>5630</v>
      </c>
      <c r="D333" s="1" t="s">
        <v>1071</v>
      </c>
      <c r="E333" s="1" t="s">
        <v>1096</v>
      </c>
      <c r="F333" s="1" t="s">
        <v>5631</v>
      </c>
      <c r="G333" s="1" t="s">
        <v>1098</v>
      </c>
    </row>
    <row r="334" spans="1:7">
      <c r="A334" s="1">
        <v>945</v>
      </c>
      <c r="B334" s="1" t="s">
        <v>5632</v>
      </c>
      <c r="D334" s="1" t="s">
        <v>1071</v>
      </c>
      <c r="E334" s="1" t="s">
        <v>1100</v>
      </c>
      <c r="F334" s="1" t="s">
        <v>5633</v>
      </c>
      <c r="G334" s="1" t="s">
        <v>1102</v>
      </c>
    </row>
    <row r="335" spans="1:7">
      <c r="A335" s="1">
        <v>946</v>
      </c>
      <c r="B335" s="1" t="s">
        <v>5634</v>
      </c>
      <c r="D335" s="1" t="s">
        <v>1071</v>
      </c>
      <c r="E335" s="1" t="s">
        <v>1076</v>
      </c>
      <c r="F335" s="1" t="s">
        <v>5635</v>
      </c>
      <c r="G335" s="1" t="s">
        <v>1078</v>
      </c>
    </row>
    <row r="336" spans="1:7">
      <c r="A336" s="1">
        <v>947</v>
      </c>
      <c r="B336" s="1" t="s">
        <v>5636</v>
      </c>
      <c r="D336" s="1" t="s">
        <v>1071</v>
      </c>
      <c r="E336" s="1" t="s">
        <v>1092</v>
      </c>
      <c r="F336" s="1" t="s">
        <v>5637</v>
      </c>
      <c r="G336" s="1" t="s">
        <v>1094</v>
      </c>
    </row>
    <row r="337" spans="1:7">
      <c r="A337" s="1">
        <v>948</v>
      </c>
      <c r="B337" s="1" t="s">
        <v>5638</v>
      </c>
      <c r="D337" s="1" t="s">
        <v>1071</v>
      </c>
      <c r="E337" s="1" t="s">
        <v>1084</v>
      </c>
      <c r="F337" s="1" t="s">
        <v>5639</v>
      </c>
      <c r="G337" s="1" t="s">
        <v>1086</v>
      </c>
    </row>
    <row r="338" spans="1:7">
      <c r="A338" s="1">
        <v>949</v>
      </c>
      <c r="B338" s="1" t="s">
        <v>5640</v>
      </c>
      <c r="D338" s="1" t="s">
        <v>1071</v>
      </c>
      <c r="E338" s="1" t="s">
        <v>1080</v>
      </c>
      <c r="F338" s="1" t="s">
        <v>5641</v>
      </c>
      <c r="G338" s="1" t="s">
        <v>1082</v>
      </c>
    </row>
    <row r="339" spans="1:7">
      <c r="A339" s="1">
        <v>950</v>
      </c>
      <c r="B339" s="1" t="s">
        <v>5642</v>
      </c>
      <c r="D339" s="1" t="s">
        <v>1071</v>
      </c>
      <c r="E339" s="1" t="s">
        <v>1088</v>
      </c>
      <c r="F339" s="1" t="s">
        <v>5643</v>
      </c>
      <c r="G339" s="1" t="s">
        <v>1090</v>
      </c>
    </row>
    <row r="340" spans="1:7">
      <c r="A340" s="1">
        <v>953</v>
      </c>
      <c r="B340" s="1" t="s">
        <v>5644</v>
      </c>
      <c r="D340" s="1" t="s">
        <v>1104</v>
      </c>
      <c r="E340" s="1" t="s">
        <v>5645</v>
      </c>
      <c r="F340" s="1" t="s">
        <v>5646</v>
      </c>
      <c r="G340" s="1" t="s">
        <v>5647</v>
      </c>
    </row>
    <row r="341" spans="1:7">
      <c r="A341" s="1">
        <v>954</v>
      </c>
      <c r="B341" s="1" t="s">
        <v>5648</v>
      </c>
      <c r="D341" s="1" t="s">
        <v>1104</v>
      </c>
      <c r="E341" s="1" t="s">
        <v>5649</v>
      </c>
      <c r="F341" s="1" t="s">
        <v>5650</v>
      </c>
      <c r="G341" s="1" t="s">
        <v>5651</v>
      </c>
    </row>
    <row r="342" spans="1:7">
      <c r="A342" s="1">
        <v>961</v>
      </c>
      <c r="B342" s="1" t="s">
        <v>5652</v>
      </c>
      <c r="D342" s="1" t="s">
        <v>1104</v>
      </c>
      <c r="E342" s="1" t="s">
        <v>5653</v>
      </c>
      <c r="F342" s="1" t="s">
        <v>5654</v>
      </c>
      <c r="G342" s="1" t="s">
        <v>5655</v>
      </c>
    </row>
    <row r="343" spans="1:7">
      <c r="A343" s="1">
        <v>962</v>
      </c>
      <c r="B343" s="1" t="s">
        <v>5656</v>
      </c>
      <c r="D343" s="1" t="s">
        <v>1104</v>
      </c>
      <c r="E343" s="1" t="s">
        <v>5657</v>
      </c>
      <c r="F343" s="1" t="s">
        <v>5658</v>
      </c>
      <c r="G343" s="1" t="s">
        <v>5659</v>
      </c>
    </row>
    <row r="344" spans="1:7">
      <c r="A344" s="1">
        <v>963</v>
      </c>
      <c r="B344" s="1" t="s">
        <v>5660</v>
      </c>
      <c r="D344" s="1" t="s">
        <v>1121</v>
      </c>
      <c r="E344" s="1" t="s">
        <v>1930</v>
      </c>
      <c r="F344" s="1" t="s">
        <v>5661</v>
      </c>
      <c r="G344" s="1" t="s">
        <v>5662</v>
      </c>
    </row>
    <row r="345" spans="1:7">
      <c r="A345" s="1">
        <v>964</v>
      </c>
      <c r="B345" s="1" t="s">
        <v>5663</v>
      </c>
      <c r="D345" s="1" t="s">
        <v>1121</v>
      </c>
      <c r="E345" s="1" t="s">
        <v>1928</v>
      </c>
      <c r="F345" s="1" t="s">
        <v>5664</v>
      </c>
      <c r="G345" s="1" t="s">
        <v>5665</v>
      </c>
    </row>
    <row r="346" spans="1:7">
      <c r="A346" s="1">
        <v>973</v>
      </c>
      <c r="B346" s="1" t="s">
        <v>5666</v>
      </c>
      <c r="D346" s="1" t="s">
        <v>1121</v>
      </c>
      <c r="E346" s="1" t="s">
        <v>5667</v>
      </c>
      <c r="F346" s="1" t="s">
        <v>5668</v>
      </c>
      <c r="G346" s="1" t="s">
        <v>5669</v>
      </c>
    </row>
    <row r="347" spans="1:7">
      <c r="A347" s="1">
        <v>974</v>
      </c>
      <c r="B347" s="1" t="s">
        <v>5670</v>
      </c>
      <c r="D347" s="1" t="s">
        <v>1121</v>
      </c>
      <c r="E347" s="1" t="s">
        <v>5671</v>
      </c>
      <c r="F347" s="1" t="s">
        <v>5672</v>
      </c>
      <c r="G347" s="1" t="s">
        <v>5673</v>
      </c>
    </row>
    <row r="348" spans="1:7">
      <c r="A348" s="1">
        <v>975</v>
      </c>
      <c r="B348" s="1" t="s">
        <v>5674</v>
      </c>
      <c r="D348" s="1" t="s">
        <v>1121</v>
      </c>
      <c r="E348" s="1" t="s">
        <v>5675</v>
      </c>
      <c r="F348" s="1" t="s">
        <v>5676</v>
      </c>
      <c r="G348" s="1" t="s">
        <v>5677</v>
      </c>
    </row>
    <row r="349" spans="1:7">
      <c r="A349" s="1">
        <v>976</v>
      </c>
      <c r="B349" s="1" t="s">
        <v>5678</v>
      </c>
      <c r="D349" s="1" t="s">
        <v>5679</v>
      </c>
      <c r="E349" s="1" t="s">
        <v>5680</v>
      </c>
      <c r="F349" s="1" t="s">
        <v>5681</v>
      </c>
      <c r="G349" s="1" t="s">
        <v>5682</v>
      </c>
    </row>
    <row r="350" spans="1:7">
      <c r="A350" s="1">
        <v>977</v>
      </c>
      <c r="B350" s="1" t="s">
        <v>5683</v>
      </c>
      <c r="D350" s="1" t="s">
        <v>5679</v>
      </c>
      <c r="E350" s="1" t="s">
        <v>5684</v>
      </c>
      <c r="F350" s="1" t="s">
        <v>5685</v>
      </c>
      <c r="G350" s="1" t="s">
        <v>5686</v>
      </c>
    </row>
    <row r="351" spans="1:7">
      <c r="A351" s="1">
        <v>978</v>
      </c>
      <c r="B351" s="1" t="s">
        <v>5687</v>
      </c>
      <c r="D351" s="1" t="s">
        <v>5679</v>
      </c>
      <c r="E351" s="1" t="s">
        <v>5688</v>
      </c>
      <c r="F351" s="1" t="s">
        <v>5689</v>
      </c>
      <c r="G351" s="1" t="s">
        <v>5690</v>
      </c>
    </row>
    <row r="352" spans="1:7">
      <c r="A352" s="1">
        <v>979</v>
      </c>
      <c r="B352" s="1" t="s">
        <v>5691</v>
      </c>
      <c r="D352" s="1" t="s">
        <v>5679</v>
      </c>
      <c r="E352" s="1" t="s">
        <v>5692</v>
      </c>
      <c r="F352" s="1" t="s">
        <v>5693</v>
      </c>
      <c r="G352" s="1" t="s">
        <v>5694</v>
      </c>
    </row>
    <row r="353" spans="1:7">
      <c r="A353" s="1">
        <v>984</v>
      </c>
      <c r="B353" s="1" t="s">
        <v>5695</v>
      </c>
      <c r="D353" s="1" t="s">
        <v>1138</v>
      </c>
      <c r="E353" s="1" t="s">
        <v>5696</v>
      </c>
      <c r="F353" s="1" t="s">
        <v>5697</v>
      </c>
      <c r="G353" s="1" t="s">
        <v>5698</v>
      </c>
    </row>
    <row r="354" spans="1:7">
      <c r="A354" s="1">
        <v>987</v>
      </c>
      <c r="B354" s="1" t="s">
        <v>5699</v>
      </c>
      <c r="D354" s="1" t="s">
        <v>1143</v>
      </c>
      <c r="E354" s="1" t="s">
        <v>5700</v>
      </c>
      <c r="F354" s="1" t="s">
        <v>1145</v>
      </c>
      <c r="G354" s="1" t="s">
        <v>1146</v>
      </c>
    </row>
    <row r="355" spans="1:7">
      <c r="A355" s="1">
        <v>988</v>
      </c>
      <c r="B355" s="1" t="s">
        <v>5701</v>
      </c>
      <c r="D355" s="1" t="s">
        <v>1143</v>
      </c>
      <c r="E355" s="1" t="s">
        <v>5702</v>
      </c>
      <c r="F355" s="1" t="s">
        <v>1149</v>
      </c>
      <c r="G355" s="1" t="s">
        <v>1150</v>
      </c>
    </row>
    <row r="356" spans="1:7">
      <c r="A356" s="1">
        <v>989</v>
      </c>
      <c r="B356" s="1" t="s">
        <v>5703</v>
      </c>
      <c r="D356" s="1" t="s">
        <v>1152</v>
      </c>
      <c r="E356" s="1" t="s">
        <v>1153</v>
      </c>
      <c r="F356" s="1" t="s">
        <v>1154</v>
      </c>
      <c r="G356" s="1" t="s">
        <v>1155</v>
      </c>
    </row>
    <row r="357" spans="1:7">
      <c r="A357" s="1">
        <v>990</v>
      </c>
      <c r="B357" s="1" t="s">
        <v>5704</v>
      </c>
      <c r="D357" s="1" t="s">
        <v>1152</v>
      </c>
      <c r="E357" s="1" t="s">
        <v>1157</v>
      </c>
      <c r="F357" s="1" t="s">
        <v>1158</v>
      </c>
      <c r="G357" s="1" t="s">
        <v>1159</v>
      </c>
    </row>
    <row r="358" spans="1:7">
      <c r="A358" s="1">
        <v>991</v>
      </c>
      <c r="B358" s="1" t="s">
        <v>5705</v>
      </c>
      <c r="D358" s="1" t="s">
        <v>1152</v>
      </c>
      <c r="E358" s="1" t="s">
        <v>1161</v>
      </c>
      <c r="F358" s="1" t="s">
        <v>1162</v>
      </c>
      <c r="G358" s="1" t="s">
        <v>1163</v>
      </c>
    </row>
    <row r="359" spans="1:7">
      <c r="A359" s="1">
        <v>992</v>
      </c>
      <c r="B359" s="1" t="s">
        <v>5706</v>
      </c>
      <c r="D359" s="1" t="s">
        <v>1152</v>
      </c>
      <c r="E359" s="1" t="s">
        <v>1165</v>
      </c>
      <c r="F359" s="1" t="s">
        <v>1166</v>
      </c>
      <c r="G359" s="1" t="s">
        <v>1167</v>
      </c>
    </row>
    <row r="360" spans="1:7">
      <c r="A360" s="1">
        <v>997</v>
      </c>
      <c r="B360" s="1" t="s">
        <v>5707</v>
      </c>
      <c r="D360" s="1" t="s">
        <v>1169</v>
      </c>
      <c r="E360" s="1" t="s">
        <v>1170</v>
      </c>
      <c r="F360" s="1" t="s">
        <v>5708</v>
      </c>
      <c r="G360" s="1" t="s">
        <v>5709</v>
      </c>
    </row>
    <row r="361" spans="1:7">
      <c r="A361" s="1">
        <v>998</v>
      </c>
      <c r="B361" s="1" t="s">
        <v>5710</v>
      </c>
      <c r="D361" s="1" t="s">
        <v>1169</v>
      </c>
      <c r="E361" s="1" t="s">
        <v>1174</v>
      </c>
      <c r="F361" s="1" t="s">
        <v>5711</v>
      </c>
      <c r="G361" s="1" t="s">
        <v>5712</v>
      </c>
    </row>
    <row r="362" spans="1:7">
      <c r="A362" s="1">
        <v>999</v>
      </c>
      <c r="B362" s="1" t="s">
        <v>5713</v>
      </c>
      <c r="D362" s="1" t="s">
        <v>1169</v>
      </c>
      <c r="E362" s="1" t="s">
        <v>1178</v>
      </c>
      <c r="F362" s="1" t="s">
        <v>5714</v>
      </c>
      <c r="G362" s="1" t="s">
        <v>5715</v>
      </c>
    </row>
    <row r="363" spans="1:7">
      <c r="A363" s="1">
        <v>1000</v>
      </c>
      <c r="B363" s="1" t="s">
        <v>5716</v>
      </c>
      <c r="D363" s="1" t="s">
        <v>1169</v>
      </c>
      <c r="E363" s="1" t="s">
        <v>1190</v>
      </c>
      <c r="F363" s="1" t="s">
        <v>5717</v>
      </c>
      <c r="G363" s="1" t="s">
        <v>5718</v>
      </c>
    </row>
    <row r="364" spans="1:7">
      <c r="A364" s="1">
        <v>1001</v>
      </c>
      <c r="B364" s="1" t="s">
        <v>5719</v>
      </c>
      <c r="D364" s="1" t="s">
        <v>1169</v>
      </c>
      <c r="E364" s="1" t="s">
        <v>1198</v>
      </c>
      <c r="F364" s="1" t="s">
        <v>5720</v>
      </c>
      <c r="G364" s="1" t="s">
        <v>5721</v>
      </c>
    </row>
    <row r="365" spans="1:7">
      <c r="A365" s="1">
        <v>1002</v>
      </c>
      <c r="B365" s="1" t="s">
        <v>5722</v>
      </c>
      <c r="D365" s="1" t="s">
        <v>1169</v>
      </c>
      <c r="E365" s="1" t="s">
        <v>1202</v>
      </c>
      <c r="F365" s="1" t="s">
        <v>5723</v>
      </c>
      <c r="G365" s="1" t="s">
        <v>5724</v>
      </c>
    </row>
    <row r="366" spans="1:7">
      <c r="A366" s="1">
        <v>1003</v>
      </c>
      <c r="B366" s="1" t="s">
        <v>5725</v>
      </c>
      <c r="D366" s="1" t="s">
        <v>1169</v>
      </c>
      <c r="E366" s="1" t="s">
        <v>1206</v>
      </c>
      <c r="F366" s="1" t="s">
        <v>5726</v>
      </c>
      <c r="G366" s="1" t="s">
        <v>5727</v>
      </c>
    </row>
    <row r="367" spans="1:7">
      <c r="A367" s="1">
        <v>1004</v>
      </c>
      <c r="B367" s="1" t="s">
        <v>5728</v>
      </c>
      <c r="D367" s="1" t="s">
        <v>1169</v>
      </c>
      <c r="E367" s="1" t="s">
        <v>1194</v>
      </c>
      <c r="F367" s="1" t="s">
        <v>5729</v>
      </c>
      <c r="G367" s="1" t="s">
        <v>5730</v>
      </c>
    </row>
    <row r="368" spans="1:7">
      <c r="A368" s="1">
        <v>1006</v>
      </c>
      <c r="B368" s="1" t="s">
        <v>5731</v>
      </c>
      <c r="D368" s="1" t="s">
        <v>1169</v>
      </c>
      <c r="E368" s="1" t="s">
        <v>1218</v>
      </c>
      <c r="F368" s="1" t="s">
        <v>5717</v>
      </c>
      <c r="G368" s="1" t="s">
        <v>5718</v>
      </c>
    </row>
    <row r="369" spans="1:7">
      <c r="A369" s="1">
        <v>1009</v>
      </c>
      <c r="B369" s="1" t="s">
        <v>5732</v>
      </c>
      <c r="D369" s="1" t="s">
        <v>1169</v>
      </c>
      <c r="E369" s="1" t="s">
        <v>1182</v>
      </c>
      <c r="F369" s="1" t="s">
        <v>5733</v>
      </c>
      <c r="G369" s="1" t="s">
        <v>5734</v>
      </c>
    </row>
    <row r="370" spans="1:7">
      <c r="A370" s="1">
        <v>1010</v>
      </c>
      <c r="B370" s="1" t="s">
        <v>5735</v>
      </c>
      <c r="D370" s="1" t="s">
        <v>1169</v>
      </c>
      <c r="E370" s="1" t="s">
        <v>1186</v>
      </c>
      <c r="F370" s="1" t="s">
        <v>5736</v>
      </c>
      <c r="G370" s="1" t="s">
        <v>5737</v>
      </c>
    </row>
    <row r="371" spans="1:7">
      <c r="A371" s="1">
        <v>1012</v>
      </c>
      <c r="B371" s="1" t="s">
        <v>5738</v>
      </c>
      <c r="D371" s="1" t="s">
        <v>1169</v>
      </c>
      <c r="E371" s="1" t="s">
        <v>1220</v>
      </c>
      <c r="F371" s="1" t="s">
        <v>5739</v>
      </c>
      <c r="G371" s="1" t="s">
        <v>5740</v>
      </c>
    </row>
    <row r="372" spans="1:7">
      <c r="A372" s="1">
        <v>1016</v>
      </c>
      <c r="B372" s="1" t="s">
        <v>5741</v>
      </c>
      <c r="D372" s="1" t="s">
        <v>1169</v>
      </c>
      <c r="E372" s="1" t="s">
        <v>1210</v>
      </c>
      <c r="F372" s="1" t="s">
        <v>5742</v>
      </c>
      <c r="G372" s="1" t="s">
        <v>5743</v>
      </c>
    </row>
    <row r="373" spans="1:7">
      <c r="A373" s="1">
        <v>1017</v>
      </c>
      <c r="B373" s="1" t="s">
        <v>5744</v>
      </c>
      <c r="D373" s="1" t="s">
        <v>1169</v>
      </c>
      <c r="E373" s="1" t="s">
        <v>1214</v>
      </c>
      <c r="F373" s="1" t="s">
        <v>5745</v>
      </c>
      <c r="G373" s="1" t="s">
        <v>5746</v>
      </c>
    </row>
    <row r="374" spans="1:7">
      <c r="A374" s="1">
        <v>1018</v>
      </c>
      <c r="B374" s="1" t="s">
        <v>5747</v>
      </c>
      <c r="D374" s="1" t="s">
        <v>1224</v>
      </c>
      <c r="E374" s="1" t="s">
        <v>1225</v>
      </c>
      <c r="F374" s="1" t="s">
        <v>5748</v>
      </c>
      <c r="G374" s="1" t="s">
        <v>5749</v>
      </c>
    </row>
    <row r="375" spans="1:7">
      <c r="A375" s="1">
        <v>1019</v>
      </c>
      <c r="B375" s="1" t="s">
        <v>5750</v>
      </c>
      <c r="D375" s="1" t="s">
        <v>1224</v>
      </c>
      <c r="E375" s="1" t="s">
        <v>1237</v>
      </c>
      <c r="F375" s="1" t="s">
        <v>5751</v>
      </c>
      <c r="G375" s="1" t="s">
        <v>5752</v>
      </c>
    </row>
    <row r="376" spans="1:7">
      <c r="A376" s="1">
        <v>1020</v>
      </c>
      <c r="B376" s="1" t="s">
        <v>5753</v>
      </c>
      <c r="D376" s="1" t="s">
        <v>1224</v>
      </c>
      <c r="E376" s="1" t="s">
        <v>1233</v>
      </c>
      <c r="F376" s="1" t="s">
        <v>5754</v>
      </c>
      <c r="G376" s="1" t="s">
        <v>5755</v>
      </c>
    </row>
    <row r="377" spans="1:7">
      <c r="A377" s="1">
        <v>1021</v>
      </c>
      <c r="B377" s="1" t="s">
        <v>5756</v>
      </c>
      <c r="D377" s="1" t="s">
        <v>1224</v>
      </c>
      <c r="E377" s="1" t="s">
        <v>1229</v>
      </c>
      <c r="F377" s="1" t="s">
        <v>5757</v>
      </c>
      <c r="G377" s="1" t="s">
        <v>5758</v>
      </c>
    </row>
    <row r="378" spans="1:7">
      <c r="A378" s="1">
        <v>1023</v>
      </c>
      <c r="B378" s="1" t="s">
        <v>5759</v>
      </c>
      <c r="D378" s="1" t="s">
        <v>1224</v>
      </c>
      <c r="E378" s="1" t="s">
        <v>1241</v>
      </c>
      <c r="F378" s="1" t="s">
        <v>5760</v>
      </c>
      <c r="G378" s="1" t="s">
        <v>5761</v>
      </c>
    </row>
    <row r="379" spans="1:7">
      <c r="A379" s="1">
        <v>1024</v>
      </c>
      <c r="B379" s="1" t="s">
        <v>5762</v>
      </c>
      <c r="D379" s="1" t="s">
        <v>1224</v>
      </c>
      <c r="E379" s="1" t="s">
        <v>1245</v>
      </c>
      <c r="F379" s="1" t="s">
        <v>5763</v>
      </c>
      <c r="G379" s="1" t="s">
        <v>5764</v>
      </c>
    </row>
    <row r="380" spans="1:7">
      <c r="A380" s="1">
        <v>1025</v>
      </c>
      <c r="B380" s="1" t="s">
        <v>5765</v>
      </c>
      <c r="D380" s="1" t="s">
        <v>1224</v>
      </c>
      <c r="E380" s="1" t="s">
        <v>1249</v>
      </c>
      <c r="F380" s="1" t="s">
        <v>5766</v>
      </c>
      <c r="G380" s="1" t="s">
        <v>5767</v>
      </c>
    </row>
    <row r="381" spans="1:7">
      <c r="A381" s="1">
        <v>1027</v>
      </c>
      <c r="B381" s="1" t="s">
        <v>5768</v>
      </c>
      <c r="D381" s="1" t="s">
        <v>1224</v>
      </c>
      <c r="E381" s="1" t="s">
        <v>1253</v>
      </c>
      <c r="F381" s="1" t="s">
        <v>5769</v>
      </c>
      <c r="G381" s="1" t="s">
        <v>5770</v>
      </c>
    </row>
    <row r="382" spans="1:7">
      <c r="A382" s="1">
        <v>1028</v>
      </c>
      <c r="B382" s="1" t="s">
        <v>5771</v>
      </c>
      <c r="D382" s="1" t="s">
        <v>1224</v>
      </c>
      <c r="E382" s="1" t="s">
        <v>1265</v>
      </c>
      <c r="F382" s="1" t="s">
        <v>5772</v>
      </c>
      <c r="G382" s="1" t="s">
        <v>5773</v>
      </c>
    </row>
    <row r="383" spans="1:7">
      <c r="A383" s="1">
        <v>1029</v>
      </c>
      <c r="B383" s="1" t="s">
        <v>5774</v>
      </c>
      <c r="D383" s="1" t="s">
        <v>1224</v>
      </c>
      <c r="E383" s="1" t="s">
        <v>1261</v>
      </c>
      <c r="F383" s="1" t="s">
        <v>5775</v>
      </c>
      <c r="G383" s="1" t="s">
        <v>5776</v>
      </c>
    </row>
    <row r="384" spans="1:7">
      <c r="A384" s="1">
        <v>1030</v>
      </c>
      <c r="B384" s="1" t="s">
        <v>5777</v>
      </c>
      <c r="D384" s="1" t="s">
        <v>1224</v>
      </c>
      <c r="E384" s="1" t="s">
        <v>1257</v>
      </c>
      <c r="F384" s="1" t="s">
        <v>5778</v>
      </c>
      <c r="G384" s="1" t="s">
        <v>5779</v>
      </c>
    </row>
    <row r="385" spans="1:7">
      <c r="A385" s="1">
        <v>1032</v>
      </c>
      <c r="B385" s="1" t="s">
        <v>5780</v>
      </c>
      <c r="D385" s="1" t="s">
        <v>1269</v>
      </c>
      <c r="E385" s="1" t="s">
        <v>1270</v>
      </c>
      <c r="F385" s="1" t="s">
        <v>5748</v>
      </c>
      <c r="G385" s="1" t="s">
        <v>5749</v>
      </c>
    </row>
    <row r="386" spans="1:7">
      <c r="A386" s="1">
        <v>1033</v>
      </c>
      <c r="B386" s="1" t="s">
        <v>5781</v>
      </c>
      <c r="D386" s="1" t="s">
        <v>1269</v>
      </c>
      <c r="E386" s="1" t="s">
        <v>1276</v>
      </c>
      <c r="F386" s="1" t="s">
        <v>5751</v>
      </c>
      <c r="G386" s="1" t="s">
        <v>5752</v>
      </c>
    </row>
    <row r="387" spans="1:7">
      <c r="A387" s="1">
        <v>1034</v>
      </c>
      <c r="B387" s="1" t="s">
        <v>5782</v>
      </c>
      <c r="D387" s="1" t="s">
        <v>1269</v>
      </c>
      <c r="E387" s="1" t="s">
        <v>1274</v>
      </c>
      <c r="F387" s="1" t="s">
        <v>5754</v>
      </c>
      <c r="G387" s="1" t="s">
        <v>5755</v>
      </c>
    </row>
    <row r="388" spans="1:7">
      <c r="A388" s="1">
        <v>1035</v>
      </c>
      <c r="B388" s="1" t="s">
        <v>5783</v>
      </c>
      <c r="D388" s="1" t="s">
        <v>1269</v>
      </c>
      <c r="E388" s="1" t="s">
        <v>1272</v>
      </c>
      <c r="F388" s="1" t="s">
        <v>5757</v>
      </c>
      <c r="G388" s="1" t="s">
        <v>5758</v>
      </c>
    </row>
    <row r="389" spans="1:7">
      <c r="A389" s="1">
        <v>1037</v>
      </c>
      <c r="B389" s="1" t="s">
        <v>5784</v>
      </c>
      <c r="D389" s="1" t="s">
        <v>1269</v>
      </c>
      <c r="E389" s="1" t="s">
        <v>1278</v>
      </c>
      <c r="F389" s="1" t="s">
        <v>5760</v>
      </c>
      <c r="G389" s="1" t="s">
        <v>5761</v>
      </c>
    </row>
    <row r="390" spans="1:7">
      <c r="A390" s="1">
        <v>1038</v>
      </c>
      <c r="B390" s="1" t="s">
        <v>5785</v>
      </c>
      <c r="D390" s="1" t="s">
        <v>1269</v>
      </c>
      <c r="E390" s="1" t="s">
        <v>1280</v>
      </c>
      <c r="F390" s="1" t="s">
        <v>5763</v>
      </c>
      <c r="G390" s="1" t="s">
        <v>5764</v>
      </c>
    </row>
    <row r="391" spans="1:7">
      <c r="A391" s="1">
        <v>1039</v>
      </c>
      <c r="B391" s="1" t="s">
        <v>5786</v>
      </c>
      <c r="D391" s="1" t="s">
        <v>1269</v>
      </c>
      <c r="E391" s="1" t="s">
        <v>1282</v>
      </c>
      <c r="F391" s="1" t="s">
        <v>5766</v>
      </c>
      <c r="G391" s="1" t="s">
        <v>5767</v>
      </c>
    </row>
    <row r="392" spans="1:7">
      <c r="A392" s="1">
        <v>1041</v>
      </c>
      <c r="B392" s="1" t="s">
        <v>5787</v>
      </c>
      <c r="D392" s="1" t="s">
        <v>1269</v>
      </c>
      <c r="E392" s="1" t="s">
        <v>1284</v>
      </c>
      <c r="F392" s="1" t="s">
        <v>5769</v>
      </c>
      <c r="G392" s="1" t="s">
        <v>5770</v>
      </c>
    </row>
    <row r="393" spans="1:7">
      <c r="A393" s="1">
        <v>1042</v>
      </c>
      <c r="B393" s="1" t="s">
        <v>5788</v>
      </c>
      <c r="D393" s="1" t="s">
        <v>1269</v>
      </c>
      <c r="E393" s="1" t="s">
        <v>1290</v>
      </c>
      <c r="F393" s="1" t="s">
        <v>5772</v>
      </c>
      <c r="G393" s="1" t="s">
        <v>5773</v>
      </c>
    </row>
    <row r="394" spans="1:7">
      <c r="A394" s="1">
        <v>1043</v>
      </c>
      <c r="B394" s="1" t="s">
        <v>5789</v>
      </c>
      <c r="D394" s="1" t="s">
        <v>1269</v>
      </c>
      <c r="E394" s="1" t="s">
        <v>1288</v>
      </c>
      <c r="F394" s="1" t="s">
        <v>5775</v>
      </c>
      <c r="G394" s="1" t="s">
        <v>5776</v>
      </c>
    </row>
    <row r="395" spans="1:7">
      <c r="A395" s="1">
        <v>1044</v>
      </c>
      <c r="B395" s="1" t="s">
        <v>5790</v>
      </c>
      <c r="D395" s="1" t="s">
        <v>1269</v>
      </c>
      <c r="E395" s="1" t="s">
        <v>1286</v>
      </c>
      <c r="F395" s="1" t="s">
        <v>5778</v>
      </c>
      <c r="G395" s="1" t="s">
        <v>5779</v>
      </c>
    </row>
    <row r="396" spans="1:7">
      <c r="A396" s="1">
        <v>1047</v>
      </c>
      <c r="B396" s="1" t="s">
        <v>5791</v>
      </c>
      <c r="D396" s="1" t="s">
        <v>1307</v>
      </c>
      <c r="E396" s="1" t="s">
        <v>1310</v>
      </c>
      <c r="F396" s="1" t="s">
        <v>5792</v>
      </c>
      <c r="G396" s="1" t="s">
        <v>5793</v>
      </c>
    </row>
    <row r="397" spans="1:7">
      <c r="A397" s="1">
        <v>1048</v>
      </c>
      <c r="B397" s="1" t="s">
        <v>5794</v>
      </c>
      <c r="D397" s="1" t="s">
        <v>1307</v>
      </c>
      <c r="E397" s="1" t="s">
        <v>1308</v>
      </c>
      <c r="F397" s="1" t="s">
        <v>5795</v>
      </c>
      <c r="G397" s="1" t="s">
        <v>5796</v>
      </c>
    </row>
    <row r="398" spans="1:7">
      <c r="A398" s="1">
        <v>1053</v>
      </c>
      <c r="B398" s="1" t="s">
        <v>5797</v>
      </c>
      <c r="D398" s="1" t="s">
        <v>1307</v>
      </c>
      <c r="E398" s="1" t="s">
        <v>1322</v>
      </c>
      <c r="F398" s="1" t="s">
        <v>5798</v>
      </c>
      <c r="G398" s="1" t="s">
        <v>5799</v>
      </c>
    </row>
    <row r="399" spans="1:7">
      <c r="A399" s="1">
        <v>1054</v>
      </c>
      <c r="B399" s="1" t="s">
        <v>5800</v>
      </c>
      <c r="D399" s="1" t="s">
        <v>1307</v>
      </c>
      <c r="E399" s="1" t="s">
        <v>1324</v>
      </c>
      <c r="F399" s="1" t="s">
        <v>5801</v>
      </c>
      <c r="G399" s="1" t="s">
        <v>5802</v>
      </c>
    </row>
    <row r="400" spans="1:7">
      <c r="A400" s="1">
        <v>1055</v>
      </c>
      <c r="B400" s="1" t="s">
        <v>5803</v>
      </c>
      <c r="D400" s="1" t="s">
        <v>1307</v>
      </c>
      <c r="E400" s="1" t="s">
        <v>1326</v>
      </c>
      <c r="F400" s="1" t="s">
        <v>5804</v>
      </c>
      <c r="G400" s="1" t="s">
        <v>5805</v>
      </c>
    </row>
    <row r="401" spans="1:7">
      <c r="A401" s="1">
        <v>1056</v>
      </c>
      <c r="B401" s="1" t="s">
        <v>5806</v>
      </c>
      <c r="D401" s="1" t="s">
        <v>1307</v>
      </c>
      <c r="E401" s="1" t="s">
        <v>1314</v>
      </c>
      <c r="F401" s="1" t="s">
        <v>5807</v>
      </c>
      <c r="G401" s="1" t="s">
        <v>5808</v>
      </c>
    </row>
    <row r="402" spans="1:7">
      <c r="A402" s="1">
        <v>1058</v>
      </c>
      <c r="B402" s="1" t="s">
        <v>5809</v>
      </c>
      <c r="D402" s="1" t="s">
        <v>1307</v>
      </c>
      <c r="E402" s="1" t="s">
        <v>1312</v>
      </c>
      <c r="F402" s="1" t="s">
        <v>5810</v>
      </c>
      <c r="G402" s="1" t="s">
        <v>5811</v>
      </c>
    </row>
    <row r="403" spans="1:7">
      <c r="A403" s="1">
        <v>1060</v>
      </c>
      <c r="B403" s="1" t="s">
        <v>5812</v>
      </c>
      <c r="D403" s="1" t="s">
        <v>1307</v>
      </c>
      <c r="E403" s="1" t="s">
        <v>1318</v>
      </c>
      <c r="F403" s="1" t="s">
        <v>5813</v>
      </c>
      <c r="G403" s="1" t="s">
        <v>5814</v>
      </c>
    </row>
    <row r="404" spans="1:7">
      <c r="A404" s="1">
        <v>1062</v>
      </c>
      <c r="B404" s="1" t="s">
        <v>5815</v>
      </c>
      <c r="D404" s="1" t="s">
        <v>1328</v>
      </c>
      <c r="E404" s="1" t="s">
        <v>1333</v>
      </c>
      <c r="F404" s="1" t="s">
        <v>5816</v>
      </c>
      <c r="G404" s="1" t="s">
        <v>5817</v>
      </c>
    </row>
    <row r="405" spans="1:7">
      <c r="A405" s="1">
        <v>1063</v>
      </c>
      <c r="B405" s="1" t="s">
        <v>5818</v>
      </c>
      <c r="D405" s="1" t="s">
        <v>1328</v>
      </c>
      <c r="E405" s="1" t="s">
        <v>1331</v>
      </c>
      <c r="F405" s="1" t="s">
        <v>5819</v>
      </c>
      <c r="G405" s="1" t="s">
        <v>5820</v>
      </c>
    </row>
    <row r="406" spans="1:7">
      <c r="A406" s="1">
        <v>1070</v>
      </c>
      <c r="B406" s="1" t="s">
        <v>5821</v>
      </c>
      <c r="D406" s="1" t="s">
        <v>1328</v>
      </c>
      <c r="E406" s="1" t="s">
        <v>1335</v>
      </c>
      <c r="F406" s="1" t="s">
        <v>5822</v>
      </c>
      <c r="G406" s="1" t="s">
        <v>5823</v>
      </c>
    </row>
    <row r="407" spans="1:7">
      <c r="A407" s="1">
        <v>1071</v>
      </c>
      <c r="B407" s="1" t="s">
        <v>5824</v>
      </c>
      <c r="D407" s="1" t="s">
        <v>1328</v>
      </c>
      <c r="E407" s="1" t="s">
        <v>1337</v>
      </c>
      <c r="F407" s="1" t="s">
        <v>5825</v>
      </c>
      <c r="G407" s="1" t="s">
        <v>5826</v>
      </c>
    </row>
    <row r="408" spans="1:7">
      <c r="A408" s="1">
        <v>1072</v>
      </c>
      <c r="B408" s="1" t="s">
        <v>5827</v>
      </c>
      <c r="D408" s="1" t="s">
        <v>1328</v>
      </c>
      <c r="E408" s="1" t="s">
        <v>1339</v>
      </c>
      <c r="F408" s="1" t="s">
        <v>5828</v>
      </c>
      <c r="G408" s="1" t="s">
        <v>5829</v>
      </c>
    </row>
    <row r="409" spans="1:7">
      <c r="A409" s="1">
        <v>1073</v>
      </c>
      <c r="B409" s="1" t="s">
        <v>5830</v>
      </c>
      <c r="D409" s="1" t="s">
        <v>1328</v>
      </c>
      <c r="E409" s="1" t="s">
        <v>1329</v>
      </c>
      <c r="F409" s="1" t="s">
        <v>5831</v>
      </c>
      <c r="G409" s="1" t="s">
        <v>5832</v>
      </c>
    </row>
    <row r="410" spans="1:7">
      <c r="A410" s="1">
        <v>1106</v>
      </c>
      <c r="B410" s="1" t="s">
        <v>5833</v>
      </c>
      <c r="D410" s="1" t="s">
        <v>1341</v>
      </c>
      <c r="E410" s="1" t="s">
        <v>1342</v>
      </c>
      <c r="F410" s="1" t="s">
        <v>5834</v>
      </c>
      <c r="G410" s="1" t="s">
        <v>5835</v>
      </c>
    </row>
    <row r="411" spans="1:7">
      <c r="A411" s="1">
        <v>1112</v>
      </c>
      <c r="B411" s="1" t="s">
        <v>5836</v>
      </c>
      <c r="D411" s="1" t="s">
        <v>5837</v>
      </c>
      <c r="E411" s="1" t="s">
        <v>5838</v>
      </c>
      <c r="F411" s="1" t="s">
        <v>5839</v>
      </c>
      <c r="G411" s="1" t="s">
        <v>5840</v>
      </c>
    </row>
    <row r="412" spans="1:7">
      <c r="A412" s="1">
        <v>1113</v>
      </c>
      <c r="B412" s="1" t="s">
        <v>5841</v>
      </c>
      <c r="D412" s="1" t="s">
        <v>5837</v>
      </c>
      <c r="E412" s="1" t="s">
        <v>5842</v>
      </c>
      <c r="F412" s="1" t="s">
        <v>5843</v>
      </c>
      <c r="G412" s="1" t="s">
        <v>5844</v>
      </c>
    </row>
    <row r="413" spans="1:7">
      <c r="A413" s="1">
        <v>1114</v>
      </c>
      <c r="B413" s="1" t="s">
        <v>5845</v>
      </c>
      <c r="D413" s="1" t="s">
        <v>5837</v>
      </c>
      <c r="E413" s="1" t="s">
        <v>5846</v>
      </c>
      <c r="F413" s="1" t="s">
        <v>5847</v>
      </c>
      <c r="G413" s="1" t="s">
        <v>5848</v>
      </c>
    </row>
    <row r="414" spans="1:7">
      <c r="A414" s="1">
        <v>1115</v>
      </c>
      <c r="B414" s="1" t="s">
        <v>5849</v>
      </c>
      <c r="D414" s="1" t="s">
        <v>5837</v>
      </c>
      <c r="E414" s="1" t="s">
        <v>5850</v>
      </c>
      <c r="F414" s="1" t="s">
        <v>5851</v>
      </c>
      <c r="G414" s="1" t="s">
        <v>5852</v>
      </c>
    </row>
    <row r="415" spans="1:7">
      <c r="A415" s="1">
        <v>1117</v>
      </c>
      <c r="B415" s="1" t="s">
        <v>5853</v>
      </c>
      <c r="D415" s="1" t="s">
        <v>1344</v>
      </c>
      <c r="E415" s="1" t="s">
        <v>5854</v>
      </c>
      <c r="F415" s="1" t="s">
        <v>5855</v>
      </c>
      <c r="G415" s="1" t="s">
        <v>5856</v>
      </c>
    </row>
    <row r="416" spans="1:7">
      <c r="A416" s="1">
        <v>1122</v>
      </c>
      <c r="B416" s="1" t="s">
        <v>5857</v>
      </c>
      <c r="D416" s="1" t="s">
        <v>1344</v>
      </c>
      <c r="E416" s="1" t="s">
        <v>5858</v>
      </c>
      <c r="F416" s="1" t="s">
        <v>5859</v>
      </c>
      <c r="G416" s="1" t="s">
        <v>5860</v>
      </c>
    </row>
    <row r="417" spans="1:7">
      <c r="A417" s="1">
        <v>1123</v>
      </c>
      <c r="B417" s="1" t="s">
        <v>5861</v>
      </c>
      <c r="D417" s="1" t="s">
        <v>1344</v>
      </c>
      <c r="E417" s="1" t="s">
        <v>5862</v>
      </c>
      <c r="F417" s="1" t="s">
        <v>5863</v>
      </c>
      <c r="G417" s="1" t="s">
        <v>5864</v>
      </c>
    </row>
    <row r="418" spans="1:7">
      <c r="A418" s="1">
        <v>1124</v>
      </c>
      <c r="B418" s="1" t="s">
        <v>5865</v>
      </c>
      <c r="D418" s="1" t="s">
        <v>1344</v>
      </c>
      <c r="E418" s="1" t="s">
        <v>1345</v>
      </c>
      <c r="F418" s="1" t="s">
        <v>5866</v>
      </c>
      <c r="G418" s="1" t="s">
        <v>5867</v>
      </c>
    </row>
    <row r="419" spans="1:7">
      <c r="A419" s="1">
        <v>1160</v>
      </c>
      <c r="B419" s="1" t="s">
        <v>5868</v>
      </c>
      <c r="D419" s="1" t="s">
        <v>1344</v>
      </c>
      <c r="E419" s="1" t="s">
        <v>5869</v>
      </c>
      <c r="F419" s="1" t="s">
        <v>5870</v>
      </c>
      <c r="G419" s="1" t="s">
        <v>5871</v>
      </c>
    </row>
    <row r="420" spans="1:7">
      <c r="A420" s="1">
        <v>1161</v>
      </c>
      <c r="B420" s="1" t="s">
        <v>5872</v>
      </c>
      <c r="D420" s="1" t="s">
        <v>1344</v>
      </c>
      <c r="E420" s="1" t="s">
        <v>5873</v>
      </c>
      <c r="F420" s="1" t="s">
        <v>5874</v>
      </c>
      <c r="G420" s="1" t="s">
        <v>5875</v>
      </c>
    </row>
    <row r="421" spans="1:7">
      <c r="A421" s="1">
        <v>1180</v>
      </c>
      <c r="B421" s="1" t="s">
        <v>5876</v>
      </c>
      <c r="D421" s="1" t="s">
        <v>1369</v>
      </c>
      <c r="E421" s="1" t="s">
        <v>5877</v>
      </c>
      <c r="F421" s="1" t="s">
        <v>5878</v>
      </c>
      <c r="G421" s="1" t="s">
        <v>5879</v>
      </c>
    </row>
    <row r="422" spans="1:7">
      <c r="A422" s="1">
        <v>1185</v>
      </c>
      <c r="B422" s="1" t="s">
        <v>5880</v>
      </c>
      <c r="D422" s="1" t="s">
        <v>1369</v>
      </c>
      <c r="E422" s="1" t="s">
        <v>5881</v>
      </c>
      <c r="F422" s="1" t="s">
        <v>5882</v>
      </c>
      <c r="G422" s="1" t="s">
        <v>5883</v>
      </c>
    </row>
    <row r="423" spans="1:7">
      <c r="A423" s="1">
        <v>1186</v>
      </c>
      <c r="B423" s="1" t="s">
        <v>5884</v>
      </c>
      <c r="D423" s="1" t="s">
        <v>1369</v>
      </c>
      <c r="E423" s="1" t="s">
        <v>5885</v>
      </c>
      <c r="F423" s="1" t="s">
        <v>5886</v>
      </c>
      <c r="G423" s="1" t="s">
        <v>5887</v>
      </c>
    </row>
    <row r="424" spans="1:7">
      <c r="A424" s="1">
        <v>1187</v>
      </c>
      <c r="B424" s="1" t="s">
        <v>5888</v>
      </c>
      <c r="D424" s="1" t="s">
        <v>1369</v>
      </c>
      <c r="E424" s="1" t="s">
        <v>1370</v>
      </c>
      <c r="F424" s="1" t="s">
        <v>5889</v>
      </c>
      <c r="G424" s="1" t="s">
        <v>5890</v>
      </c>
    </row>
    <row r="425" spans="1:7">
      <c r="A425" s="1">
        <v>1223</v>
      </c>
      <c r="B425" s="1" t="s">
        <v>5891</v>
      </c>
      <c r="D425" s="1" t="s">
        <v>1369</v>
      </c>
      <c r="E425" s="1" t="s">
        <v>5892</v>
      </c>
      <c r="F425" s="1" t="s">
        <v>5893</v>
      </c>
      <c r="G425" s="1" t="s">
        <v>5894</v>
      </c>
    </row>
    <row r="426" spans="1:7">
      <c r="A426" s="1">
        <v>1224</v>
      </c>
      <c r="B426" s="1" t="s">
        <v>5895</v>
      </c>
      <c r="D426" s="1" t="s">
        <v>1369</v>
      </c>
      <c r="E426" s="1" t="s">
        <v>5896</v>
      </c>
      <c r="F426" s="1" t="s">
        <v>5897</v>
      </c>
      <c r="G426" s="1" t="s">
        <v>5898</v>
      </c>
    </row>
    <row r="427" spans="1:7">
      <c r="A427" s="1">
        <v>1266</v>
      </c>
      <c r="B427" s="1" t="s">
        <v>5899</v>
      </c>
      <c r="D427" s="1" t="s">
        <v>1382</v>
      </c>
      <c r="E427" s="1" t="s">
        <v>1383</v>
      </c>
      <c r="F427" s="1" t="s">
        <v>5900</v>
      </c>
      <c r="G427" s="1" t="s">
        <v>5901</v>
      </c>
    </row>
    <row r="428" spans="1:7">
      <c r="A428" s="1">
        <v>1306</v>
      </c>
      <c r="B428" s="1" t="s">
        <v>5902</v>
      </c>
      <c r="D428" s="1" t="s">
        <v>1385</v>
      </c>
      <c r="E428" s="1" t="s">
        <v>1386</v>
      </c>
      <c r="F428" s="1" t="s">
        <v>5903</v>
      </c>
      <c r="G428" s="1" t="s">
        <v>5904</v>
      </c>
    </row>
    <row r="429" spans="1:7">
      <c r="A429" s="1">
        <v>1346</v>
      </c>
      <c r="B429" s="1" t="s">
        <v>5905</v>
      </c>
      <c r="D429" s="1" t="s">
        <v>1388</v>
      </c>
      <c r="E429" s="1" t="s">
        <v>1389</v>
      </c>
      <c r="F429" s="1" t="s">
        <v>5906</v>
      </c>
      <c r="G429" s="1" t="s">
        <v>5907</v>
      </c>
    </row>
    <row r="430" spans="1:7">
      <c r="A430" s="1">
        <v>1386</v>
      </c>
      <c r="B430" s="1" t="s">
        <v>5908</v>
      </c>
      <c r="D430" s="1" t="s">
        <v>1391</v>
      </c>
      <c r="E430" s="1" t="s">
        <v>1392</v>
      </c>
      <c r="F430" s="1" t="s">
        <v>5909</v>
      </c>
      <c r="G430" s="1" t="s">
        <v>5910</v>
      </c>
    </row>
    <row r="431" spans="1:7">
      <c r="A431" s="1">
        <v>1526</v>
      </c>
      <c r="B431" s="1" t="s">
        <v>5911</v>
      </c>
      <c r="D431" s="1" t="s">
        <v>1394</v>
      </c>
      <c r="E431" s="1" t="s">
        <v>5912</v>
      </c>
      <c r="F431" s="1" t="s">
        <v>1396</v>
      </c>
      <c r="G431" s="1" t="s">
        <v>1397</v>
      </c>
    </row>
    <row r="432" spans="1:7">
      <c r="A432" s="1">
        <v>1538</v>
      </c>
      <c r="B432" s="1" t="s">
        <v>5913</v>
      </c>
      <c r="D432" s="1" t="s">
        <v>1394</v>
      </c>
      <c r="E432" s="1" t="s">
        <v>5914</v>
      </c>
      <c r="F432" s="1" t="s">
        <v>1400</v>
      </c>
      <c r="G432" s="1" t="s">
        <v>1401</v>
      </c>
    </row>
    <row r="433" spans="1:7">
      <c r="A433" s="1">
        <v>1551</v>
      </c>
      <c r="B433" s="1" t="s">
        <v>5915</v>
      </c>
      <c r="D433" s="1" t="s">
        <v>1403</v>
      </c>
      <c r="E433" s="1" t="s">
        <v>1404</v>
      </c>
      <c r="F433" s="1" t="s">
        <v>5916</v>
      </c>
      <c r="G433" s="1" t="s">
        <v>5917</v>
      </c>
    </row>
    <row r="434" spans="1:7">
      <c r="A434" s="1">
        <v>1552</v>
      </c>
      <c r="B434" s="1" t="s">
        <v>5918</v>
      </c>
      <c r="D434" s="1" t="s">
        <v>1403</v>
      </c>
      <c r="E434" s="1" t="s">
        <v>1408</v>
      </c>
      <c r="F434" s="1" t="s">
        <v>5919</v>
      </c>
      <c r="G434" s="1" t="s">
        <v>5920</v>
      </c>
    </row>
    <row r="435" spans="1:7">
      <c r="A435" s="1">
        <v>1554</v>
      </c>
      <c r="B435" s="1" t="s">
        <v>5921</v>
      </c>
      <c r="D435" s="1" t="s">
        <v>1403</v>
      </c>
      <c r="E435" s="1" t="s">
        <v>1412</v>
      </c>
      <c r="F435" s="1" t="s">
        <v>5916</v>
      </c>
      <c r="G435" s="1" t="s">
        <v>5917</v>
      </c>
    </row>
    <row r="436" spans="1:7">
      <c r="A436" s="1">
        <v>1555</v>
      </c>
      <c r="B436" s="1" t="s">
        <v>5922</v>
      </c>
      <c r="D436" s="1" t="s">
        <v>1403</v>
      </c>
      <c r="E436" s="1" t="s">
        <v>1414</v>
      </c>
      <c r="F436" s="1" t="s">
        <v>5923</v>
      </c>
      <c r="G436" s="1" t="s">
        <v>5924</v>
      </c>
    </row>
    <row r="437" spans="1:7">
      <c r="A437" s="1">
        <v>1556</v>
      </c>
      <c r="B437" s="1" t="s">
        <v>5925</v>
      </c>
      <c r="D437" s="1" t="s">
        <v>1418</v>
      </c>
      <c r="E437" s="1" t="s">
        <v>5926</v>
      </c>
      <c r="F437" s="1" t="s">
        <v>5927</v>
      </c>
      <c r="G437" s="1" t="s">
        <v>5928</v>
      </c>
    </row>
    <row r="438" spans="1:7">
      <c r="A438" s="1">
        <v>1557</v>
      </c>
      <c r="B438" s="1" t="s">
        <v>5929</v>
      </c>
      <c r="D438" s="1" t="s">
        <v>1423</v>
      </c>
      <c r="E438" s="1" t="s">
        <v>1419</v>
      </c>
      <c r="F438" s="1" t="s">
        <v>5930</v>
      </c>
      <c r="G438" s="1" t="s">
        <v>5931</v>
      </c>
    </row>
    <row r="439" spans="1:7">
      <c r="A439" s="1">
        <v>1559</v>
      </c>
      <c r="B439" s="1" t="s">
        <v>5932</v>
      </c>
      <c r="D439" s="1" t="s">
        <v>1428</v>
      </c>
      <c r="E439" s="1" t="s">
        <v>5933</v>
      </c>
      <c r="F439" s="1" t="s">
        <v>5934</v>
      </c>
      <c r="G439" s="1" t="s">
        <v>5935</v>
      </c>
    </row>
    <row r="440" spans="1:7">
      <c r="A440" s="1">
        <v>1560</v>
      </c>
      <c r="B440" s="1" t="s">
        <v>5936</v>
      </c>
      <c r="D440" s="1" t="s">
        <v>1428</v>
      </c>
      <c r="E440" s="1" t="s">
        <v>5937</v>
      </c>
      <c r="F440" s="1" t="s">
        <v>5938</v>
      </c>
      <c r="G440" s="1" t="s">
        <v>5939</v>
      </c>
    </row>
    <row r="441" spans="1:7">
      <c r="A441" s="1">
        <v>1561</v>
      </c>
      <c r="B441" s="1" t="s">
        <v>5940</v>
      </c>
      <c r="D441" s="1" t="s">
        <v>1428</v>
      </c>
      <c r="E441" s="1" t="s">
        <v>5941</v>
      </c>
      <c r="F441" s="1" t="s">
        <v>5942</v>
      </c>
      <c r="G441" s="1" t="s">
        <v>5943</v>
      </c>
    </row>
    <row r="442" spans="1:7">
      <c r="A442" s="1">
        <v>1562</v>
      </c>
      <c r="B442" s="1" t="s">
        <v>5944</v>
      </c>
      <c r="D442" s="1" t="s">
        <v>1428</v>
      </c>
      <c r="E442" s="1" t="s">
        <v>5945</v>
      </c>
      <c r="F442" s="1" t="s">
        <v>5946</v>
      </c>
      <c r="G442" s="1" t="s">
        <v>5947</v>
      </c>
    </row>
    <row r="443" spans="1:7">
      <c r="A443" s="1">
        <v>1566</v>
      </c>
      <c r="B443" s="1" t="s">
        <v>5948</v>
      </c>
      <c r="D443" s="1" t="s">
        <v>1445</v>
      </c>
      <c r="E443" s="1" t="s">
        <v>1446</v>
      </c>
      <c r="F443" s="1" t="s">
        <v>5949</v>
      </c>
      <c r="G443" s="1" t="s">
        <v>5950</v>
      </c>
    </row>
    <row r="444" spans="1:7">
      <c r="A444" s="1">
        <v>1567</v>
      </c>
      <c r="B444" s="1" t="s">
        <v>5951</v>
      </c>
      <c r="D444" s="1" t="s">
        <v>1445</v>
      </c>
      <c r="E444" s="1" t="s">
        <v>1450</v>
      </c>
      <c r="F444" s="1" t="s">
        <v>5952</v>
      </c>
      <c r="G444" s="1" t="s">
        <v>5953</v>
      </c>
    </row>
    <row r="445" spans="1:7">
      <c r="A445" s="1">
        <v>1575</v>
      </c>
      <c r="B445" s="1" t="s">
        <v>5954</v>
      </c>
      <c r="D445" s="1" t="s">
        <v>1454</v>
      </c>
      <c r="E445" s="1" t="s">
        <v>1455</v>
      </c>
      <c r="F445" s="1" t="s">
        <v>5955</v>
      </c>
      <c r="G445" s="1" t="s">
        <v>5956</v>
      </c>
    </row>
    <row r="446" spans="1:7">
      <c r="A446" s="1">
        <v>1577</v>
      </c>
      <c r="B446" s="1" t="s">
        <v>5957</v>
      </c>
      <c r="D446" s="1" t="s">
        <v>1454</v>
      </c>
      <c r="E446" s="1" t="s">
        <v>1459</v>
      </c>
      <c r="F446" s="1" t="s">
        <v>5958</v>
      </c>
      <c r="G446" s="1" t="s">
        <v>5959</v>
      </c>
    </row>
    <row r="447" spans="1:7">
      <c r="A447" s="1">
        <v>1582</v>
      </c>
      <c r="B447" s="1" t="s">
        <v>5960</v>
      </c>
      <c r="D447" s="1" t="s">
        <v>1454</v>
      </c>
      <c r="E447" s="1" t="s">
        <v>1463</v>
      </c>
      <c r="F447" s="1" t="s">
        <v>5961</v>
      </c>
      <c r="G447" s="1" t="s">
        <v>5962</v>
      </c>
    </row>
    <row r="448" spans="1:7">
      <c r="A448" s="1">
        <v>1585</v>
      </c>
      <c r="B448" s="1" t="s">
        <v>5963</v>
      </c>
      <c r="D448" s="1" t="s">
        <v>1454</v>
      </c>
      <c r="E448" s="1" t="s">
        <v>1467</v>
      </c>
      <c r="F448" s="1" t="s">
        <v>5964</v>
      </c>
      <c r="G448" s="1" t="s">
        <v>5965</v>
      </c>
    </row>
    <row r="449" spans="1:7">
      <c r="A449" s="1">
        <v>1588</v>
      </c>
      <c r="B449" s="1" t="s">
        <v>5966</v>
      </c>
      <c r="D449" s="1" t="s">
        <v>1454</v>
      </c>
      <c r="E449" s="1" t="s">
        <v>1483</v>
      </c>
      <c r="F449" s="1" t="s">
        <v>5967</v>
      </c>
      <c r="G449" s="1" t="s">
        <v>5968</v>
      </c>
    </row>
    <row r="450" spans="1:7">
      <c r="A450" s="1">
        <v>1591</v>
      </c>
      <c r="B450" s="1" t="s">
        <v>5969</v>
      </c>
      <c r="D450" s="1" t="s">
        <v>1454</v>
      </c>
      <c r="E450" s="1" t="s">
        <v>1471</v>
      </c>
      <c r="F450" s="1" t="s">
        <v>5970</v>
      </c>
      <c r="G450" s="1" t="s">
        <v>5971</v>
      </c>
    </row>
    <row r="451" spans="1:7">
      <c r="A451" s="1">
        <v>1592</v>
      </c>
      <c r="B451" s="1" t="s">
        <v>5972</v>
      </c>
      <c r="D451" s="1" t="s">
        <v>1454</v>
      </c>
      <c r="E451" s="1" t="s">
        <v>1479</v>
      </c>
      <c r="F451" s="1" t="s">
        <v>5973</v>
      </c>
      <c r="G451" s="1" t="s">
        <v>5974</v>
      </c>
    </row>
    <row r="452" spans="1:7">
      <c r="A452" s="1">
        <v>1593</v>
      </c>
      <c r="B452" s="1" t="s">
        <v>5975</v>
      </c>
      <c r="D452" s="1" t="s">
        <v>1454</v>
      </c>
      <c r="E452" s="1" t="s">
        <v>1475</v>
      </c>
      <c r="F452" s="1" t="s">
        <v>5976</v>
      </c>
      <c r="G452" s="1" t="s">
        <v>5977</v>
      </c>
    </row>
    <row r="453" spans="1:7">
      <c r="A453" s="1">
        <v>1597</v>
      </c>
      <c r="B453" s="1" t="s">
        <v>5978</v>
      </c>
      <c r="D453" s="1" t="s">
        <v>1487</v>
      </c>
      <c r="E453" s="1" t="s">
        <v>5979</v>
      </c>
      <c r="F453" s="1" t="s">
        <v>1489</v>
      </c>
      <c r="G453" s="1" t="s">
        <v>1490</v>
      </c>
    </row>
    <row r="454" spans="1:7">
      <c r="A454" s="1">
        <v>1599</v>
      </c>
      <c r="B454" s="1" t="s">
        <v>5980</v>
      </c>
      <c r="D454" s="1" t="s">
        <v>1487</v>
      </c>
      <c r="E454" s="1" t="s">
        <v>5981</v>
      </c>
      <c r="F454" s="1" t="s">
        <v>1493</v>
      </c>
      <c r="G454" s="1" t="s">
        <v>1494</v>
      </c>
    </row>
    <row r="455" spans="1:7">
      <c r="A455" s="1">
        <v>1604</v>
      </c>
      <c r="B455" s="1" t="s">
        <v>5982</v>
      </c>
      <c r="D455" s="1" t="s">
        <v>1487</v>
      </c>
      <c r="E455" s="1" t="s">
        <v>5983</v>
      </c>
      <c r="F455" s="1" t="s">
        <v>1497</v>
      </c>
      <c r="G455" s="1" t="s">
        <v>1498</v>
      </c>
    </row>
    <row r="456" spans="1:7">
      <c r="A456" s="1">
        <v>1607</v>
      </c>
      <c r="B456" s="1" t="s">
        <v>5984</v>
      </c>
      <c r="D456" s="1" t="s">
        <v>1487</v>
      </c>
      <c r="E456" s="1" t="s">
        <v>5985</v>
      </c>
      <c r="F456" s="1" t="s">
        <v>1501</v>
      </c>
      <c r="G456" s="1" t="s">
        <v>1502</v>
      </c>
    </row>
    <row r="457" spans="1:7">
      <c r="A457" s="1">
        <v>1610</v>
      </c>
      <c r="B457" s="1" t="s">
        <v>5986</v>
      </c>
      <c r="D457" s="1" t="s">
        <v>1487</v>
      </c>
      <c r="E457" s="1" t="s">
        <v>5987</v>
      </c>
      <c r="F457" s="1" t="s">
        <v>1505</v>
      </c>
      <c r="G457" s="1" t="s">
        <v>1506</v>
      </c>
    </row>
    <row r="458" spans="1:7">
      <c r="A458" s="1">
        <v>1612</v>
      </c>
      <c r="B458" s="1" t="s">
        <v>5988</v>
      </c>
      <c r="D458" s="1" t="s">
        <v>1487</v>
      </c>
      <c r="E458" s="1" t="s">
        <v>5989</v>
      </c>
      <c r="F458" s="1" t="s">
        <v>1509</v>
      </c>
      <c r="G458" s="1" t="s">
        <v>1510</v>
      </c>
    </row>
    <row r="459" spans="1:7">
      <c r="A459" s="1">
        <v>1616</v>
      </c>
      <c r="B459" s="1" t="s">
        <v>5990</v>
      </c>
      <c r="D459" s="1" t="s">
        <v>1512</v>
      </c>
      <c r="E459" s="1" t="s">
        <v>1515</v>
      </c>
      <c r="F459" s="1" t="s">
        <v>5991</v>
      </c>
      <c r="G459" s="1" t="s">
        <v>5992</v>
      </c>
    </row>
    <row r="460" spans="1:7">
      <c r="A460" s="1">
        <v>1617</v>
      </c>
      <c r="B460" s="1" t="s">
        <v>5993</v>
      </c>
      <c r="D460" s="1" t="s">
        <v>1512</v>
      </c>
      <c r="E460" s="1" t="s">
        <v>1513</v>
      </c>
      <c r="F460" s="1" t="s">
        <v>5994</v>
      </c>
      <c r="G460" s="1" t="s">
        <v>5995</v>
      </c>
    </row>
    <row r="461" spans="1:7">
      <c r="A461" s="1">
        <v>1621</v>
      </c>
      <c r="B461" s="1" t="s">
        <v>5996</v>
      </c>
      <c r="D461" s="1" t="s">
        <v>1512</v>
      </c>
      <c r="E461" s="1" t="s">
        <v>1527</v>
      </c>
      <c r="F461" s="1" t="s">
        <v>5997</v>
      </c>
      <c r="G461" s="1" t="s">
        <v>5998</v>
      </c>
    </row>
    <row r="462" spans="1:7">
      <c r="A462" s="1">
        <v>1622</v>
      </c>
      <c r="B462" s="1" t="s">
        <v>5999</v>
      </c>
      <c r="D462" s="1" t="s">
        <v>1512</v>
      </c>
      <c r="E462" s="1" t="s">
        <v>1531</v>
      </c>
      <c r="F462" s="1" t="s">
        <v>6000</v>
      </c>
      <c r="G462" s="1" t="s">
        <v>6001</v>
      </c>
    </row>
    <row r="463" spans="1:7">
      <c r="A463" s="1">
        <v>1623</v>
      </c>
      <c r="B463" s="1" t="s">
        <v>6002</v>
      </c>
      <c r="D463" s="1" t="s">
        <v>1512</v>
      </c>
      <c r="E463" s="1" t="s">
        <v>1535</v>
      </c>
      <c r="F463" s="1" t="s">
        <v>6003</v>
      </c>
      <c r="G463" s="1" t="s">
        <v>6004</v>
      </c>
    </row>
    <row r="464" spans="1:7">
      <c r="A464" s="1">
        <v>1624</v>
      </c>
      <c r="B464" s="1" t="s">
        <v>6005</v>
      </c>
      <c r="D464" s="1" t="s">
        <v>1512</v>
      </c>
      <c r="E464" s="1" t="s">
        <v>1517</v>
      </c>
      <c r="F464" s="1" t="s">
        <v>6006</v>
      </c>
      <c r="G464" s="1" t="s">
        <v>6007</v>
      </c>
    </row>
    <row r="465" spans="1:7">
      <c r="A465" s="1">
        <v>1625</v>
      </c>
      <c r="B465" s="1" t="s">
        <v>6008</v>
      </c>
      <c r="D465" s="1" t="s">
        <v>1512</v>
      </c>
      <c r="E465" s="1" t="s">
        <v>1521</v>
      </c>
      <c r="F465" s="1" t="s">
        <v>6009</v>
      </c>
      <c r="G465" s="1" t="s">
        <v>6010</v>
      </c>
    </row>
    <row r="466" spans="1:7">
      <c r="A466" s="1">
        <v>1627</v>
      </c>
      <c r="B466" s="1" t="s">
        <v>6011</v>
      </c>
      <c r="D466" s="1" t="s">
        <v>1512</v>
      </c>
      <c r="E466" s="1" t="s">
        <v>1523</v>
      </c>
      <c r="F466" s="1" t="s">
        <v>6012</v>
      </c>
      <c r="G466" s="1" t="s">
        <v>6013</v>
      </c>
    </row>
    <row r="467" spans="1:7">
      <c r="A467" s="1">
        <v>1630</v>
      </c>
      <c r="B467" s="1" t="s">
        <v>6014</v>
      </c>
      <c r="D467" s="1" t="s">
        <v>1539</v>
      </c>
      <c r="E467" s="1" t="s">
        <v>1540</v>
      </c>
      <c r="F467" s="1" t="s">
        <v>6015</v>
      </c>
      <c r="G467" s="1" t="s">
        <v>6016</v>
      </c>
    </row>
    <row r="468" spans="1:7">
      <c r="A468" s="1">
        <v>1631</v>
      </c>
      <c r="B468" s="1" t="s">
        <v>6017</v>
      </c>
      <c r="D468" s="1" t="s">
        <v>1539</v>
      </c>
      <c r="E468" s="1" t="s">
        <v>1544</v>
      </c>
      <c r="F468" s="1" t="s">
        <v>6018</v>
      </c>
      <c r="G468" s="1" t="s">
        <v>6019</v>
      </c>
    </row>
    <row r="469" spans="1:7">
      <c r="A469" s="1">
        <v>1632</v>
      </c>
      <c r="B469" s="1" t="s">
        <v>6020</v>
      </c>
      <c r="D469" s="1" t="s">
        <v>1539</v>
      </c>
      <c r="E469" s="1" t="s">
        <v>1548</v>
      </c>
      <c r="F469" s="1" t="s">
        <v>6021</v>
      </c>
      <c r="G469" s="1" t="s">
        <v>6022</v>
      </c>
    </row>
    <row r="470" spans="1:7">
      <c r="A470" s="1">
        <v>1633</v>
      </c>
      <c r="B470" s="1" t="s">
        <v>6023</v>
      </c>
      <c r="D470" s="1" t="s">
        <v>1539</v>
      </c>
      <c r="E470" s="1" t="s">
        <v>1552</v>
      </c>
      <c r="F470" s="1" t="s">
        <v>6024</v>
      </c>
      <c r="G470" s="1" t="s">
        <v>6025</v>
      </c>
    </row>
    <row r="471" spans="1:7">
      <c r="A471" s="1">
        <v>1634</v>
      </c>
      <c r="B471" s="1" t="s">
        <v>6026</v>
      </c>
      <c r="D471" s="1" t="s">
        <v>1539</v>
      </c>
      <c r="E471" s="1" t="s">
        <v>1556</v>
      </c>
      <c r="F471" s="1" t="s">
        <v>6027</v>
      </c>
      <c r="G471" s="1" t="s">
        <v>6028</v>
      </c>
    </row>
    <row r="472" spans="1:7">
      <c r="A472" s="1">
        <v>1635</v>
      </c>
      <c r="B472" s="1" t="s">
        <v>6029</v>
      </c>
      <c r="D472" s="1" t="s">
        <v>1539</v>
      </c>
      <c r="E472" s="1" t="s">
        <v>1560</v>
      </c>
      <c r="F472" s="1" t="s">
        <v>6030</v>
      </c>
      <c r="G472" s="1" t="s">
        <v>6031</v>
      </c>
    </row>
    <row r="473" spans="1:7">
      <c r="A473" s="1">
        <v>1636</v>
      </c>
      <c r="B473" s="1" t="s">
        <v>6032</v>
      </c>
      <c r="D473" s="1" t="s">
        <v>1539</v>
      </c>
      <c r="E473" s="1" t="s">
        <v>1564</v>
      </c>
      <c r="F473" s="1" t="s">
        <v>6033</v>
      </c>
      <c r="G473" s="1" t="s">
        <v>6034</v>
      </c>
    </row>
    <row r="474" spans="1:7">
      <c r="A474" s="1">
        <v>1637</v>
      </c>
      <c r="B474" s="1" t="s">
        <v>6035</v>
      </c>
      <c r="D474" s="1" t="s">
        <v>1539</v>
      </c>
      <c r="E474" s="1" t="s">
        <v>1566</v>
      </c>
      <c r="F474" s="1" t="s">
        <v>6036</v>
      </c>
      <c r="G474" s="1" t="s">
        <v>6037</v>
      </c>
    </row>
    <row r="475" spans="1:7">
      <c r="A475" s="1">
        <v>1638</v>
      </c>
      <c r="B475" s="1" t="s">
        <v>6038</v>
      </c>
      <c r="D475" s="1" t="s">
        <v>1539</v>
      </c>
      <c r="E475" s="1" t="s">
        <v>1568</v>
      </c>
      <c r="F475" s="1" t="s">
        <v>6039</v>
      </c>
      <c r="G475" s="1" t="s">
        <v>6040</v>
      </c>
    </row>
    <row r="476" spans="1:7">
      <c r="A476" s="1">
        <v>1641</v>
      </c>
      <c r="B476" s="1" t="s">
        <v>6041</v>
      </c>
      <c r="D476" s="1" t="s">
        <v>1570</v>
      </c>
      <c r="E476" s="1" t="s">
        <v>1575</v>
      </c>
      <c r="F476" s="1" t="s">
        <v>1576</v>
      </c>
      <c r="G476" s="1" t="s">
        <v>1577</v>
      </c>
    </row>
    <row r="477" spans="1:7">
      <c r="A477" s="1">
        <v>1643</v>
      </c>
      <c r="B477" s="1" t="s">
        <v>6042</v>
      </c>
      <c r="D477" s="1" t="s">
        <v>1570</v>
      </c>
      <c r="E477" s="1" t="s">
        <v>1571</v>
      </c>
      <c r="F477" s="1" t="s">
        <v>1572</v>
      </c>
      <c r="G477" s="1" t="s">
        <v>1573</v>
      </c>
    </row>
    <row r="478" spans="1:7">
      <c r="A478" s="1">
        <v>1645</v>
      </c>
      <c r="B478" s="1" t="s">
        <v>6043</v>
      </c>
      <c r="D478" s="1" t="s">
        <v>1579</v>
      </c>
      <c r="E478" s="1" t="s">
        <v>1582</v>
      </c>
      <c r="F478" s="1" t="s">
        <v>1576</v>
      </c>
      <c r="G478" s="1" t="s">
        <v>1577</v>
      </c>
    </row>
    <row r="479" spans="1:7">
      <c r="A479" s="1">
        <v>1647</v>
      </c>
      <c r="B479" s="1" t="s">
        <v>6044</v>
      </c>
      <c r="D479" s="1" t="s">
        <v>1579</v>
      </c>
      <c r="E479" s="1" t="s">
        <v>1580</v>
      </c>
      <c r="F479" s="1" t="s">
        <v>1572</v>
      </c>
      <c r="G479" s="1" t="s">
        <v>1573</v>
      </c>
    </row>
    <row r="480" spans="1:7">
      <c r="A480" s="1">
        <v>1652</v>
      </c>
      <c r="B480" s="1" t="s">
        <v>6045</v>
      </c>
      <c r="D480" s="1" t="s">
        <v>1584</v>
      </c>
      <c r="E480" s="1" t="s">
        <v>1585</v>
      </c>
      <c r="F480" s="1" t="s">
        <v>6046</v>
      </c>
      <c r="G480" s="1" t="s">
        <v>6047</v>
      </c>
    </row>
    <row r="481" spans="1:7">
      <c r="A481" s="1">
        <v>1653</v>
      </c>
      <c r="B481" s="1" t="s">
        <v>6048</v>
      </c>
      <c r="D481" s="1" t="s">
        <v>1584</v>
      </c>
      <c r="E481" s="1" t="s">
        <v>1587</v>
      </c>
      <c r="F481" s="1" t="s">
        <v>6049</v>
      </c>
      <c r="G481" s="1" t="s">
        <v>6050</v>
      </c>
    </row>
    <row r="482" spans="1:7">
      <c r="A482" s="1">
        <v>1654</v>
      </c>
      <c r="B482" s="1" t="s">
        <v>6051</v>
      </c>
      <c r="D482" s="1" t="s">
        <v>1584</v>
      </c>
      <c r="E482" s="1" t="s">
        <v>1591</v>
      </c>
      <c r="F482" s="1" t="s">
        <v>6052</v>
      </c>
      <c r="G482" s="1" t="s">
        <v>6053</v>
      </c>
    </row>
    <row r="483" spans="1:7">
      <c r="A483" s="1">
        <v>1655</v>
      </c>
      <c r="B483" s="1" t="s">
        <v>6054</v>
      </c>
      <c r="D483" s="1" t="s">
        <v>1584</v>
      </c>
      <c r="E483" s="1" t="s">
        <v>1603</v>
      </c>
      <c r="F483" s="1" t="s">
        <v>6055</v>
      </c>
      <c r="G483" s="1" t="s">
        <v>6056</v>
      </c>
    </row>
    <row r="484" spans="1:7">
      <c r="A484" s="1">
        <v>1656</v>
      </c>
      <c r="B484" s="1" t="s">
        <v>6057</v>
      </c>
      <c r="D484" s="1" t="s">
        <v>1584</v>
      </c>
      <c r="E484" s="1" t="s">
        <v>1611</v>
      </c>
      <c r="F484" s="1" t="s">
        <v>6058</v>
      </c>
      <c r="G484" s="1" t="s">
        <v>6059</v>
      </c>
    </row>
    <row r="485" spans="1:7">
      <c r="A485" s="1">
        <v>1657</v>
      </c>
      <c r="B485" s="1" t="s">
        <v>6060</v>
      </c>
      <c r="D485" s="1" t="s">
        <v>1584</v>
      </c>
      <c r="E485" s="1" t="s">
        <v>1615</v>
      </c>
      <c r="F485" s="1" t="s">
        <v>6061</v>
      </c>
      <c r="G485" s="1" t="s">
        <v>6062</v>
      </c>
    </row>
    <row r="486" spans="1:7">
      <c r="A486" s="1">
        <v>1658</v>
      </c>
      <c r="B486" s="1" t="s">
        <v>6063</v>
      </c>
      <c r="D486" s="1" t="s">
        <v>1584</v>
      </c>
      <c r="E486" s="1" t="s">
        <v>1619</v>
      </c>
      <c r="F486" s="1" t="s">
        <v>6064</v>
      </c>
      <c r="G486" s="1" t="s">
        <v>6065</v>
      </c>
    </row>
    <row r="487" spans="1:7">
      <c r="A487" s="1">
        <v>1659</v>
      </c>
      <c r="B487" s="1" t="s">
        <v>6066</v>
      </c>
      <c r="D487" s="1" t="s">
        <v>1584</v>
      </c>
      <c r="E487" s="1" t="s">
        <v>1607</v>
      </c>
      <c r="F487" s="1" t="s">
        <v>6067</v>
      </c>
      <c r="G487" s="1" t="s">
        <v>6068</v>
      </c>
    </row>
    <row r="488" spans="1:7">
      <c r="A488" s="1">
        <v>1661</v>
      </c>
      <c r="B488" s="1" t="s">
        <v>6069</v>
      </c>
      <c r="D488" s="1" t="s">
        <v>1584</v>
      </c>
      <c r="E488" s="1" t="s">
        <v>1631</v>
      </c>
      <c r="F488" s="1" t="s">
        <v>6055</v>
      </c>
      <c r="G488" s="1" t="s">
        <v>6056</v>
      </c>
    </row>
    <row r="489" spans="1:7">
      <c r="A489" s="1">
        <v>1664</v>
      </c>
      <c r="B489" s="1" t="s">
        <v>6070</v>
      </c>
      <c r="D489" s="1" t="s">
        <v>1584</v>
      </c>
      <c r="E489" s="1" t="s">
        <v>1595</v>
      </c>
      <c r="F489" s="1" t="s">
        <v>6071</v>
      </c>
      <c r="G489" s="1" t="s">
        <v>6072</v>
      </c>
    </row>
    <row r="490" spans="1:7">
      <c r="A490" s="1">
        <v>1665</v>
      </c>
      <c r="B490" s="1" t="s">
        <v>6073</v>
      </c>
      <c r="D490" s="1" t="s">
        <v>1584</v>
      </c>
      <c r="E490" s="1" t="s">
        <v>1599</v>
      </c>
      <c r="F490" s="1" t="s">
        <v>6074</v>
      </c>
      <c r="G490" s="1" t="s">
        <v>6075</v>
      </c>
    </row>
    <row r="491" spans="1:7">
      <c r="A491" s="1">
        <v>1667</v>
      </c>
      <c r="B491" s="1" t="s">
        <v>6076</v>
      </c>
      <c r="D491" s="1" t="s">
        <v>1584</v>
      </c>
      <c r="E491" s="1" t="s">
        <v>1633</v>
      </c>
      <c r="F491" s="1" t="s">
        <v>6077</v>
      </c>
      <c r="G491" s="1" t="s">
        <v>6078</v>
      </c>
    </row>
    <row r="492" spans="1:7">
      <c r="A492" s="1">
        <v>1671</v>
      </c>
      <c r="B492" s="1" t="s">
        <v>6079</v>
      </c>
      <c r="D492" s="1" t="s">
        <v>1584</v>
      </c>
      <c r="E492" s="1" t="s">
        <v>1623</v>
      </c>
      <c r="F492" s="1" t="s">
        <v>6080</v>
      </c>
      <c r="G492" s="1" t="s">
        <v>6081</v>
      </c>
    </row>
    <row r="493" spans="1:7">
      <c r="A493" s="1">
        <v>1672</v>
      </c>
      <c r="B493" s="1" t="s">
        <v>6082</v>
      </c>
      <c r="D493" s="1" t="s">
        <v>1584</v>
      </c>
      <c r="E493" s="1" t="s">
        <v>1627</v>
      </c>
      <c r="F493" s="1" t="s">
        <v>6083</v>
      </c>
      <c r="G493" s="1" t="s">
        <v>6084</v>
      </c>
    </row>
    <row r="494" spans="1:7">
      <c r="A494" s="1">
        <v>1673</v>
      </c>
      <c r="B494" s="1" t="s">
        <v>6085</v>
      </c>
      <c r="D494" s="1" t="s">
        <v>1637</v>
      </c>
      <c r="E494" s="1" t="s">
        <v>1638</v>
      </c>
      <c r="F494" s="1" t="s">
        <v>1639</v>
      </c>
      <c r="G494" s="1" t="s">
        <v>1640</v>
      </c>
    </row>
    <row r="495" spans="1:7">
      <c r="A495" s="1">
        <v>1674</v>
      </c>
      <c r="B495" s="1" t="s">
        <v>6086</v>
      </c>
      <c r="D495" s="1" t="s">
        <v>1642</v>
      </c>
      <c r="E495" s="1" t="s">
        <v>1645</v>
      </c>
      <c r="F495" s="1" t="s">
        <v>6087</v>
      </c>
      <c r="G495" s="1" t="s">
        <v>6088</v>
      </c>
    </row>
    <row r="496" spans="1:7">
      <c r="A496" s="1">
        <v>1675</v>
      </c>
      <c r="B496" s="1" t="s">
        <v>6089</v>
      </c>
      <c r="D496" s="1" t="s">
        <v>1642</v>
      </c>
      <c r="E496" s="1" t="s">
        <v>1643</v>
      </c>
      <c r="F496" s="1" t="s">
        <v>6090</v>
      </c>
      <c r="G496" s="1" t="s">
        <v>6091</v>
      </c>
    </row>
    <row r="497" spans="1:7">
      <c r="A497" s="1">
        <v>1681</v>
      </c>
      <c r="B497" s="1" t="s">
        <v>6092</v>
      </c>
      <c r="D497" s="1" t="s">
        <v>1642</v>
      </c>
      <c r="E497" s="1" t="s">
        <v>1649</v>
      </c>
      <c r="F497" s="1" t="s">
        <v>6093</v>
      </c>
      <c r="G497" s="1" t="s">
        <v>6094</v>
      </c>
    </row>
    <row r="498" spans="1:7">
      <c r="A498" s="1">
        <v>1682</v>
      </c>
      <c r="B498" s="1" t="s">
        <v>6095</v>
      </c>
      <c r="D498" s="1" t="s">
        <v>1642</v>
      </c>
      <c r="E498" s="1" t="s">
        <v>1651</v>
      </c>
      <c r="F498" s="1" t="s">
        <v>6096</v>
      </c>
      <c r="G498" s="1" t="s">
        <v>6097</v>
      </c>
    </row>
    <row r="499" spans="1:7">
      <c r="A499" s="1">
        <v>1683</v>
      </c>
      <c r="B499" s="1" t="s">
        <v>6098</v>
      </c>
      <c r="D499" s="1" t="s">
        <v>1642</v>
      </c>
      <c r="E499" s="1" t="s">
        <v>1653</v>
      </c>
      <c r="F499" s="1" t="s">
        <v>6099</v>
      </c>
      <c r="G499" s="1" t="s">
        <v>6100</v>
      </c>
    </row>
    <row r="500" spans="1:7">
      <c r="A500" s="1">
        <v>1684</v>
      </c>
      <c r="B500" s="1" t="s">
        <v>6101</v>
      </c>
      <c r="D500" s="1" t="s">
        <v>1642</v>
      </c>
      <c r="E500" s="1" t="s">
        <v>1647</v>
      </c>
      <c r="F500" s="1" t="s">
        <v>6102</v>
      </c>
      <c r="G500" s="1" t="s">
        <v>6103</v>
      </c>
    </row>
    <row r="501" spans="1:7">
      <c r="A501" s="1">
        <v>1688</v>
      </c>
      <c r="B501" s="1" t="s">
        <v>6104</v>
      </c>
      <c r="D501" s="1" t="s">
        <v>1670</v>
      </c>
      <c r="E501" s="1" t="s">
        <v>6105</v>
      </c>
      <c r="F501" s="1" t="s">
        <v>6106</v>
      </c>
      <c r="G501" s="1" t="s">
        <v>6107</v>
      </c>
    </row>
    <row r="502" spans="1:7">
      <c r="A502" s="1">
        <v>1690</v>
      </c>
      <c r="B502" s="1" t="s">
        <v>6108</v>
      </c>
      <c r="D502" s="1" t="s">
        <v>1670</v>
      </c>
      <c r="E502" s="1" t="s">
        <v>6109</v>
      </c>
      <c r="F502" s="1" t="s">
        <v>6110</v>
      </c>
      <c r="G502" s="1" t="s">
        <v>6111</v>
      </c>
    </row>
    <row r="503" spans="1:7">
      <c r="A503" s="1">
        <v>1692</v>
      </c>
      <c r="B503" s="1" t="s">
        <v>6112</v>
      </c>
      <c r="D503" s="1" t="s">
        <v>1670</v>
      </c>
      <c r="E503" s="1" t="s">
        <v>6113</v>
      </c>
      <c r="F503" s="1" t="s">
        <v>6114</v>
      </c>
      <c r="G503" s="1" t="s">
        <v>6115</v>
      </c>
    </row>
    <row r="504" spans="1:7">
      <c r="A504" s="1">
        <v>1693</v>
      </c>
      <c r="B504" s="1" t="s">
        <v>6116</v>
      </c>
      <c r="D504" s="1" t="s">
        <v>1670</v>
      </c>
      <c r="E504" s="1" t="s">
        <v>6117</v>
      </c>
      <c r="F504" s="1" t="s">
        <v>6118</v>
      </c>
      <c r="G504" s="1" t="s">
        <v>6119</v>
      </c>
    </row>
    <row r="505" spans="1:7">
      <c r="A505" s="1">
        <v>1695</v>
      </c>
      <c r="B505" s="1" t="s">
        <v>6120</v>
      </c>
      <c r="D505" s="1" t="s">
        <v>6121</v>
      </c>
      <c r="E505" s="1" t="s">
        <v>6122</v>
      </c>
      <c r="F505" s="1" t="s">
        <v>6123</v>
      </c>
      <c r="G505" s="1" t="s">
        <v>6124</v>
      </c>
    </row>
    <row r="506" spans="1:7">
      <c r="A506" s="1">
        <v>1696</v>
      </c>
      <c r="B506" s="1" t="s">
        <v>6125</v>
      </c>
      <c r="D506" s="1" t="s">
        <v>6121</v>
      </c>
      <c r="E506" s="1" t="s">
        <v>6126</v>
      </c>
      <c r="F506" s="1" t="s">
        <v>6127</v>
      </c>
      <c r="G506" s="1" t="s">
        <v>6128</v>
      </c>
    </row>
    <row r="507" spans="1:7">
      <c r="A507" s="1">
        <v>1697</v>
      </c>
      <c r="B507" s="1" t="s">
        <v>6129</v>
      </c>
      <c r="D507" s="1" t="s">
        <v>6121</v>
      </c>
      <c r="E507" s="1" t="s">
        <v>6130</v>
      </c>
      <c r="F507" s="1" t="s">
        <v>6131</v>
      </c>
      <c r="G507" s="1" t="s">
        <v>6132</v>
      </c>
    </row>
    <row r="508" spans="1:7">
      <c r="A508" s="1">
        <v>1698</v>
      </c>
      <c r="B508" s="1" t="s">
        <v>6133</v>
      </c>
      <c r="D508" s="1" t="s">
        <v>6121</v>
      </c>
      <c r="E508" s="1" t="s">
        <v>6134</v>
      </c>
      <c r="F508" s="1" t="s">
        <v>6135</v>
      </c>
      <c r="G508" s="1" t="s">
        <v>6136</v>
      </c>
    </row>
    <row r="509" spans="1:7">
      <c r="A509" s="1">
        <v>1699</v>
      </c>
      <c r="B509" s="1" t="s">
        <v>6137</v>
      </c>
      <c r="D509" s="1" t="s">
        <v>6121</v>
      </c>
      <c r="E509" s="1" t="s">
        <v>6138</v>
      </c>
      <c r="F509" s="1" t="s">
        <v>6139</v>
      </c>
      <c r="G509" s="1" t="s">
        <v>6140</v>
      </c>
    </row>
    <row r="510" spans="1:7">
      <c r="A510" s="1">
        <v>1700</v>
      </c>
      <c r="B510" s="1" t="s">
        <v>6141</v>
      </c>
      <c r="D510" s="1" t="s">
        <v>6121</v>
      </c>
      <c r="E510" s="1" t="s">
        <v>6142</v>
      </c>
      <c r="F510" s="1" t="s">
        <v>6143</v>
      </c>
      <c r="G510" s="1" t="s">
        <v>6144</v>
      </c>
    </row>
    <row r="511" spans="1:7">
      <c r="A511" s="1">
        <v>1701</v>
      </c>
      <c r="B511" s="1" t="s">
        <v>6145</v>
      </c>
      <c r="D511" s="1" t="s">
        <v>6121</v>
      </c>
      <c r="E511" s="1" t="s">
        <v>6146</v>
      </c>
      <c r="F511" s="1" t="s">
        <v>6147</v>
      </c>
      <c r="G511" s="1" t="s">
        <v>6148</v>
      </c>
    </row>
    <row r="512" spans="1:7">
      <c r="A512" s="1">
        <v>1702</v>
      </c>
      <c r="B512" s="1" t="s">
        <v>6149</v>
      </c>
      <c r="D512" s="1" t="s">
        <v>6121</v>
      </c>
      <c r="E512" s="1" t="s">
        <v>6150</v>
      </c>
      <c r="F512" s="1" t="s">
        <v>6151</v>
      </c>
      <c r="G512" s="1" t="s">
        <v>6152</v>
      </c>
    </row>
    <row r="513" spans="1:7">
      <c r="A513" s="1">
        <v>1703</v>
      </c>
      <c r="B513" s="1" t="s">
        <v>6153</v>
      </c>
      <c r="D513" s="1" t="s">
        <v>6121</v>
      </c>
      <c r="E513" s="1" t="s">
        <v>6154</v>
      </c>
      <c r="F513" s="1" t="s">
        <v>6155</v>
      </c>
      <c r="G513" s="1" t="s">
        <v>6156</v>
      </c>
    </row>
    <row r="514" spans="1:7">
      <c r="A514" s="1">
        <v>1704</v>
      </c>
      <c r="B514" s="1" t="s">
        <v>6157</v>
      </c>
      <c r="D514" s="1" t="s">
        <v>6121</v>
      </c>
      <c r="E514" s="1" t="s">
        <v>6158</v>
      </c>
      <c r="F514" s="1" t="s">
        <v>6159</v>
      </c>
      <c r="G514" s="1" t="s">
        <v>6160</v>
      </c>
    </row>
    <row r="515" spans="1:7">
      <c r="A515" s="1">
        <v>1706</v>
      </c>
      <c r="B515" s="1" t="s">
        <v>6161</v>
      </c>
      <c r="D515" s="1" t="s">
        <v>6121</v>
      </c>
      <c r="E515" s="1" t="s">
        <v>6162</v>
      </c>
      <c r="F515" s="1" t="s">
        <v>6163</v>
      </c>
      <c r="G515" s="1" t="s">
        <v>6164</v>
      </c>
    </row>
    <row r="516" spans="1:7">
      <c r="A516" s="1">
        <v>1707</v>
      </c>
      <c r="B516" s="1" t="s">
        <v>6165</v>
      </c>
      <c r="D516" s="1" t="s">
        <v>6121</v>
      </c>
      <c r="E516" s="1" t="s">
        <v>6166</v>
      </c>
      <c r="F516" s="1" t="s">
        <v>6167</v>
      </c>
      <c r="G516" s="1" t="s">
        <v>6168</v>
      </c>
    </row>
    <row r="517" spans="1:7">
      <c r="A517" s="1">
        <v>1718</v>
      </c>
      <c r="B517" s="1" t="s">
        <v>6169</v>
      </c>
      <c r="D517" s="1" t="s">
        <v>6121</v>
      </c>
      <c r="E517" s="1" t="s">
        <v>6170</v>
      </c>
      <c r="F517" s="1" t="s">
        <v>6171</v>
      </c>
      <c r="G517" s="1" t="s">
        <v>6172</v>
      </c>
    </row>
    <row r="518" spans="1:7">
      <c r="A518" s="1">
        <v>1719</v>
      </c>
      <c r="B518" s="1" t="s">
        <v>6173</v>
      </c>
      <c r="D518" s="1" t="s">
        <v>6121</v>
      </c>
      <c r="E518" s="1" t="s">
        <v>6174</v>
      </c>
      <c r="F518" s="1" t="s">
        <v>6175</v>
      </c>
      <c r="G518" s="1" t="s">
        <v>6176</v>
      </c>
    </row>
    <row r="519" spans="1:7">
      <c r="A519" s="1">
        <v>1720</v>
      </c>
      <c r="B519" s="1" t="s">
        <v>6177</v>
      </c>
      <c r="D519" s="1" t="s">
        <v>6121</v>
      </c>
      <c r="E519" s="1" t="s">
        <v>6178</v>
      </c>
      <c r="F519" s="1" t="s">
        <v>6179</v>
      </c>
      <c r="G519" s="1" t="s">
        <v>6180</v>
      </c>
    </row>
    <row r="520" spans="1:7">
      <c r="A520" s="1">
        <v>1722</v>
      </c>
      <c r="B520" s="1" t="s">
        <v>6181</v>
      </c>
      <c r="D520" s="1" t="s">
        <v>1687</v>
      </c>
      <c r="E520" s="1" t="s">
        <v>1690</v>
      </c>
      <c r="F520" s="1" t="s">
        <v>6182</v>
      </c>
      <c r="G520" s="1" t="s">
        <v>6183</v>
      </c>
    </row>
    <row r="521" spans="1:7">
      <c r="A521" s="1">
        <v>1723</v>
      </c>
      <c r="B521" s="1" t="s">
        <v>6184</v>
      </c>
      <c r="D521" s="1" t="s">
        <v>1687</v>
      </c>
      <c r="E521" s="1" t="s">
        <v>1688</v>
      </c>
      <c r="F521" s="1" t="s">
        <v>6185</v>
      </c>
      <c r="G521" s="1" t="s">
        <v>6186</v>
      </c>
    </row>
    <row r="522" spans="1:7">
      <c r="A522" s="1">
        <v>1728</v>
      </c>
      <c r="B522" s="1" t="s">
        <v>6187</v>
      </c>
      <c r="D522" s="1" t="s">
        <v>1687</v>
      </c>
      <c r="E522" s="1" t="s">
        <v>1692</v>
      </c>
      <c r="F522" s="1" t="s">
        <v>6188</v>
      </c>
      <c r="G522" s="1" t="s">
        <v>6189</v>
      </c>
    </row>
    <row r="523" spans="1:7">
      <c r="A523" s="1">
        <v>1729</v>
      </c>
      <c r="B523" s="1" t="s">
        <v>6190</v>
      </c>
      <c r="D523" s="1" t="s">
        <v>1687</v>
      </c>
      <c r="E523" s="1" t="s">
        <v>1694</v>
      </c>
      <c r="F523" s="1" t="s">
        <v>6191</v>
      </c>
      <c r="G523" s="1" t="s">
        <v>6192</v>
      </c>
    </row>
    <row r="524" spans="1:7">
      <c r="A524" s="1">
        <v>1730</v>
      </c>
      <c r="B524" s="1" t="s">
        <v>6193</v>
      </c>
      <c r="D524" s="1" t="s">
        <v>1687</v>
      </c>
      <c r="E524" s="1" t="s">
        <v>1696</v>
      </c>
      <c r="F524" s="1" t="s">
        <v>6194</v>
      </c>
      <c r="G524" s="1" t="s">
        <v>6195</v>
      </c>
    </row>
    <row r="525" spans="1:7">
      <c r="A525" s="1">
        <v>1731</v>
      </c>
      <c r="B525" s="1" t="s">
        <v>6196</v>
      </c>
      <c r="D525" s="1" t="s">
        <v>1687</v>
      </c>
      <c r="E525" s="1" t="s">
        <v>1698</v>
      </c>
      <c r="F525" s="1" t="s">
        <v>6197</v>
      </c>
      <c r="G525" s="1" t="s">
        <v>6198</v>
      </c>
    </row>
    <row r="526" spans="1:7">
      <c r="A526" s="1">
        <v>1732</v>
      </c>
      <c r="B526" s="1" t="s">
        <v>6199</v>
      </c>
      <c r="D526" s="1" t="s">
        <v>1687</v>
      </c>
      <c r="E526" s="1" t="s">
        <v>1700</v>
      </c>
      <c r="F526" s="1" t="s">
        <v>6200</v>
      </c>
      <c r="G526" s="1" t="s">
        <v>6201</v>
      </c>
    </row>
    <row r="527" spans="1:7">
      <c r="A527" s="1">
        <v>1746</v>
      </c>
      <c r="B527" s="1" t="s">
        <v>6202</v>
      </c>
      <c r="D527" s="1" t="s">
        <v>1707</v>
      </c>
      <c r="E527" s="1" t="s">
        <v>6203</v>
      </c>
      <c r="F527" s="1" t="s">
        <v>6204</v>
      </c>
      <c r="G527" s="1" t="s">
        <v>6205</v>
      </c>
    </row>
    <row r="528" spans="1:7">
      <c r="A528" s="1">
        <v>1747</v>
      </c>
      <c r="B528" s="1" t="s">
        <v>6206</v>
      </c>
      <c r="D528" s="1" t="s">
        <v>1707</v>
      </c>
      <c r="E528" s="1" t="s">
        <v>6207</v>
      </c>
      <c r="F528" s="1" t="s">
        <v>6208</v>
      </c>
      <c r="G528" s="1" t="s">
        <v>6209</v>
      </c>
    </row>
    <row r="529" spans="1:7">
      <c r="A529" s="1">
        <v>1748</v>
      </c>
      <c r="B529" s="1" t="s">
        <v>6210</v>
      </c>
      <c r="D529" s="1" t="s">
        <v>1707</v>
      </c>
      <c r="E529" s="1" t="s">
        <v>102</v>
      </c>
      <c r="F529" s="1" t="s">
        <v>6211</v>
      </c>
      <c r="G529" s="1" t="s">
        <v>6212</v>
      </c>
    </row>
    <row r="530" spans="1:7">
      <c r="A530" s="1">
        <v>1749</v>
      </c>
      <c r="B530" s="1" t="s">
        <v>6213</v>
      </c>
      <c r="D530" s="1" t="s">
        <v>1707</v>
      </c>
      <c r="E530" s="1" t="s">
        <v>6214</v>
      </c>
      <c r="F530" s="1" t="s">
        <v>6215</v>
      </c>
      <c r="G530" s="1" t="s">
        <v>6216</v>
      </c>
    </row>
    <row r="531" spans="1:7">
      <c r="A531" s="1">
        <v>1750</v>
      </c>
      <c r="B531" s="1" t="s">
        <v>6217</v>
      </c>
      <c r="D531" s="1" t="s">
        <v>1707</v>
      </c>
      <c r="E531" s="1" t="s">
        <v>6218</v>
      </c>
      <c r="F531" s="1" t="s">
        <v>6219</v>
      </c>
      <c r="G531" s="1" t="s">
        <v>6220</v>
      </c>
    </row>
    <row r="532" spans="1:7">
      <c r="A532" s="1">
        <v>1751</v>
      </c>
      <c r="B532" s="1" t="s">
        <v>6221</v>
      </c>
      <c r="D532" s="1" t="s">
        <v>1707</v>
      </c>
      <c r="E532" s="1" t="s">
        <v>98</v>
      </c>
      <c r="F532" s="1" t="s">
        <v>6222</v>
      </c>
      <c r="G532" s="1" t="s">
        <v>6223</v>
      </c>
    </row>
    <row r="533" spans="1:7">
      <c r="A533" s="1">
        <v>1752</v>
      </c>
      <c r="B533" s="1" t="s">
        <v>6224</v>
      </c>
      <c r="D533" s="1" t="s">
        <v>1707</v>
      </c>
      <c r="E533" s="1" t="s">
        <v>6225</v>
      </c>
      <c r="F533" s="1" t="s">
        <v>6226</v>
      </c>
      <c r="G533" s="1" t="s">
        <v>6227</v>
      </c>
    </row>
    <row r="534" spans="1:7">
      <c r="A534" s="1">
        <v>1753</v>
      </c>
      <c r="B534" s="1" t="s">
        <v>6228</v>
      </c>
      <c r="D534" s="1" t="s">
        <v>1707</v>
      </c>
      <c r="E534" s="1" t="s">
        <v>6229</v>
      </c>
      <c r="F534" s="1" t="s">
        <v>6230</v>
      </c>
      <c r="G534" s="1" t="s">
        <v>6231</v>
      </c>
    </row>
    <row r="535" spans="1:7">
      <c r="A535" s="1">
        <v>1754</v>
      </c>
      <c r="B535" s="1" t="s">
        <v>6232</v>
      </c>
      <c r="D535" s="1" t="s">
        <v>1707</v>
      </c>
      <c r="E535" s="1" t="s">
        <v>6233</v>
      </c>
      <c r="F535" s="1" t="s">
        <v>6234</v>
      </c>
      <c r="G535" s="1" t="s">
        <v>6235</v>
      </c>
    </row>
    <row r="536" spans="1:7">
      <c r="A536" s="1">
        <v>1755</v>
      </c>
      <c r="B536" s="1" t="s">
        <v>6236</v>
      </c>
      <c r="D536" s="1" t="s">
        <v>1707</v>
      </c>
      <c r="E536" s="1" t="s">
        <v>6237</v>
      </c>
      <c r="F536" s="1" t="s">
        <v>6238</v>
      </c>
      <c r="G536" s="1" t="s">
        <v>6239</v>
      </c>
    </row>
    <row r="537" spans="1:7">
      <c r="A537" s="1">
        <v>1756</v>
      </c>
      <c r="B537" s="1" t="s">
        <v>6240</v>
      </c>
      <c r="D537" s="1" t="s">
        <v>1707</v>
      </c>
      <c r="E537" s="1" t="s">
        <v>6241</v>
      </c>
      <c r="F537" s="1" t="s">
        <v>6242</v>
      </c>
      <c r="G537" s="1" t="s">
        <v>6243</v>
      </c>
    </row>
    <row r="538" spans="1:7">
      <c r="A538" s="1">
        <v>1757</v>
      </c>
      <c r="B538" s="1" t="s">
        <v>6244</v>
      </c>
      <c r="D538" s="1" t="s">
        <v>1707</v>
      </c>
      <c r="E538" s="1" t="s">
        <v>107</v>
      </c>
      <c r="F538" s="1" t="s">
        <v>6245</v>
      </c>
      <c r="G538" s="1" t="s">
        <v>6246</v>
      </c>
    </row>
    <row r="539" spans="1:7">
      <c r="A539" s="1">
        <v>1758</v>
      </c>
      <c r="B539" s="1" t="s">
        <v>6247</v>
      </c>
      <c r="D539" s="1" t="s">
        <v>1707</v>
      </c>
      <c r="E539" s="1" t="s">
        <v>109</v>
      </c>
      <c r="F539" s="1" t="s">
        <v>6248</v>
      </c>
      <c r="G539" s="1" t="s">
        <v>6249</v>
      </c>
    </row>
    <row r="540" spans="1:7">
      <c r="A540" s="1">
        <v>1759</v>
      </c>
      <c r="B540" s="1" t="s">
        <v>6250</v>
      </c>
      <c r="D540" s="1" t="s">
        <v>1707</v>
      </c>
      <c r="E540" s="1" t="s">
        <v>6251</v>
      </c>
      <c r="F540" s="1" t="s">
        <v>6252</v>
      </c>
      <c r="G540" s="1" t="s">
        <v>6253</v>
      </c>
    </row>
    <row r="541" spans="1:7">
      <c r="A541" s="1">
        <v>1760</v>
      </c>
      <c r="B541" s="1" t="s">
        <v>6254</v>
      </c>
      <c r="D541" s="1" t="s">
        <v>1707</v>
      </c>
      <c r="E541" s="1" t="s">
        <v>6255</v>
      </c>
      <c r="F541" s="1" t="s">
        <v>6256</v>
      </c>
      <c r="G541" s="1" t="s">
        <v>6257</v>
      </c>
    </row>
    <row r="542" spans="1:7">
      <c r="A542" s="1">
        <v>1763</v>
      </c>
      <c r="B542" s="1" t="s">
        <v>6258</v>
      </c>
      <c r="D542" s="1" t="s">
        <v>1781</v>
      </c>
      <c r="E542" s="1" t="s">
        <v>1784</v>
      </c>
      <c r="F542" s="1" t="s">
        <v>6259</v>
      </c>
      <c r="G542" s="1" t="s">
        <v>6260</v>
      </c>
    </row>
    <row r="543" spans="1:7">
      <c r="A543" s="1">
        <v>1764</v>
      </c>
      <c r="B543" s="1" t="s">
        <v>6261</v>
      </c>
      <c r="D543" s="1" t="s">
        <v>1781</v>
      </c>
      <c r="E543" s="1" t="s">
        <v>1782</v>
      </c>
      <c r="F543" s="1" t="s">
        <v>6262</v>
      </c>
      <c r="G543" s="1" t="s">
        <v>6263</v>
      </c>
    </row>
    <row r="544" spans="1:7">
      <c r="A544" s="1">
        <v>1768</v>
      </c>
      <c r="B544" s="1" t="s">
        <v>6264</v>
      </c>
      <c r="D544" s="1" t="s">
        <v>1781</v>
      </c>
      <c r="E544" s="1" t="s">
        <v>1786</v>
      </c>
      <c r="F544" s="1" t="s">
        <v>6265</v>
      </c>
      <c r="G544" s="1" t="s">
        <v>6266</v>
      </c>
    </row>
    <row r="545" spans="1:7">
      <c r="A545" s="1">
        <v>1770</v>
      </c>
      <c r="B545" s="1" t="s">
        <v>6267</v>
      </c>
      <c r="D545" s="1" t="s">
        <v>1781</v>
      </c>
      <c r="E545" s="1" t="s">
        <v>1788</v>
      </c>
      <c r="F545" s="1" t="s">
        <v>6268</v>
      </c>
      <c r="G545" s="1" t="s">
        <v>6269</v>
      </c>
    </row>
    <row r="546" spans="1:7">
      <c r="A546" s="1">
        <v>1771</v>
      </c>
      <c r="B546" s="1" t="s">
        <v>6270</v>
      </c>
      <c r="D546" s="1" t="s">
        <v>1781</v>
      </c>
      <c r="E546" s="1" t="s">
        <v>1792</v>
      </c>
      <c r="F546" s="1" t="s">
        <v>6271</v>
      </c>
      <c r="G546" s="1" t="s">
        <v>6272</v>
      </c>
    </row>
    <row r="547" spans="1:7">
      <c r="A547" s="1">
        <v>1772</v>
      </c>
      <c r="B547" s="1" t="s">
        <v>6273</v>
      </c>
      <c r="D547" s="1" t="s">
        <v>1781</v>
      </c>
      <c r="E547" s="1" t="s">
        <v>1796</v>
      </c>
      <c r="F547" s="1" t="s">
        <v>6274</v>
      </c>
      <c r="G547" s="1" t="s">
        <v>6275</v>
      </c>
    </row>
    <row r="548" spans="1:7">
      <c r="A548" s="1">
        <v>1773</v>
      </c>
      <c r="B548" s="1" t="s">
        <v>6276</v>
      </c>
      <c r="D548" s="1" t="s">
        <v>1781</v>
      </c>
      <c r="E548" s="1" t="s">
        <v>1798</v>
      </c>
      <c r="F548" s="1" t="s">
        <v>6277</v>
      </c>
      <c r="G548" s="1" t="s">
        <v>6278</v>
      </c>
    </row>
    <row r="549" spans="1:7">
      <c r="A549" s="1">
        <v>1775</v>
      </c>
      <c r="B549" s="1" t="s">
        <v>6279</v>
      </c>
      <c r="D549" s="1" t="s">
        <v>1800</v>
      </c>
      <c r="E549" s="1" t="s">
        <v>1803</v>
      </c>
      <c r="F549" s="1" t="s">
        <v>6259</v>
      </c>
      <c r="G549" s="1" t="s">
        <v>6260</v>
      </c>
    </row>
    <row r="550" spans="1:7">
      <c r="A550" s="1">
        <v>1776</v>
      </c>
      <c r="B550" s="1" t="s">
        <v>6280</v>
      </c>
      <c r="D550" s="1" t="s">
        <v>1800</v>
      </c>
      <c r="E550" s="1" t="s">
        <v>1801</v>
      </c>
      <c r="F550" s="1" t="s">
        <v>6262</v>
      </c>
      <c r="G550" s="1" t="s">
        <v>6263</v>
      </c>
    </row>
    <row r="551" spans="1:7">
      <c r="A551" s="1">
        <v>1779</v>
      </c>
      <c r="B551" s="1" t="s">
        <v>6281</v>
      </c>
      <c r="D551" s="1" t="s">
        <v>1800</v>
      </c>
      <c r="E551" s="1" t="s">
        <v>1805</v>
      </c>
      <c r="F551" s="1" t="s">
        <v>1770</v>
      </c>
      <c r="G551" s="1" t="s">
        <v>1771</v>
      </c>
    </row>
    <row r="552" spans="1:7">
      <c r="A552" s="1">
        <v>1780</v>
      </c>
      <c r="B552" s="1" t="s">
        <v>6282</v>
      </c>
      <c r="D552" s="1" t="s">
        <v>1800</v>
      </c>
      <c r="E552" s="1" t="s">
        <v>1807</v>
      </c>
      <c r="F552" s="1" t="s">
        <v>6268</v>
      </c>
      <c r="G552" s="1" t="s">
        <v>6269</v>
      </c>
    </row>
    <row r="553" spans="1:7">
      <c r="A553" s="1">
        <v>1781</v>
      </c>
      <c r="B553" s="1" t="s">
        <v>6283</v>
      </c>
      <c r="D553" s="1" t="s">
        <v>1800</v>
      </c>
      <c r="E553" s="1" t="s">
        <v>1809</v>
      </c>
      <c r="F553" s="1" t="s">
        <v>6271</v>
      </c>
      <c r="G553" s="1" t="s">
        <v>6272</v>
      </c>
    </row>
    <row r="554" spans="1:7">
      <c r="A554" s="1">
        <v>1782</v>
      </c>
      <c r="B554" s="1" t="s">
        <v>6284</v>
      </c>
      <c r="D554" s="1" t="s">
        <v>1800</v>
      </c>
      <c r="E554" s="1" t="s">
        <v>1811</v>
      </c>
      <c r="F554" s="1" t="s">
        <v>6285</v>
      </c>
      <c r="G554" s="1" t="s">
        <v>6286</v>
      </c>
    </row>
    <row r="555" spans="1:7">
      <c r="A555" s="1">
        <v>1783</v>
      </c>
      <c r="B555" s="1" t="s">
        <v>6287</v>
      </c>
      <c r="D555" s="1" t="s">
        <v>1800</v>
      </c>
      <c r="E555" s="1" t="s">
        <v>1813</v>
      </c>
      <c r="F555" s="1" t="s">
        <v>6288</v>
      </c>
      <c r="G555" s="1" t="s">
        <v>6289</v>
      </c>
    </row>
    <row r="556" spans="1:7">
      <c r="A556" s="1">
        <v>1784</v>
      </c>
      <c r="B556" s="1" t="s">
        <v>6290</v>
      </c>
      <c r="D556" s="1" t="s">
        <v>1815</v>
      </c>
      <c r="E556" s="1" t="s">
        <v>1820</v>
      </c>
      <c r="F556" s="1" t="s">
        <v>6291</v>
      </c>
      <c r="G556" s="1" t="s">
        <v>6292</v>
      </c>
    </row>
    <row r="557" spans="1:7">
      <c r="A557" s="1">
        <v>1785</v>
      </c>
      <c r="B557" s="1" t="s">
        <v>6293</v>
      </c>
      <c r="D557" s="1" t="s">
        <v>1815</v>
      </c>
      <c r="E557" s="1" t="s">
        <v>1816</v>
      </c>
      <c r="F557" s="1" t="s">
        <v>6294</v>
      </c>
      <c r="G557" s="1" t="s">
        <v>6295</v>
      </c>
    </row>
    <row r="558" spans="1:7">
      <c r="A558" s="1">
        <v>1786</v>
      </c>
      <c r="B558" s="1" t="s">
        <v>6296</v>
      </c>
      <c r="D558" s="1" t="s">
        <v>1815</v>
      </c>
      <c r="E558" s="1" t="s">
        <v>1824</v>
      </c>
      <c r="F558" s="1" t="s">
        <v>6265</v>
      </c>
      <c r="G558" s="1" t="s">
        <v>6266</v>
      </c>
    </row>
    <row r="559" spans="1:7">
      <c r="A559" s="1">
        <v>1789</v>
      </c>
      <c r="B559" s="1" t="s">
        <v>6297</v>
      </c>
      <c r="D559" s="1" t="s">
        <v>1815</v>
      </c>
      <c r="E559" s="1" t="s">
        <v>1826</v>
      </c>
      <c r="F559" s="1" t="s">
        <v>6298</v>
      </c>
      <c r="G559" s="1" t="s">
        <v>6299</v>
      </c>
    </row>
    <row r="560" spans="1:7">
      <c r="A560" s="1">
        <v>1790</v>
      </c>
      <c r="B560" s="1" t="s">
        <v>6300</v>
      </c>
      <c r="D560" s="1" t="s">
        <v>1815</v>
      </c>
      <c r="E560" s="1" t="s">
        <v>1828</v>
      </c>
      <c r="F560" s="1" t="s">
        <v>6271</v>
      </c>
      <c r="G560" s="1" t="s">
        <v>6272</v>
      </c>
    </row>
    <row r="561" spans="1:7">
      <c r="A561" s="1">
        <v>1791</v>
      </c>
      <c r="B561" s="1" t="s">
        <v>6301</v>
      </c>
      <c r="D561" s="1" t="s">
        <v>1815</v>
      </c>
      <c r="E561" s="1" t="s">
        <v>1830</v>
      </c>
      <c r="F561" s="1" t="s">
        <v>6302</v>
      </c>
      <c r="G561" s="1" t="s">
        <v>6303</v>
      </c>
    </row>
    <row r="562" spans="1:7">
      <c r="A562" s="1">
        <v>1792</v>
      </c>
      <c r="B562" s="1" t="s">
        <v>6304</v>
      </c>
      <c r="D562" s="1" t="s">
        <v>1815</v>
      </c>
      <c r="E562" s="1" t="s">
        <v>1832</v>
      </c>
      <c r="F562" s="1" t="s">
        <v>6305</v>
      </c>
      <c r="G562" s="1" t="s">
        <v>6306</v>
      </c>
    </row>
    <row r="563" spans="1:7">
      <c r="A563" s="1">
        <v>1794</v>
      </c>
      <c r="B563" s="1" t="s">
        <v>6307</v>
      </c>
      <c r="D563" s="1" t="s">
        <v>1834</v>
      </c>
      <c r="E563" s="1" t="s">
        <v>1837</v>
      </c>
      <c r="F563" s="1" t="s">
        <v>6291</v>
      </c>
      <c r="G563" s="1" t="s">
        <v>6292</v>
      </c>
    </row>
    <row r="564" spans="1:7">
      <c r="A564" s="1">
        <v>1795</v>
      </c>
      <c r="B564" s="1" t="s">
        <v>6308</v>
      </c>
      <c r="D564" s="1" t="s">
        <v>1834</v>
      </c>
      <c r="E564" s="1" t="s">
        <v>1835</v>
      </c>
      <c r="F564" s="1" t="s">
        <v>6294</v>
      </c>
      <c r="G564" s="1" t="s">
        <v>6295</v>
      </c>
    </row>
    <row r="565" spans="1:7">
      <c r="A565" s="1">
        <v>1796</v>
      </c>
      <c r="B565" s="1" t="s">
        <v>6309</v>
      </c>
      <c r="D565" s="1" t="s">
        <v>1834</v>
      </c>
      <c r="E565" s="1" t="s">
        <v>1839</v>
      </c>
      <c r="F565" s="1" t="s">
        <v>6265</v>
      </c>
      <c r="G565" s="1" t="s">
        <v>6266</v>
      </c>
    </row>
    <row r="566" spans="1:7">
      <c r="A566" s="1">
        <v>1799</v>
      </c>
      <c r="B566" s="1" t="s">
        <v>6310</v>
      </c>
      <c r="D566" s="1" t="s">
        <v>1834</v>
      </c>
      <c r="E566" s="1" t="s">
        <v>1841</v>
      </c>
      <c r="F566" s="1" t="s">
        <v>6298</v>
      </c>
      <c r="G566" s="1" t="s">
        <v>6299</v>
      </c>
    </row>
    <row r="567" spans="1:7">
      <c r="A567" s="1">
        <v>1800</v>
      </c>
      <c r="B567" s="1" t="s">
        <v>6311</v>
      </c>
      <c r="D567" s="1" t="s">
        <v>1834</v>
      </c>
      <c r="E567" s="1" t="s">
        <v>1843</v>
      </c>
      <c r="F567" s="1" t="s">
        <v>6271</v>
      </c>
      <c r="G567" s="1" t="s">
        <v>6272</v>
      </c>
    </row>
    <row r="568" spans="1:7">
      <c r="A568" s="1">
        <v>1801</v>
      </c>
      <c r="B568" s="1" t="s">
        <v>6312</v>
      </c>
      <c r="D568" s="1" t="s">
        <v>1834</v>
      </c>
      <c r="E568" s="1" t="s">
        <v>1845</v>
      </c>
      <c r="F568" s="1" t="s">
        <v>6302</v>
      </c>
      <c r="G568" s="1" t="s">
        <v>6303</v>
      </c>
    </row>
    <row r="569" spans="1:7">
      <c r="A569" s="1">
        <v>1802</v>
      </c>
      <c r="B569" s="1" t="s">
        <v>6313</v>
      </c>
      <c r="D569" s="1" t="s">
        <v>1834</v>
      </c>
      <c r="E569" s="1" t="s">
        <v>1847</v>
      </c>
      <c r="F569" s="1" t="s">
        <v>6305</v>
      </c>
      <c r="G569" s="1" t="s">
        <v>6306</v>
      </c>
    </row>
    <row r="570" spans="1:7">
      <c r="A570" s="1">
        <v>1804</v>
      </c>
      <c r="B570" s="1" t="s">
        <v>6314</v>
      </c>
      <c r="D570" s="1" t="s">
        <v>1886</v>
      </c>
      <c r="E570" s="1" t="s">
        <v>1887</v>
      </c>
      <c r="F570" s="1" t="s">
        <v>6315</v>
      </c>
      <c r="G570" s="1" t="s">
        <v>6316</v>
      </c>
    </row>
    <row r="571" spans="1:7">
      <c r="A571" s="1">
        <v>1805</v>
      </c>
      <c r="B571" s="1" t="s">
        <v>6317</v>
      </c>
      <c r="D571" s="1" t="s">
        <v>1886</v>
      </c>
      <c r="E571" s="1" t="s">
        <v>1891</v>
      </c>
      <c r="F571" s="1" t="s">
        <v>6318</v>
      </c>
      <c r="G571" s="1" t="s">
        <v>6319</v>
      </c>
    </row>
    <row r="572" spans="1:7">
      <c r="A572" s="1">
        <v>1806</v>
      </c>
      <c r="B572" s="1" t="s">
        <v>6320</v>
      </c>
      <c r="D572" s="1" t="s">
        <v>1886</v>
      </c>
      <c r="E572" s="1" t="s">
        <v>1895</v>
      </c>
      <c r="F572" s="1" t="s">
        <v>6321</v>
      </c>
      <c r="G572" s="1" t="s">
        <v>6322</v>
      </c>
    </row>
    <row r="573" spans="1:7">
      <c r="A573" s="1">
        <v>1807</v>
      </c>
      <c r="B573" s="1" t="s">
        <v>6323</v>
      </c>
      <c r="D573" s="1" t="s">
        <v>1886</v>
      </c>
      <c r="E573" s="1" t="s">
        <v>1899</v>
      </c>
      <c r="F573" s="1" t="s">
        <v>6324</v>
      </c>
      <c r="G573" s="1" t="s">
        <v>6325</v>
      </c>
    </row>
    <row r="574" spans="1:7">
      <c r="A574" s="1">
        <v>1808</v>
      </c>
      <c r="B574" s="1" t="s">
        <v>6326</v>
      </c>
      <c r="D574" s="1" t="s">
        <v>1886</v>
      </c>
      <c r="E574" s="1" t="s">
        <v>1903</v>
      </c>
      <c r="F574" s="1" t="s">
        <v>6327</v>
      </c>
      <c r="G574" s="1" t="s">
        <v>6328</v>
      </c>
    </row>
    <row r="575" spans="1:7">
      <c r="A575" s="1">
        <v>1809</v>
      </c>
      <c r="B575" s="1" t="s">
        <v>6329</v>
      </c>
      <c r="D575" s="1" t="s">
        <v>1886</v>
      </c>
      <c r="E575" s="1" t="s">
        <v>1907</v>
      </c>
      <c r="F575" s="1" t="s">
        <v>6330</v>
      </c>
      <c r="G575" s="1" t="s">
        <v>6331</v>
      </c>
    </row>
    <row r="576" spans="1:7">
      <c r="A576" s="1">
        <v>1810</v>
      </c>
      <c r="B576" s="1" t="s">
        <v>6332</v>
      </c>
      <c r="D576" s="1" t="s">
        <v>1886</v>
      </c>
      <c r="E576" s="1" t="s">
        <v>1911</v>
      </c>
      <c r="F576" s="1" t="s">
        <v>6333</v>
      </c>
      <c r="G576" s="1" t="s">
        <v>6334</v>
      </c>
    </row>
    <row r="577" spans="1:7">
      <c r="A577" s="1">
        <v>1811</v>
      </c>
      <c r="B577" s="1" t="s">
        <v>6335</v>
      </c>
      <c r="D577" s="1" t="s">
        <v>1886</v>
      </c>
      <c r="E577" s="1" t="s">
        <v>1915</v>
      </c>
      <c r="F577" s="1" t="s">
        <v>6336</v>
      </c>
      <c r="G577" s="1" t="s">
        <v>6337</v>
      </c>
    </row>
    <row r="578" spans="1:7">
      <c r="A578" s="1">
        <v>1812</v>
      </c>
      <c r="B578" s="1" t="s">
        <v>6338</v>
      </c>
      <c r="D578" s="1" t="s">
        <v>1886</v>
      </c>
      <c r="E578" s="1" t="s">
        <v>1919</v>
      </c>
      <c r="F578" s="1" t="s">
        <v>6339</v>
      </c>
      <c r="G578" s="1" t="s">
        <v>6340</v>
      </c>
    </row>
    <row r="579" spans="1:7">
      <c r="A579" s="1">
        <v>1814</v>
      </c>
      <c r="B579" s="1" t="s">
        <v>6341</v>
      </c>
      <c r="D579" s="1" t="s">
        <v>1886</v>
      </c>
      <c r="E579" s="1" t="s">
        <v>1923</v>
      </c>
      <c r="F579" s="1" t="s">
        <v>6342</v>
      </c>
      <c r="G579" s="1" t="s">
        <v>6343</v>
      </c>
    </row>
    <row r="580" spans="1:7">
      <c r="A580" s="1">
        <v>1836</v>
      </c>
      <c r="B580" s="1" t="s">
        <v>6344</v>
      </c>
      <c r="D580" s="1" t="s">
        <v>1927</v>
      </c>
      <c r="E580" s="1" t="s">
        <v>1130</v>
      </c>
      <c r="F580" s="1" t="s">
        <v>6315</v>
      </c>
      <c r="G580" s="1" t="s">
        <v>6316</v>
      </c>
    </row>
    <row r="581" spans="1:7">
      <c r="A581" s="1">
        <v>1837</v>
      </c>
      <c r="B581" s="1" t="s">
        <v>6345</v>
      </c>
      <c r="D581" s="1" t="s">
        <v>1927</v>
      </c>
      <c r="E581" s="1" t="s">
        <v>1134</v>
      </c>
      <c r="F581" s="1" t="s">
        <v>6318</v>
      </c>
      <c r="G581" s="1" t="s">
        <v>6319</v>
      </c>
    </row>
    <row r="582" spans="1:7">
      <c r="A582" s="1">
        <v>1838</v>
      </c>
      <c r="B582" s="1" t="s">
        <v>6346</v>
      </c>
      <c r="D582" s="1" t="s">
        <v>1927</v>
      </c>
      <c r="E582" s="1" t="s">
        <v>6347</v>
      </c>
      <c r="F582" s="1" t="s">
        <v>6321</v>
      </c>
      <c r="G582" s="1" t="s">
        <v>6322</v>
      </c>
    </row>
    <row r="583" spans="1:7">
      <c r="A583" s="1">
        <v>1839</v>
      </c>
      <c r="B583" s="1" t="s">
        <v>6348</v>
      </c>
      <c r="D583" s="1" t="s">
        <v>1927</v>
      </c>
      <c r="E583" s="1" t="s">
        <v>6349</v>
      </c>
      <c r="F583" s="1" t="s">
        <v>6324</v>
      </c>
      <c r="G583" s="1" t="s">
        <v>6325</v>
      </c>
    </row>
    <row r="584" spans="1:7">
      <c r="A584" s="1">
        <v>1840</v>
      </c>
      <c r="B584" s="1" t="s">
        <v>6350</v>
      </c>
      <c r="D584" s="1" t="s">
        <v>1927</v>
      </c>
      <c r="E584" s="1" t="s">
        <v>6351</v>
      </c>
      <c r="F584" s="1" t="s">
        <v>6327</v>
      </c>
      <c r="G584" s="1" t="s">
        <v>6328</v>
      </c>
    </row>
    <row r="585" spans="1:7">
      <c r="A585" s="1">
        <v>1841</v>
      </c>
      <c r="B585" s="1" t="s">
        <v>6352</v>
      </c>
      <c r="D585" s="1" t="s">
        <v>1927</v>
      </c>
      <c r="E585" s="1" t="s">
        <v>1126</v>
      </c>
      <c r="F585" s="1" t="s">
        <v>6330</v>
      </c>
      <c r="G585" s="1" t="s">
        <v>6331</v>
      </c>
    </row>
    <row r="586" spans="1:7">
      <c r="A586" s="1">
        <v>1842</v>
      </c>
      <c r="B586" s="1" t="s">
        <v>6353</v>
      </c>
      <c r="D586" s="1" t="s">
        <v>1927</v>
      </c>
      <c r="E586" s="1" t="s">
        <v>6354</v>
      </c>
      <c r="F586" s="1" t="s">
        <v>6333</v>
      </c>
      <c r="G586" s="1" t="s">
        <v>6334</v>
      </c>
    </row>
    <row r="587" spans="1:7">
      <c r="A587" s="1">
        <v>1843</v>
      </c>
      <c r="B587" s="1" t="s">
        <v>6355</v>
      </c>
      <c r="D587" s="1" t="s">
        <v>1927</v>
      </c>
      <c r="E587" s="1" t="s">
        <v>6356</v>
      </c>
      <c r="F587" s="1" t="s">
        <v>6336</v>
      </c>
      <c r="G587" s="1" t="s">
        <v>6337</v>
      </c>
    </row>
    <row r="588" spans="1:7">
      <c r="A588" s="1">
        <v>1844</v>
      </c>
      <c r="B588" s="1" t="s">
        <v>6357</v>
      </c>
      <c r="D588" s="1" t="s">
        <v>1927</v>
      </c>
      <c r="E588" s="1" t="s">
        <v>121</v>
      </c>
      <c r="F588" s="1" t="s">
        <v>6339</v>
      </c>
      <c r="G588" s="1" t="s">
        <v>6340</v>
      </c>
    </row>
    <row r="589" spans="1:7">
      <c r="A589" s="1">
        <v>1846</v>
      </c>
      <c r="B589" s="1" t="s">
        <v>6358</v>
      </c>
      <c r="D589" s="1" t="s">
        <v>1927</v>
      </c>
      <c r="E589" s="1" t="s">
        <v>133</v>
      </c>
      <c r="F589" s="1" t="s">
        <v>6342</v>
      </c>
      <c r="G589" s="1" t="s">
        <v>6343</v>
      </c>
    </row>
    <row r="590" spans="1:7">
      <c r="A590" s="1">
        <v>1868</v>
      </c>
      <c r="B590" s="1" t="s">
        <v>6359</v>
      </c>
      <c r="D590" s="1" t="s">
        <v>1948</v>
      </c>
      <c r="E590" s="1" t="s">
        <v>1951</v>
      </c>
      <c r="F590" s="1" t="s">
        <v>6360</v>
      </c>
      <c r="G590" s="1" t="s">
        <v>6361</v>
      </c>
    </row>
    <row r="591" spans="1:7">
      <c r="A591" s="1">
        <v>1869</v>
      </c>
      <c r="B591" s="1" t="s">
        <v>6362</v>
      </c>
      <c r="D591" s="1" t="s">
        <v>1948</v>
      </c>
      <c r="E591" s="1" t="s">
        <v>1949</v>
      </c>
      <c r="F591" s="1" t="s">
        <v>6363</v>
      </c>
      <c r="G591" s="1" t="s">
        <v>6364</v>
      </c>
    </row>
    <row r="592" spans="1:7">
      <c r="A592" s="1">
        <v>1874</v>
      </c>
      <c r="B592" s="1" t="s">
        <v>6365</v>
      </c>
      <c r="D592" s="1" t="s">
        <v>1948</v>
      </c>
      <c r="E592" s="1" t="s">
        <v>1961</v>
      </c>
      <c r="F592" s="1" t="s">
        <v>6366</v>
      </c>
      <c r="G592" s="1" t="s">
        <v>6367</v>
      </c>
    </row>
    <row r="593" spans="1:7">
      <c r="A593" s="1">
        <v>1875</v>
      </c>
      <c r="B593" s="1" t="s">
        <v>6368</v>
      </c>
      <c r="D593" s="1" t="s">
        <v>1948</v>
      </c>
      <c r="E593" s="1" t="s">
        <v>1965</v>
      </c>
      <c r="F593" s="1" t="s">
        <v>6369</v>
      </c>
      <c r="G593" s="1" t="s">
        <v>6370</v>
      </c>
    </row>
    <row r="594" spans="1:7">
      <c r="A594" s="1">
        <v>1876</v>
      </c>
      <c r="B594" s="1" t="s">
        <v>6371</v>
      </c>
      <c r="D594" s="1" t="s">
        <v>1948</v>
      </c>
      <c r="E594" s="1" t="s">
        <v>1969</v>
      </c>
      <c r="F594" s="1" t="s">
        <v>6372</v>
      </c>
      <c r="G594" s="1" t="s">
        <v>6373</v>
      </c>
    </row>
    <row r="595" spans="1:7">
      <c r="A595" s="1">
        <v>1877</v>
      </c>
      <c r="B595" s="1" t="s">
        <v>6374</v>
      </c>
      <c r="D595" s="1" t="s">
        <v>1948</v>
      </c>
      <c r="E595" s="1" t="s">
        <v>1953</v>
      </c>
      <c r="F595" s="1" t="s">
        <v>6375</v>
      </c>
      <c r="G595" s="1" t="s">
        <v>6376</v>
      </c>
    </row>
    <row r="596" spans="1:7">
      <c r="A596" s="1">
        <v>1878</v>
      </c>
      <c r="B596" s="1" t="s">
        <v>6377</v>
      </c>
      <c r="D596" s="1" t="s">
        <v>1948</v>
      </c>
      <c r="E596" s="1" t="s">
        <v>1955</v>
      </c>
      <c r="F596" s="1" t="s">
        <v>6378</v>
      </c>
      <c r="G596" s="1" t="s">
        <v>6379</v>
      </c>
    </row>
    <row r="597" spans="1:7">
      <c r="A597" s="1">
        <v>1879</v>
      </c>
      <c r="B597" s="1" t="s">
        <v>6380</v>
      </c>
      <c r="D597" s="1" t="s">
        <v>1948</v>
      </c>
      <c r="E597" s="1" t="s">
        <v>1957</v>
      </c>
      <c r="F597" s="1" t="s">
        <v>6381</v>
      </c>
      <c r="G597" s="1" t="s">
        <v>6382</v>
      </c>
    </row>
    <row r="598" spans="1:7">
      <c r="A598" s="1">
        <v>1880</v>
      </c>
      <c r="B598" s="1" t="s">
        <v>6383</v>
      </c>
      <c r="D598" s="1" t="s">
        <v>1948</v>
      </c>
      <c r="E598" s="1" t="s">
        <v>1959</v>
      </c>
      <c r="F598" s="1" t="s">
        <v>6384</v>
      </c>
      <c r="G598" s="1" t="s">
        <v>6385</v>
      </c>
    </row>
    <row r="599" spans="1:7">
      <c r="A599" s="1">
        <v>1883</v>
      </c>
      <c r="B599" s="1" t="s">
        <v>6386</v>
      </c>
      <c r="D599" s="1" t="s">
        <v>1973</v>
      </c>
      <c r="E599" s="1" t="s">
        <v>1982</v>
      </c>
      <c r="F599" s="1" t="s">
        <v>6387</v>
      </c>
      <c r="G599" s="1" t="s">
        <v>6388</v>
      </c>
    </row>
    <row r="600" spans="1:7">
      <c r="A600" s="1">
        <v>1884</v>
      </c>
      <c r="B600" s="1" t="s">
        <v>6389</v>
      </c>
      <c r="D600" s="1" t="s">
        <v>1973</v>
      </c>
      <c r="E600" s="1" t="s">
        <v>1986</v>
      </c>
      <c r="F600" s="1" t="s">
        <v>6390</v>
      </c>
      <c r="G600" s="1" t="s">
        <v>6391</v>
      </c>
    </row>
    <row r="601" spans="1:7">
      <c r="A601" s="1">
        <v>1885</v>
      </c>
      <c r="B601" s="1" t="s">
        <v>6392</v>
      </c>
      <c r="D601" s="1" t="s">
        <v>1973</v>
      </c>
      <c r="E601" s="1" t="s">
        <v>1974</v>
      </c>
      <c r="F601" s="1" t="s">
        <v>6393</v>
      </c>
      <c r="G601" s="1" t="s">
        <v>6394</v>
      </c>
    </row>
    <row r="602" spans="1:7">
      <c r="A602" s="1">
        <v>1887</v>
      </c>
      <c r="B602" s="1" t="s">
        <v>6395</v>
      </c>
      <c r="D602" s="1" t="s">
        <v>1973</v>
      </c>
      <c r="E602" s="1" t="s">
        <v>1978</v>
      </c>
      <c r="F602" s="1" t="s">
        <v>6396</v>
      </c>
      <c r="G602" s="1" t="s">
        <v>6397</v>
      </c>
    </row>
    <row r="603" spans="1:7">
      <c r="A603" s="1">
        <v>1889</v>
      </c>
      <c r="B603" s="1" t="s">
        <v>6398</v>
      </c>
      <c r="D603" s="1" t="s">
        <v>1973</v>
      </c>
      <c r="E603" s="1" t="s">
        <v>1994</v>
      </c>
      <c r="F603" s="1" t="s">
        <v>6399</v>
      </c>
      <c r="G603" s="1" t="s">
        <v>6400</v>
      </c>
    </row>
    <row r="604" spans="1:7">
      <c r="A604" s="1">
        <v>1890</v>
      </c>
      <c r="B604" s="1" t="s">
        <v>6401</v>
      </c>
      <c r="D604" s="1" t="s">
        <v>1973</v>
      </c>
      <c r="E604" s="1" t="s">
        <v>1990</v>
      </c>
      <c r="F604" s="1" t="s">
        <v>6402</v>
      </c>
      <c r="G604" s="1" t="s">
        <v>6403</v>
      </c>
    </row>
    <row r="605" spans="1:7">
      <c r="A605" s="1">
        <v>1891</v>
      </c>
      <c r="B605" s="1" t="s">
        <v>6404</v>
      </c>
      <c r="D605" s="1" t="s">
        <v>1973</v>
      </c>
      <c r="E605" s="1" t="s">
        <v>1998</v>
      </c>
      <c r="F605" s="1" t="s">
        <v>6405</v>
      </c>
      <c r="G605" s="1" t="s">
        <v>6406</v>
      </c>
    </row>
    <row r="606" spans="1:7">
      <c r="A606" s="1">
        <v>1892</v>
      </c>
      <c r="B606" s="1" t="s">
        <v>6407</v>
      </c>
      <c r="D606" s="1" t="s">
        <v>1973</v>
      </c>
      <c r="E606" s="1" t="s">
        <v>2002</v>
      </c>
      <c r="F606" s="1" t="s">
        <v>6408</v>
      </c>
      <c r="G606" s="1" t="s">
        <v>6409</v>
      </c>
    </row>
    <row r="607" spans="1:7">
      <c r="A607" s="1">
        <v>1893</v>
      </c>
      <c r="B607" s="1" t="s">
        <v>6410</v>
      </c>
      <c r="D607" s="1" t="s">
        <v>2006</v>
      </c>
      <c r="E607" s="1" t="s">
        <v>2011</v>
      </c>
      <c r="F607" s="1" t="s">
        <v>6387</v>
      </c>
      <c r="G607" s="1" t="s">
        <v>6388</v>
      </c>
    </row>
    <row r="608" spans="1:7">
      <c r="A608" s="1">
        <v>1894</v>
      </c>
      <c r="B608" s="1" t="s">
        <v>6411</v>
      </c>
      <c r="D608" s="1" t="s">
        <v>2006</v>
      </c>
      <c r="E608" s="1" t="s">
        <v>2013</v>
      </c>
      <c r="F608" s="1" t="s">
        <v>6390</v>
      </c>
      <c r="G608" s="1" t="s">
        <v>6391</v>
      </c>
    </row>
    <row r="609" spans="1:7">
      <c r="A609" s="1">
        <v>1895</v>
      </c>
      <c r="B609" s="1" t="s">
        <v>6412</v>
      </c>
      <c r="D609" s="1" t="s">
        <v>2006</v>
      </c>
      <c r="E609" s="1" t="s">
        <v>2007</v>
      </c>
      <c r="F609" s="1" t="s">
        <v>6393</v>
      </c>
      <c r="G609" s="1" t="s">
        <v>6394</v>
      </c>
    </row>
    <row r="610" spans="1:7">
      <c r="A610" s="1">
        <v>1897</v>
      </c>
      <c r="B610" s="1" t="s">
        <v>6413</v>
      </c>
      <c r="D610" s="1" t="s">
        <v>2006</v>
      </c>
      <c r="E610" s="1" t="s">
        <v>2009</v>
      </c>
      <c r="F610" s="1" t="s">
        <v>6396</v>
      </c>
      <c r="G610" s="1" t="s">
        <v>6397</v>
      </c>
    </row>
    <row r="611" spans="1:7">
      <c r="A611" s="1">
        <v>1899</v>
      </c>
      <c r="B611" s="1" t="s">
        <v>6414</v>
      </c>
      <c r="D611" s="1" t="s">
        <v>2006</v>
      </c>
      <c r="E611" s="1" t="s">
        <v>2017</v>
      </c>
      <c r="F611" s="1" t="s">
        <v>6399</v>
      </c>
      <c r="G611" s="1" t="s">
        <v>6400</v>
      </c>
    </row>
    <row r="612" spans="1:7">
      <c r="A612" s="1">
        <v>1900</v>
      </c>
      <c r="B612" s="1" t="s">
        <v>6415</v>
      </c>
      <c r="D612" s="1" t="s">
        <v>2006</v>
      </c>
      <c r="E612" s="1" t="s">
        <v>2015</v>
      </c>
      <c r="F612" s="1" t="s">
        <v>6402</v>
      </c>
      <c r="G612" s="1" t="s">
        <v>6403</v>
      </c>
    </row>
    <row r="613" spans="1:7">
      <c r="A613" s="1">
        <v>1901</v>
      </c>
      <c r="B613" s="1" t="s">
        <v>6416</v>
      </c>
      <c r="D613" s="1" t="s">
        <v>2006</v>
      </c>
      <c r="E613" s="1" t="s">
        <v>2019</v>
      </c>
      <c r="F613" s="1" t="s">
        <v>6405</v>
      </c>
      <c r="G613" s="1" t="s">
        <v>6406</v>
      </c>
    </row>
    <row r="614" spans="1:7">
      <c r="A614" s="1">
        <v>1902</v>
      </c>
      <c r="B614" s="1" t="s">
        <v>6417</v>
      </c>
      <c r="D614" s="1" t="s">
        <v>2006</v>
      </c>
      <c r="E614" s="1" t="s">
        <v>2021</v>
      </c>
      <c r="F614" s="1" t="s">
        <v>6408</v>
      </c>
      <c r="G614" s="1" t="s">
        <v>6409</v>
      </c>
    </row>
    <row r="615" spans="1:7">
      <c r="A615" s="1">
        <v>1904</v>
      </c>
      <c r="B615" s="1" t="s">
        <v>6418</v>
      </c>
      <c r="D615" s="1" t="s">
        <v>2023</v>
      </c>
      <c r="E615" s="1" t="s">
        <v>2056</v>
      </c>
      <c r="F615" s="1" t="s">
        <v>6419</v>
      </c>
      <c r="G615" s="1" t="s">
        <v>6420</v>
      </c>
    </row>
    <row r="616" spans="1:7">
      <c r="A616" s="1">
        <v>1905</v>
      </c>
      <c r="B616" s="1" t="s">
        <v>6421</v>
      </c>
      <c r="D616" s="1" t="s">
        <v>2023</v>
      </c>
      <c r="E616" s="1" t="s">
        <v>2060</v>
      </c>
      <c r="F616" s="1" t="s">
        <v>6422</v>
      </c>
      <c r="G616" s="1" t="s">
        <v>6423</v>
      </c>
    </row>
    <row r="617" spans="1:7">
      <c r="A617" s="1">
        <v>1906</v>
      </c>
      <c r="B617" s="1" t="s">
        <v>6424</v>
      </c>
      <c r="D617" s="1" t="s">
        <v>2023</v>
      </c>
      <c r="E617" s="1" t="s">
        <v>2064</v>
      </c>
      <c r="F617" s="1" t="s">
        <v>6425</v>
      </c>
      <c r="G617" s="1" t="s">
        <v>6420</v>
      </c>
    </row>
    <row r="618" spans="1:7">
      <c r="A618" s="1">
        <v>1907</v>
      </c>
      <c r="B618" s="1" t="s">
        <v>6426</v>
      </c>
      <c r="D618" s="1" t="s">
        <v>2023</v>
      </c>
      <c r="E618" s="1" t="s">
        <v>2067</v>
      </c>
      <c r="F618" s="1" t="s">
        <v>6427</v>
      </c>
      <c r="G618" s="1" t="s">
        <v>6423</v>
      </c>
    </row>
    <row r="619" spans="1:7">
      <c r="A619" s="1">
        <v>1908</v>
      </c>
      <c r="B619" s="1" t="s">
        <v>6428</v>
      </c>
      <c r="D619" s="1" t="s">
        <v>2023</v>
      </c>
      <c r="E619" s="1" t="s">
        <v>2054</v>
      </c>
      <c r="F619" s="1" t="s">
        <v>6429</v>
      </c>
      <c r="G619" s="1" t="s">
        <v>6430</v>
      </c>
    </row>
    <row r="620" spans="1:7">
      <c r="A620" s="1">
        <v>1909</v>
      </c>
      <c r="B620" s="1" t="s">
        <v>6431</v>
      </c>
      <c r="D620" s="1" t="s">
        <v>2023</v>
      </c>
      <c r="E620" s="1" t="s">
        <v>2052</v>
      </c>
      <c r="F620" s="1" t="s">
        <v>6432</v>
      </c>
      <c r="G620" s="1" t="s">
        <v>6433</v>
      </c>
    </row>
    <row r="621" spans="1:7">
      <c r="A621" s="1">
        <v>1912</v>
      </c>
      <c r="B621" s="1" t="s">
        <v>6434</v>
      </c>
      <c r="D621" s="1" t="s">
        <v>2023</v>
      </c>
      <c r="E621" s="1" t="s">
        <v>6435</v>
      </c>
      <c r="F621" s="1" t="s">
        <v>6436</v>
      </c>
      <c r="G621" s="1" t="s">
        <v>6437</v>
      </c>
    </row>
    <row r="622" spans="1:7">
      <c r="A622" s="1">
        <v>1913</v>
      </c>
      <c r="B622" s="1" t="s">
        <v>6438</v>
      </c>
      <c r="D622" s="1" t="s">
        <v>2023</v>
      </c>
      <c r="E622" s="1" t="s">
        <v>6439</v>
      </c>
      <c r="F622" s="1" t="s">
        <v>6440</v>
      </c>
      <c r="G622" s="1" t="s">
        <v>6441</v>
      </c>
    </row>
    <row r="623" spans="1:7">
      <c r="A623" s="1">
        <v>1914</v>
      </c>
      <c r="B623" s="1" t="s">
        <v>6442</v>
      </c>
      <c r="D623" s="1" t="s">
        <v>2023</v>
      </c>
      <c r="E623" s="1" t="s">
        <v>6443</v>
      </c>
      <c r="F623" s="1" t="s">
        <v>6444</v>
      </c>
      <c r="G623" s="1" t="s">
        <v>6445</v>
      </c>
    </row>
    <row r="624" spans="1:7">
      <c r="A624" s="1">
        <v>1915</v>
      </c>
      <c r="B624" s="1" t="s">
        <v>6446</v>
      </c>
      <c r="D624" s="1" t="s">
        <v>2023</v>
      </c>
      <c r="E624" s="1" t="s">
        <v>6447</v>
      </c>
      <c r="F624" s="1" t="s">
        <v>6448</v>
      </c>
      <c r="G624" s="1" t="s">
        <v>6449</v>
      </c>
    </row>
    <row r="625" spans="1:7">
      <c r="A625" s="1">
        <v>1916</v>
      </c>
      <c r="B625" s="1" t="s">
        <v>6450</v>
      </c>
      <c r="D625" s="1" t="s">
        <v>2023</v>
      </c>
      <c r="E625" s="1" t="s">
        <v>6451</v>
      </c>
      <c r="F625" s="1" t="s">
        <v>6452</v>
      </c>
      <c r="G625" s="1" t="s">
        <v>6453</v>
      </c>
    </row>
    <row r="626" spans="1:7">
      <c r="A626" s="1">
        <v>1917</v>
      </c>
      <c r="B626" s="1" t="s">
        <v>6454</v>
      </c>
      <c r="D626" s="1" t="s">
        <v>2023</v>
      </c>
      <c r="E626" s="1" t="s">
        <v>6455</v>
      </c>
      <c r="F626" s="1" t="s">
        <v>6456</v>
      </c>
      <c r="G626" s="1" t="s">
        <v>6457</v>
      </c>
    </row>
    <row r="627" spans="1:7">
      <c r="A627" s="1">
        <v>1919</v>
      </c>
      <c r="B627" s="1" t="s">
        <v>6458</v>
      </c>
      <c r="D627" s="1" t="s">
        <v>2023</v>
      </c>
      <c r="E627" s="1" t="s">
        <v>2024</v>
      </c>
      <c r="F627" s="1" t="s">
        <v>6459</v>
      </c>
      <c r="G627" s="1" t="s">
        <v>6460</v>
      </c>
    </row>
    <row r="628" spans="1:7">
      <c r="A628" s="1">
        <v>1920</v>
      </c>
      <c r="B628" s="1" t="s">
        <v>6461</v>
      </c>
      <c r="D628" s="1" t="s">
        <v>2023</v>
      </c>
      <c r="E628" s="1" t="s">
        <v>2044</v>
      </c>
      <c r="F628" s="1" t="s">
        <v>6462</v>
      </c>
      <c r="G628" s="1" t="s">
        <v>6463</v>
      </c>
    </row>
    <row r="629" spans="1:7">
      <c r="A629" s="1">
        <v>1921</v>
      </c>
      <c r="B629" s="1" t="s">
        <v>6464</v>
      </c>
      <c r="D629" s="1" t="s">
        <v>2023</v>
      </c>
      <c r="E629" s="1" t="s">
        <v>2048</v>
      </c>
      <c r="F629" s="1" t="s">
        <v>6465</v>
      </c>
      <c r="G629" s="1" t="s">
        <v>6466</v>
      </c>
    </row>
    <row r="630" spans="1:7">
      <c r="A630" s="1">
        <v>1922</v>
      </c>
      <c r="B630" s="1" t="s">
        <v>6467</v>
      </c>
      <c r="D630" s="1" t="s">
        <v>2070</v>
      </c>
      <c r="E630" s="1" t="s">
        <v>2093</v>
      </c>
      <c r="F630" s="1" t="s">
        <v>6419</v>
      </c>
      <c r="G630" s="1" t="s">
        <v>6420</v>
      </c>
    </row>
    <row r="631" spans="1:7">
      <c r="A631" s="1">
        <v>1923</v>
      </c>
      <c r="B631" s="1" t="s">
        <v>6468</v>
      </c>
      <c r="D631" s="1" t="s">
        <v>2070</v>
      </c>
      <c r="E631" s="1" t="s">
        <v>2095</v>
      </c>
      <c r="F631" s="1" t="s">
        <v>6422</v>
      </c>
      <c r="G631" s="1" t="s">
        <v>6423</v>
      </c>
    </row>
    <row r="632" spans="1:7">
      <c r="A632" s="1">
        <v>1924</v>
      </c>
      <c r="B632" s="1" t="s">
        <v>6469</v>
      </c>
      <c r="D632" s="1" t="s">
        <v>2070</v>
      </c>
      <c r="E632" s="1" t="s">
        <v>2097</v>
      </c>
      <c r="F632" s="1" t="s">
        <v>6425</v>
      </c>
      <c r="G632" s="1" t="s">
        <v>6420</v>
      </c>
    </row>
    <row r="633" spans="1:7">
      <c r="A633" s="1">
        <v>1925</v>
      </c>
      <c r="B633" s="1" t="s">
        <v>6470</v>
      </c>
      <c r="D633" s="1" t="s">
        <v>2070</v>
      </c>
      <c r="E633" s="1" t="s">
        <v>2099</v>
      </c>
      <c r="F633" s="1" t="s">
        <v>6427</v>
      </c>
      <c r="G633" s="1" t="s">
        <v>6423</v>
      </c>
    </row>
    <row r="634" spans="1:7">
      <c r="A634" s="1">
        <v>1926</v>
      </c>
      <c r="B634" s="1" t="s">
        <v>6471</v>
      </c>
      <c r="D634" s="1" t="s">
        <v>2070</v>
      </c>
      <c r="E634" s="1" t="s">
        <v>2091</v>
      </c>
      <c r="F634" s="1" t="s">
        <v>6429</v>
      </c>
      <c r="G634" s="1" t="s">
        <v>6430</v>
      </c>
    </row>
    <row r="635" spans="1:7">
      <c r="A635" s="1">
        <v>1927</v>
      </c>
      <c r="B635" s="1" t="s">
        <v>6472</v>
      </c>
      <c r="D635" s="1" t="s">
        <v>2070</v>
      </c>
      <c r="E635" s="1" t="s">
        <v>2089</v>
      </c>
      <c r="F635" s="1" t="s">
        <v>6432</v>
      </c>
      <c r="G635" s="1" t="s">
        <v>6433</v>
      </c>
    </row>
    <row r="636" spans="1:7">
      <c r="A636" s="1">
        <v>1930</v>
      </c>
      <c r="B636" s="1" t="s">
        <v>6473</v>
      </c>
      <c r="D636" s="1" t="s">
        <v>2070</v>
      </c>
      <c r="E636" s="1" t="s">
        <v>6474</v>
      </c>
      <c r="F636" s="1" t="s">
        <v>6436</v>
      </c>
      <c r="G636" s="1" t="s">
        <v>6437</v>
      </c>
    </row>
    <row r="637" spans="1:7">
      <c r="A637" s="1">
        <v>1931</v>
      </c>
      <c r="B637" s="1" t="s">
        <v>6475</v>
      </c>
      <c r="D637" s="1" t="s">
        <v>2070</v>
      </c>
      <c r="E637" s="1" t="s">
        <v>6476</v>
      </c>
      <c r="F637" s="1" t="s">
        <v>6440</v>
      </c>
      <c r="G637" s="1" t="s">
        <v>6441</v>
      </c>
    </row>
    <row r="638" spans="1:7">
      <c r="A638" s="1">
        <v>1932</v>
      </c>
      <c r="B638" s="1" t="s">
        <v>6477</v>
      </c>
      <c r="D638" s="1" t="s">
        <v>2070</v>
      </c>
      <c r="E638" s="1" t="s">
        <v>6478</v>
      </c>
      <c r="F638" s="1" t="s">
        <v>6444</v>
      </c>
      <c r="G638" s="1" t="s">
        <v>6445</v>
      </c>
    </row>
    <row r="639" spans="1:7">
      <c r="A639" s="1">
        <v>1933</v>
      </c>
      <c r="B639" s="1" t="s">
        <v>6479</v>
      </c>
      <c r="D639" s="1" t="s">
        <v>2070</v>
      </c>
      <c r="E639" s="1" t="s">
        <v>6480</v>
      </c>
      <c r="F639" s="1" t="s">
        <v>6448</v>
      </c>
      <c r="G639" s="1" t="s">
        <v>6449</v>
      </c>
    </row>
    <row r="640" spans="1:7">
      <c r="A640" s="1">
        <v>1934</v>
      </c>
      <c r="B640" s="1" t="s">
        <v>6481</v>
      </c>
      <c r="D640" s="1" t="s">
        <v>2070</v>
      </c>
      <c r="E640" s="1" t="s">
        <v>6482</v>
      </c>
      <c r="F640" s="1" t="s">
        <v>6452</v>
      </c>
      <c r="G640" s="1" t="s">
        <v>6453</v>
      </c>
    </row>
    <row r="641" spans="1:7">
      <c r="A641" s="1">
        <v>1935</v>
      </c>
      <c r="B641" s="1" t="s">
        <v>6483</v>
      </c>
      <c r="D641" s="1" t="s">
        <v>2070</v>
      </c>
      <c r="E641" s="1" t="s">
        <v>6484</v>
      </c>
      <c r="F641" s="1" t="s">
        <v>6456</v>
      </c>
      <c r="G641" s="1" t="s">
        <v>6457</v>
      </c>
    </row>
    <row r="642" spans="1:7">
      <c r="A642" s="1">
        <v>1937</v>
      </c>
      <c r="B642" s="1" t="s">
        <v>6485</v>
      </c>
      <c r="D642" s="1" t="s">
        <v>2070</v>
      </c>
      <c r="E642" s="1" t="s">
        <v>2071</v>
      </c>
      <c r="F642" s="1" t="s">
        <v>6459</v>
      </c>
      <c r="G642" s="1" t="s">
        <v>6460</v>
      </c>
    </row>
    <row r="643" spans="1:7">
      <c r="A643" s="1">
        <v>1938</v>
      </c>
      <c r="B643" s="1" t="s">
        <v>6486</v>
      </c>
      <c r="D643" s="1" t="s">
        <v>2070</v>
      </c>
      <c r="E643" s="1" t="s">
        <v>2085</v>
      </c>
      <c r="F643" s="1" t="s">
        <v>6462</v>
      </c>
      <c r="G643" s="1" t="s">
        <v>6463</v>
      </c>
    </row>
    <row r="644" spans="1:7">
      <c r="A644" s="1">
        <v>1939</v>
      </c>
      <c r="B644" s="1" t="s">
        <v>6487</v>
      </c>
      <c r="D644" s="1" t="s">
        <v>2070</v>
      </c>
      <c r="E644" s="1" t="s">
        <v>2087</v>
      </c>
      <c r="F644" s="1" t="s">
        <v>6465</v>
      </c>
      <c r="G644" s="1" t="s">
        <v>6466</v>
      </c>
    </row>
    <row r="645" spans="1:7">
      <c r="A645" s="1">
        <v>1940</v>
      </c>
      <c r="B645" s="1" t="s">
        <v>6488</v>
      </c>
      <c r="D645" s="1" t="s">
        <v>2101</v>
      </c>
      <c r="E645" s="1" t="s">
        <v>2124</v>
      </c>
      <c r="F645" s="1" t="s">
        <v>6419</v>
      </c>
      <c r="G645" s="1" t="s">
        <v>6420</v>
      </c>
    </row>
    <row r="646" spans="1:7">
      <c r="A646" s="1">
        <v>1941</v>
      </c>
      <c r="B646" s="1" t="s">
        <v>6489</v>
      </c>
      <c r="D646" s="1" t="s">
        <v>2101</v>
      </c>
      <c r="E646" s="1" t="s">
        <v>2126</v>
      </c>
      <c r="F646" s="1" t="s">
        <v>6422</v>
      </c>
      <c r="G646" s="1" t="s">
        <v>6423</v>
      </c>
    </row>
    <row r="647" spans="1:7">
      <c r="A647" s="1">
        <v>1942</v>
      </c>
      <c r="B647" s="1" t="s">
        <v>6490</v>
      </c>
      <c r="D647" s="1" t="s">
        <v>2101</v>
      </c>
      <c r="E647" s="1" t="s">
        <v>2128</v>
      </c>
      <c r="F647" s="1" t="s">
        <v>6425</v>
      </c>
      <c r="G647" s="1" t="s">
        <v>6420</v>
      </c>
    </row>
    <row r="648" spans="1:7">
      <c r="A648" s="1">
        <v>1943</v>
      </c>
      <c r="B648" s="1" t="s">
        <v>6491</v>
      </c>
      <c r="D648" s="1" t="s">
        <v>2101</v>
      </c>
      <c r="E648" s="1" t="s">
        <v>2130</v>
      </c>
      <c r="F648" s="1" t="s">
        <v>6427</v>
      </c>
      <c r="G648" s="1" t="s">
        <v>6423</v>
      </c>
    </row>
    <row r="649" spans="1:7">
      <c r="A649" s="1">
        <v>1944</v>
      </c>
      <c r="B649" s="1" t="s">
        <v>6492</v>
      </c>
      <c r="D649" s="1" t="s">
        <v>2101</v>
      </c>
      <c r="E649" s="1" t="s">
        <v>2122</v>
      </c>
      <c r="F649" s="1" t="s">
        <v>6429</v>
      </c>
      <c r="G649" s="1" t="s">
        <v>6430</v>
      </c>
    </row>
    <row r="650" spans="1:7">
      <c r="A650" s="1">
        <v>1945</v>
      </c>
      <c r="B650" s="1" t="s">
        <v>6493</v>
      </c>
      <c r="D650" s="1" t="s">
        <v>2101</v>
      </c>
      <c r="E650" s="1" t="s">
        <v>2120</v>
      </c>
      <c r="F650" s="1" t="s">
        <v>6432</v>
      </c>
      <c r="G650" s="1" t="s">
        <v>6433</v>
      </c>
    </row>
    <row r="651" spans="1:7">
      <c r="A651" s="1">
        <v>1948</v>
      </c>
      <c r="B651" s="1" t="s">
        <v>6494</v>
      </c>
      <c r="D651" s="1" t="s">
        <v>2101</v>
      </c>
      <c r="E651" s="1" t="s">
        <v>6495</v>
      </c>
      <c r="F651" s="1" t="s">
        <v>6436</v>
      </c>
      <c r="G651" s="1" t="s">
        <v>6437</v>
      </c>
    </row>
    <row r="652" spans="1:7">
      <c r="A652" s="1">
        <v>1949</v>
      </c>
      <c r="B652" s="1" t="s">
        <v>6496</v>
      </c>
      <c r="D652" s="1" t="s">
        <v>2101</v>
      </c>
      <c r="E652" s="1" t="s">
        <v>6497</v>
      </c>
      <c r="F652" s="1" t="s">
        <v>6440</v>
      </c>
      <c r="G652" s="1" t="s">
        <v>6441</v>
      </c>
    </row>
    <row r="653" spans="1:7">
      <c r="A653" s="1">
        <v>1950</v>
      </c>
      <c r="B653" s="1" t="s">
        <v>6498</v>
      </c>
      <c r="D653" s="1" t="s">
        <v>2101</v>
      </c>
      <c r="E653" s="1" t="s">
        <v>6499</v>
      </c>
      <c r="F653" s="1" t="s">
        <v>6444</v>
      </c>
      <c r="G653" s="1" t="s">
        <v>6445</v>
      </c>
    </row>
    <row r="654" spans="1:7">
      <c r="A654" s="1">
        <v>1951</v>
      </c>
      <c r="B654" s="1" t="s">
        <v>6500</v>
      </c>
      <c r="D654" s="1" t="s">
        <v>2101</v>
      </c>
      <c r="E654" s="1" t="s">
        <v>6501</v>
      </c>
      <c r="F654" s="1" t="s">
        <v>6448</v>
      </c>
      <c r="G654" s="1" t="s">
        <v>6449</v>
      </c>
    </row>
    <row r="655" spans="1:7">
      <c r="A655" s="1">
        <v>1952</v>
      </c>
      <c r="B655" s="1" t="s">
        <v>6502</v>
      </c>
      <c r="D655" s="1" t="s">
        <v>2101</v>
      </c>
      <c r="E655" s="1" t="s">
        <v>6503</v>
      </c>
      <c r="F655" s="1" t="s">
        <v>6452</v>
      </c>
      <c r="G655" s="1" t="s">
        <v>6453</v>
      </c>
    </row>
    <row r="656" spans="1:7">
      <c r="A656" s="1">
        <v>1953</v>
      </c>
      <c r="B656" s="1" t="s">
        <v>6504</v>
      </c>
      <c r="D656" s="1" t="s">
        <v>2101</v>
      </c>
      <c r="E656" s="1" t="s">
        <v>6505</v>
      </c>
      <c r="F656" s="1" t="s">
        <v>6456</v>
      </c>
      <c r="G656" s="1" t="s">
        <v>6457</v>
      </c>
    </row>
    <row r="657" spans="1:7">
      <c r="A657" s="1">
        <v>1955</v>
      </c>
      <c r="B657" s="1" t="s">
        <v>6506</v>
      </c>
      <c r="D657" s="1" t="s">
        <v>2101</v>
      </c>
      <c r="E657" s="1" t="s">
        <v>2102</v>
      </c>
      <c r="F657" s="1" t="s">
        <v>6459</v>
      </c>
      <c r="G657" s="1" t="s">
        <v>6460</v>
      </c>
    </row>
    <row r="658" spans="1:7">
      <c r="A658" s="1">
        <v>1956</v>
      </c>
      <c r="B658" s="1" t="s">
        <v>6507</v>
      </c>
      <c r="D658" s="1" t="s">
        <v>2101</v>
      </c>
      <c r="E658" s="1" t="s">
        <v>2116</v>
      </c>
      <c r="F658" s="1" t="s">
        <v>6462</v>
      </c>
      <c r="G658" s="1" t="s">
        <v>6463</v>
      </c>
    </row>
    <row r="659" spans="1:7">
      <c r="A659" s="1">
        <v>1957</v>
      </c>
      <c r="B659" s="1" t="s">
        <v>6508</v>
      </c>
      <c r="D659" s="1" t="s">
        <v>2101</v>
      </c>
      <c r="E659" s="1" t="s">
        <v>2118</v>
      </c>
      <c r="F659" s="1" t="s">
        <v>6465</v>
      </c>
      <c r="G659" s="1" t="s">
        <v>6466</v>
      </c>
    </row>
    <row r="660" spans="1:7">
      <c r="A660" s="1">
        <v>1958</v>
      </c>
      <c r="B660" s="1" t="s">
        <v>6509</v>
      </c>
      <c r="D660" s="1" t="s">
        <v>2132</v>
      </c>
      <c r="E660" s="1" t="s">
        <v>2155</v>
      </c>
      <c r="F660" s="1" t="s">
        <v>6419</v>
      </c>
      <c r="G660" s="1" t="s">
        <v>6420</v>
      </c>
    </row>
    <row r="661" spans="1:7">
      <c r="A661" s="1">
        <v>1959</v>
      </c>
      <c r="B661" s="1" t="s">
        <v>6510</v>
      </c>
      <c r="D661" s="1" t="s">
        <v>2132</v>
      </c>
      <c r="E661" s="1" t="s">
        <v>2157</v>
      </c>
      <c r="F661" s="1" t="s">
        <v>6422</v>
      </c>
      <c r="G661" s="1" t="s">
        <v>6423</v>
      </c>
    </row>
    <row r="662" spans="1:7">
      <c r="A662" s="1">
        <v>1960</v>
      </c>
      <c r="B662" s="1" t="s">
        <v>6511</v>
      </c>
      <c r="D662" s="1" t="s">
        <v>2132</v>
      </c>
      <c r="E662" s="1" t="s">
        <v>2159</v>
      </c>
      <c r="F662" s="1" t="s">
        <v>6425</v>
      </c>
      <c r="G662" s="1" t="s">
        <v>6420</v>
      </c>
    </row>
    <row r="663" spans="1:7">
      <c r="A663" s="1">
        <v>1961</v>
      </c>
      <c r="B663" s="1" t="s">
        <v>6512</v>
      </c>
      <c r="D663" s="1" t="s">
        <v>2132</v>
      </c>
      <c r="E663" s="1" t="s">
        <v>2161</v>
      </c>
      <c r="F663" s="1" t="s">
        <v>6427</v>
      </c>
      <c r="G663" s="1" t="s">
        <v>6423</v>
      </c>
    </row>
    <row r="664" spans="1:7">
      <c r="A664" s="1">
        <v>1962</v>
      </c>
      <c r="B664" s="1" t="s">
        <v>6513</v>
      </c>
      <c r="D664" s="1" t="s">
        <v>2132</v>
      </c>
      <c r="E664" s="1" t="s">
        <v>2153</v>
      </c>
      <c r="F664" s="1" t="s">
        <v>6429</v>
      </c>
      <c r="G664" s="1" t="s">
        <v>6430</v>
      </c>
    </row>
    <row r="665" spans="1:7">
      <c r="A665" s="1">
        <v>1963</v>
      </c>
      <c r="B665" s="1" t="s">
        <v>6514</v>
      </c>
      <c r="D665" s="1" t="s">
        <v>2132</v>
      </c>
      <c r="E665" s="1" t="s">
        <v>2151</v>
      </c>
      <c r="F665" s="1" t="s">
        <v>6432</v>
      </c>
      <c r="G665" s="1" t="s">
        <v>6433</v>
      </c>
    </row>
    <row r="666" spans="1:7">
      <c r="A666" s="1">
        <v>1966</v>
      </c>
      <c r="B666" s="1" t="s">
        <v>6515</v>
      </c>
      <c r="D666" s="1" t="s">
        <v>2132</v>
      </c>
      <c r="E666" s="1" t="s">
        <v>6516</v>
      </c>
      <c r="F666" s="1" t="s">
        <v>6436</v>
      </c>
      <c r="G666" s="1" t="s">
        <v>6437</v>
      </c>
    </row>
    <row r="667" spans="1:7">
      <c r="A667" s="1">
        <v>1967</v>
      </c>
      <c r="B667" s="1" t="s">
        <v>6517</v>
      </c>
      <c r="D667" s="1" t="s">
        <v>2132</v>
      </c>
      <c r="E667" s="1" t="s">
        <v>6518</v>
      </c>
      <c r="F667" s="1" t="s">
        <v>6440</v>
      </c>
      <c r="G667" s="1" t="s">
        <v>6441</v>
      </c>
    </row>
    <row r="668" spans="1:7">
      <c r="A668" s="1">
        <v>1968</v>
      </c>
      <c r="B668" s="1" t="s">
        <v>6519</v>
      </c>
      <c r="D668" s="1" t="s">
        <v>2132</v>
      </c>
      <c r="E668" s="1" t="s">
        <v>6520</v>
      </c>
      <c r="F668" s="1" t="s">
        <v>6444</v>
      </c>
      <c r="G668" s="1" t="s">
        <v>6445</v>
      </c>
    </row>
    <row r="669" spans="1:7">
      <c r="A669" s="1">
        <v>1969</v>
      </c>
      <c r="B669" s="1" t="s">
        <v>6521</v>
      </c>
      <c r="D669" s="1" t="s">
        <v>2132</v>
      </c>
      <c r="E669" s="1" t="s">
        <v>6522</v>
      </c>
      <c r="F669" s="1" t="s">
        <v>6448</v>
      </c>
      <c r="G669" s="1" t="s">
        <v>6449</v>
      </c>
    </row>
    <row r="670" spans="1:7">
      <c r="A670" s="1">
        <v>1970</v>
      </c>
      <c r="B670" s="1" t="s">
        <v>6523</v>
      </c>
      <c r="D670" s="1" t="s">
        <v>2132</v>
      </c>
      <c r="E670" s="1" t="s">
        <v>6524</v>
      </c>
      <c r="F670" s="1" t="s">
        <v>6452</v>
      </c>
      <c r="G670" s="1" t="s">
        <v>6453</v>
      </c>
    </row>
    <row r="671" spans="1:7">
      <c r="A671" s="1">
        <v>1971</v>
      </c>
      <c r="B671" s="1" t="s">
        <v>6525</v>
      </c>
      <c r="D671" s="1" t="s">
        <v>2132</v>
      </c>
      <c r="E671" s="1" t="s">
        <v>6526</v>
      </c>
      <c r="F671" s="1" t="s">
        <v>6456</v>
      </c>
      <c r="G671" s="1" t="s">
        <v>6457</v>
      </c>
    </row>
    <row r="672" spans="1:7">
      <c r="A672" s="1">
        <v>1973</v>
      </c>
      <c r="B672" s="1" t="s">
        <v>6527</v>
      </c>
      <c r="D672" s="1" t="s">
        <v>2132</v>
      </c>
      <c r="E672" s="1" t="s">
        <v>2133</v>
      </c>
      <c r="F672" s="1" t="s">
        <v>6459</v>
      </c>
      <c r="G672" s="1" t="s">
        <v>6460</v>
      </c>
    </row>
    <row r="673" spans="1:7">
      <c r="A673" s="1">
        <v>1974</v>
      </c>
      <c r="B673" s="1" t="s">
        <v>6528</v>
      </c>
      <c r="D673" s="1" t="s">
        <v>2132</v>
      </c>
      <c r="E673" s="1" t="s">
        <v>2147</v>
      </c>
      <c r="F673" s="1" t="s">
        <v>6462</v>
      </c>
      <c r="G673" s="1" t="s">
        <v>6463</v>
      </c>
    </row>
    <row r="674" spans="1:7">
      <c r="A674" s="1">
        <v>1975</v>
      </c>
      <c r="B674" s="1" t="s">
        <v>6529</v>
      </c>
      <c r="D674" s="1" t="s">
        <v>2132</v>
      </c>
      <c r="E674" s="1" t="s">
        <v>2149</v>
      </c>
      <c r="F674" s="1" t="s">
        <v>6465</v>
      </c>
      <c r="G674" s="1" t="s">
        <v>6466</v>
      </c>
    </row>
    <row r="675" spans="1:7">
      <c r="A675" s="1">
        <v>1976</v>
      </c>
      <c r="B675" s="1" t="s">
        <v>6530</v>
      </c>
      <c r="D675" s="1" t="s">
        <v>2163</v>
      </c>
      <c r="E675" s="1" t="s">
        <v>2186</v>
      </c>
      <c r="F675" s="1" t="s">
        <v>6419</v>
      </c>
      <c r="G675" s="1" t="s">
        <v>6420</v>
      </c>
    </row>
    <row r="676" spans="1:7">
      <c r="A676" s="1">
        <v>1977</v>
      </c>
      <c r="B676" s="1" t="s">
        <v>6531</v>
      </c>
      <c r="D676" s="1" t="s">
        <v>2163</v>
      </c>
      <c r="E676" s="1" t="s">
        <v>2188</v>
      </c>
      <c r="F676" s="1" t="s">
        <v>6422</v>
      </c>
      <c r="G676" s="1" t="s">
        <v>6423</v>
      </c>
    </row>
    <row r="677" spans="1:7">
      <c r="A677" s="1">
        <v>1978</v>
      </c>
      <c r="B677" s="1" t="s">
        <v>6532</v>
      </c>
      <c r="D677" s="1" t="s">
        <v>2163</v>
      </c>
      <c r="E677" s="1" t="s">
        <v>2190</v>
      </c>
      <c r="F677" s="1" t="s">
        <v>6425</v>
      </c>
      <c r="G677" s="1" t="s">
        <v>6420</v>
      </c>
    </row>
    <row r="678" spans="1:7">
      <c r="A678" s="1">
        <v>1979</v>
      </c>
      <c r="B678" s="1" t="s">
        <v>6533</v>
      </c>
      <c r="D678" s="1" t="s">
        <v>2163</v>
      </c>
      <c r="E678" s="1" t="s">
        <v>2192</v>
      </c>
      <c r="F678" s="1" t="s">
        <v>6427</v>
      </c>
      <c r="G678" s="1" t="s">
        <v>6423</v>
      </c>
    </row>
    <row r="679" spans="1:7">
      <c r="A679" s="1">
        <v>1980</v>
      </c>
      <c r="B679" s="1" t="s">
        <v>6534</v>
      </c>
      <c r="D679" s="1" t="s">
        <v>2163</v>
      </c>
      <c r="E679" s="1" t="s">
        <v>2184</v>
      </c>
      <c r="F679" s="1" t="s">
        <v>6429</v>
      </c>
      <c r="G679" s="1" t="s">
        <v>6430</v>
      </c>
    </row>
    <row r="680" spans="1:7">
      <c r="A680" s="1">
        <v>1981</v>
      </c>
      <c r="B680" s="1" t="s">
        <v>6535</v>
      </c>
      <c r="D680" s="1" t="s">
        <v>2163</v>
      </c>
      <c r="E680" s="1" t="s">
        <v>2182</v>
      </c>
      <c r="F680" s="1" t="s">
        <v>6432</v>
      </c>
      <c r="G680" s="1" t="s">
        <v>6433</v>
      </c>
    </row>
    <row r="681" spans="1:7">
      <c r="A681" s="1">
        <v>1984</v>
      </c>
      <c r="B681" s="1" t="s">
        <v>6536</v>
      </c>
      <c r="D681" s="1" t="s">
        <v>2163</v>
      </c>
      <c r="E681" s="1" t="s">
        <v>6537</v>
      </c>
      <c r="F681" s="1" t="s">
        <v>6436</v>
      </c>
      <c r="G681" s="1" t="s">
        <v>6437</v>
      </c>
    </row>
    <row r="682" spans="1:7">
      <c r="A682" s="1">
        <v>1985</v>
      </c>
      <c r="B682" s="1" t="s">
        <v>6538</v>
      </c>
      <c r="D682" s="1" t="s">
        <v>2163</v>
      </c>
      <c r="E682" s="1" t="s">
        <v>6539</v>
      </c>
      <c r="F682" s="1" t="s">
        <v>6440</v>
      </c>
      <c r="G682" s="1" t="s">
        <v>6441</v>
      </c>
    </row>
    <row r="683" spans="1:7">
      <c r="A683" s="1">
        <v>1986</v>
      </c>
      <c r="B683" s="1" t="s">
        <v>6540</v>
      </c>
      <c r="D683" s="1" t="s">
        <v>2163</v>
      </c>
      <c r="E683" s="1" t="s">
        <v>6541</v>
      </c>
      <c r="F683" s="1" t="s">
        <v>6444</v>
      </c>
      <c r="G683" s="1" t="s">
        <v>6445</v>
      </c>
    </row>
    <row r="684" spans="1:7">
      <c r="A684" s="1">
        <v>1987</v>
      </c>
      <c r="B684" s="1" t="s">
        <v>6542</v>
      </c>
      <c r="D684" s="1" t="s">
        <v>2163</v>
      </c>
      <c r="E684" s="1" t="s">
        <v>6543</v>
      </c>
      <c r="F684" s="1" t="s">
        <v>6448</v>
      </c>
      <c r="G684" s="1" t="s">
        <v>6449</v>
      </c>
    </row>
    <row r="685" spans="1:7">
      <c r="A685" s="1">
        <v>1988</v>
      </c>
      <c r="B685" s="1" t="s">
        <v>6544</v>
      </c>
      <c r="D685" s="1" t="s">
        <v>2163</v>
      </c>
      <c r="E685" s="1" t="s">
        <v>6545</v>
      </c>
      <c r="F685" s="1" t="s">
        <v>6452</v>
      </c>
      <c r="G685" s="1" t="s">
        <v>6453</v>
      </c>
    </row>
    <row r="686" spans="1:7">
      <c r="A686" s="1">
        <v>1989</v>
      </c>
      <c r="B686" s="1" t="s">
        <v>6546</v>
      </c>
      <c r="D686" s="1" t="s">
        <v>2163</v>
      </c>
      <c r="E686" s="1" t="s">
        <v>6547</v>
      </c>
      <c r="F686" s="1" t="s">
        <v>6456</v>
      </c>
      <c r="G686" s="1" t="s">
        <v>6457</v>
      </c>
    </row>
    <row r="687" spans="1:7">
      <c r="A687" s="1">
        <v>1991</v>
      </c>
      <c r="B687" s="1" t="s">
        <v>6548</v>
      </c>
      <c r="D687" s="1" t="s">
        <v>2163</v>
      </c>
      <c r="E687" s="1" t="s">
        <v>2164</v>
      </c>
      <c r="F687" s="1" t="s">
        <v>6459</v>
      </c>
      <c r="G687" s="1" t="s">
        <v>6460</v>
      </c>
    </row>
    <row r="688" spans="1:7">
      <c r="A688" s="1">
        <v>1992</v>
      </c>
      <c r="B688" s="1" t="s">
        <v>6549</v>
      </c>
      <c r="D688" s="1" t="s">
        <v>2163</v>
      </c>
      <c r="E688" s="1" t="s">
        <v>2178</v>
      </c>
      <c r="F688" s="1" t="s">
        <v>6462</v>
      </c>
      <c r="G688" s="1" t="s">
        <v>6463</v>
      </c>
    </row>
    <row r="689" spans="1:7">
      <c r="A689" s="1">
        <v>1993</v>
      </c>
      <c r="B689" s="1" t="s">
        <v>6550</v>
      </c>
      <c r="D689" s="1" t="s">
        <v>2163</v>
      </c>
      <c r="E689" s="1" t="s">
        <v>2180</v>
      </c>
      <c r="F689" s="1" t="s">
        <v>6465</v>
      </c>
      <c r="G689" s="1" t="s">
        <v>6466</v>
      </c>
    </row>
    <row r="690" spans="1:7">
      <c r="A690" s="1">
        <v>1994</v>
      </c>
      <c r="B690" s="1" t="s">
        <v>6551</v>
      </c>
      <c r="D690" s="1" t="s">
        <v>2194</v>
      </c>
      <c r="E690" s="1" t="s">
        <v>2217</v>
      </c>
      <c r="F690" s="1" t="s">
        <v>6419</v>
      </c>
      <c r="G690" s="1" t="s">
        <v>6420</v>
      </c>
    </row>
    <row r="691" spans="1:7">
      <c r="A691" s="1">
        <v>1995</v>
      </c>
      <c r="B691" s="1" t="s">
        <v>6552</v>
      </c>
      <c r="D691" s="1" t="s">
        <v>2194</v>
      </c>
      <c r="E691" s="1" t="s">
        <v>2219</v>
      </c>
      <c r="F691" s="1" t="s">
        <v>6422</v>
      </c>
      <c r="G691" s="1" t="s">
        <v>6423</v>
      </c>
    </row>
    <row r="692" spans="1:7">
      <c r="A692" s="1">
        <v>1996</v>
      </c>
      <c r="B692" s="1" t="s">
        <v>6553</v>
      </c>
      <c r="D692" s="1" t="s">
        <v>2194</v>
      </c>
      <c r="E692" s="1" t="s">
        <v>2221</v>
      </c>
      <c r="F692" s="1" t="s">
        <v>6425</v>
      </c>
      <c r="G692" s="1" t="s">
        <v>6420</v>
      </c>
    </row>
    <row r="693" spans="1:7">
      <c r="A693" s="1">
        <v>1997</v>
      </c>
      <c r="B693" s="1" t="s">
        <v>6554</v>
      </c>
      <c r="D693" s="1" t="s">
        <v>2194</v>
      </c>
      <c r="E693" s="1" t="s">
        <v>2223</v>
      </c>
      <c r="F693" s="1" t="s">
        <v>6427</v>
      </c>
      <c r="G693" s="1" t="s">
        <v>6423</v>
      </c>
    </row>
    <row r="694" spans="1:7">
      <c r="A694" s="1">
        <v>1998</v>
      </c>
      <c r="B694" s="1" t="s">
        <v>6555</v>
      </c>
      <c r="D694" s="1" t="s">
        <v>2194</v>
      </c>
      <c r="E694" s="1" t="s">
        <v>2215</v>
      </c>
      <c r="F694" s="1" t="s">
        <v>6429</v>
      </c>
      <c r="G694" s="1" t="s">
        <v>6430</v>
      </c>
    </row>
    <row r="695" spans="1:7">
      <c r="A695" s="1">
        <v>1999</v>
      </c>
      <c r="B695" s="1" t="s">
        <v>6556</v>
      </c>
      <c r="D695" s="1" t="s">
        <v>2194</v>
      </c>
      <c r="E695" s="1" t="s">
        <v>2213</v>
      </c>
      <c r="F695" s="1" t="s">
        <v>6432</v>
      </c>
      <c r="G695" s="1" t="s">
        <v>6433</v>
      </c>
    </row>
    <row r="696" spans="1:7">
      <c r="A696" s="1">
        <v>2002</v>
      </c>
      <c r="B696" s="1" t="s">
        <v>6557</v>
      </c>
      <c r="D696" s="1" t="s">
        <v>2194</v>
      </c>
      <c r="E696" s="1" t="s">
        <v>6558</v>
      </c>
      <c r="F696" s="1" t="s">
        <v>6436</v>
      </c>
      <c r="G696" s="1" t="s">
        <v>6437</v>
      </c>
    </row>
    <row r="697" spans="1:7">
      <c r="A697" s="1">
        <v>2003</v>
      </c>
      <c r="B697" s="1" t="s">
        <v>6559</v>
      </c>
      <c r="D697" s="1" t="s">
        <v>2194</v>
      </c>
      <c r="E697" s="1" t="s">
        <v>6560</v>
      </c>
      <c r="F697" s="1" t="s">
        <v>6440</v>
      </c>
      <c r="G697" s="1" t="s">
        <v>6441</v>
      </c>
    </row>
    <row r="698" spans="1:7">
      <c r="A698" s="1">
        <v>2004</v>
      </c>
      <c r="B698" s="1" t="s">
        <v>6561</v>
      </c>
      <c r="D698" s="1" t="s">
        <v>2194</v>
      </c>
      <c r="E698" s="1" t="s">
        <v>6562</v>
      </c>
      <c r="F698" s="1" t="s">
        <v>6444</v>
      </c>
      <c r="G698" s="1" t="s">
        <v>6445</v>
      </c>
    </row>
    <row r="699" spans="1:7">
      <c r="A699" s="1">
        <v>2005</v>
      </c>
      <c r="B699" s="1" t="s">
        <v>6563</v>
      </c>
      <c r="D699" s="1" t="s">
        <v>2194</v>
      </c>
      <c r="E699" s="1" t="s">
        <v>6564</v>
      </c>
      <c r="F699" s="1" t="s">
        <v>6448</v>
      </c>
      <c r="G699" s="1" t="s">
        <v>6449</v>
      </c>
    </row>
    <row r="700" spans="1:7">
      <c r="A700" s="1">
        <v>2006</v>
      </c>
      <c r="B700" s="1" t="s">
        <v>6565</v>
      </c>
      <c r="D700" s="1" t="s">
        <v>2194</v>
      </c>
      <c r="E700" s="1" t="s">
        <v>6566</v>
      </c>
      <c r="F700" s="1" t="s">
        <v>6452</v>
      </c>
      <c r="G700" s="1" t="s">
        <v>6453</v>
      </c>
    </row>
    <row r="701" spans="1:7">
      <c r="A701" s="1">
        <v>2007</v>
      </c>
      <c r="B701" s="1" t="s">
        <v>6567</v>
      </c>
      <c r="D701" s="1" t="s">
        <v>2194</v>
      </c>
      <c r="E701" s="1" t="s">
        <v>6568</v>
      </c>
      <c r="F701" s="1" t="s">
        <v>6456</v>
      </c>
      <c r="G701" s="1" t="s">
        <v>6457</v>
      </c>
    </row>
    <row r="702" spans="1:7">
      <c r="A702" s="1">
        <v>2009</v>
      </c>
      <c r="B702" s="1" t="s">
        <v>6569</v>
      </c>
      <c r="D702" s="1" t="s">
        <v>2194</v>
      </c>
      <c r="E702" s="1" t="s">
        <v>2195</v>
      </c>
      <c r="F702" s="1" t="s">
        <v>6459</v>
      </c>
      <c r="G702" s="1" t="s">
        <v>6460</v>
      </c>
    </row>
    <row r="703" spans="1:7">
      <c r="A703" s="1">
        <v>2010</v>
      </c>
      <c r="B703" s="1" t="s">
        <v>6570</v>
      </c>
      <c r="D703" s="1" t="s">
        <v>2194</v>
      </c>
      <c r="E703" s="1" t="s">
        <v>2209</v>
      </c>
      <c r="F703" s="1" t="s">
        <v>6462</v>
      </c>
      <c r="G703" s="1" t="s">
        <v>6463</v>
      </c>
    </row>
    <row r="704" spans="1:7">
      <c r="A704" s="1">
        <v>2011</v>
      </c>
      <c r="B704" s="1" t="s">
        <v>6571</v>
      </c>
      <c r="D704" s="1" t="s">
        <v>2194</v>
      </c>
      <c r="E704" s="1" t="s">
        <v>2211</v>
      </c>
      <c r="F704" s="1" t="s">
        <v>6465</v>
      </c>
      <c r="G704" s="1" t="s">
        <v>6466</v>
      </c>
    </row>
    <row r="705" spans="1:7">
      <c r="A705" s="1">
        <v>2012</v>
      </c>
      <c r="B705" s="1" t="s">
        <v>6572</v>
      </c>
      <c r="D705" s="1" t="s">
        <v>2225</v>
      </c>
      <c r="E705" s="1" t="s">
        <v>2248</v>
      </c>
      <c r="F705" s="1" t="s">
        <v>6419</v>
      </c>
      <c r="G705" s="1" t="s">
        <v>6420</v>
      </c>
    </row>
    <row r="706" spans="1:7">
      <c r="A706" s="1">
        <v>2013</v>
      </c>
      <c r="B706" s="1" t="s">
        <v>6573</v>
      </c>
      <c r="D706" s="1" t="s">
        <v>2225</v>
      </c>
      <c r="E706" s="1" t="s">
        <v>2250</v>
      </c>
      <c r="F706" s="1" t="s">
        <v>6422</v>
      </c>
      <c r="G706" s="1" t="s">
        <v>6423</v>
      </c>
    </row>
    <row r="707" spans="1:7">
      <c r="A707" s="1">
        <v>2014</v>
      </c>
      <c r="B707" s="1" t="s">
        <v>6574</v>
      </c>
      <c r="D707" s="1" t="s">
        <v>2225</v>
      </c>
      <c r="E707" s="1" t="s">
        <v>2252</v>
      </c>
      <c r="F707" s="1" t="s">
        <v>6425</v>
      </c>
      <c r="G707" s="1" t="s">
        <v>6420</v>
      </c>
    </row>
    <row r="708" spans="1:7">
      <c r="A708" s="1">
        <v>2015</v>
      </c>
      <c r="B708" s="1" t="s">
        <v>6575</v>
      </c>
      <c r="D708" s="1" t="s">
        <v>2225</v>
      </c>
      <c r="E708" s="1" t="s">
        <v>2254</v>
      </c>
      <c r="F708" s="1" t="s">
        <v>6427</v>
      </c>
      <c r="G708" s="1" t="s">
        <v>6423</v>
      </c>
    </row>
    <row r="709" spans="1:7">
      <c r="A709" s="1">
        <v>2016</v>
      </c>
      <c r="B709" s="1" t="s">
        <v>6576</v>
      </c>
      <c r="D709" s="1" t="s">
        <v>2225</v>
      </c>
      <c r="E709" s="1" t="s">
        <v>2246</v>
      </c>
      <c r="F709" s="1" t="s">
        <v>6429</v>
      </c>
      <c r="G709" s="1" t="s">
        <v>6430</v>
      </c>
    </row>
    <row r="710" spans="1:7">
      <c r="A710" s="1">
        <v>2017</v>
      </c>
      <c r="B710" s="1" t="s">
        <v>6577</v>
      </c>
      <c r="D710" s="1" t="s">
        <v>2225</v>
      </c>
      <c r="E710" s="1" t="s">
        <v>2244</v>
      </c>
      <c r="F710" s="1" t="s">
        <v>6432</v>
      </c>
      <c r="G710" s="1" t="s">
        <v>6433</v>
      </c>
    </row>
    <row r="711" spans="1:7">
      <c r="A711" s="1">
        <v>2020</v>
      </c>
      <c r="B711" s="1" t="s">
        <v>6578</v>
      </c>
      <c r="D711" s="1" t="s">
        <v>2225</v>
      </c>
      <c r="E711" s="1" t="s">
        <v>6579</v>
      </c>
      <c r="F711" s="1" t="s">
        <v>6436</v>
      </c>
      <c r="G711" s="1" t="s">
        <v>6437</v>
      </c>
    </row>
    <row r="712" spans="1:7">
      <c r="A712" s="1">
        <v>2021</v>
      </c>
      <c r="B712" s="1" t="s">
        <v>6580</v>
      </c>
      <c r="D712" s="1" t="s">
        <v>2225</v>
      </c>
      <c r="E712" s="1" t="s">
        <v>6581</v>
      </c>
      <c r="F712" s="1" t="s">
        <v>6440</v>
      </c>
      <c r="G712" s="1" t="s">
        <v>6441</v>
      </c>
    </row>
    <row r="713" spans="1:7">
      <c r="A713" s="1">
        <v>2022</v>
      </c>
      <c r="B713" s="1" t="s">
        <v>6582</v>
      </c>
      <c r="D713" s="1" t="s">
        <v>2225</v>
      </c>
      <c r="E713" s="1" t="s">
        <v>6583</v>
      </c>
      <c r="F713" s="1" t="s">
        <v>6444</v>
      </c>
      <c r="G713" s="1" t="s">
        <v>6445</v>
      </c>
    </row>
    <row r="714" spans="1:7">
      <c r="A714" s="1">
        <v>2023</v>
      </c>
      <c r="B714" s="1" t="s">
        <v>6584</v>
      </c>
      <c r="D714" s="1" t="s">
        <v>2225</v>
      </c>
      <c r="E714" s="1" t="s">
        <v>6585</v>
      </c>
      <c r="F714" s="1" t="s">
        <v>6448</v>
      </c>
      <c r="G714" s="1" t="s">
        <v>6449</v>
      </c>
    </row>
    <row r="715" spans="1:7">
      <c r="A715" s="1">
        <v>2024</v>
      </c>
      <c r="B715" s="1" t="s">
        <v>6586</v>
      </c>
      <c r="D715" s="1" t="s">
        <v>2225</v>
      </c>
      <c r="E715" s="1" t="s">
        <v>6587</v>
      </c>
      <c r="F715" s="1" t="s">
        <v>6452</v>
      </c>
      <c r="G715" s="1" t="s">
        <v>6453</v>
      </c>
    </row>
    <row r="716" spans="1:7">
      <c r="A716" s="1">
        <v>2025</v>
      </c>
      <c r="B716" s="1" t="s">
        <v>6588</v>
      </c>
      <c r="D716" s="1" t="s">
        <v>2225</v>
      </c>
      <c r="E716" s="1" t="s">
        <v>6589</v>
      </c>
      <c r="F716" s="1" t="s">
        <v>6456</v>
      </c>
      <c r="G716" s="1" t="s">
        <v>6457</v>
      </c>
    </row>
    <row r="717" spans="1:7">
      <c r="A717" s="1">
        <v>2027</v>
      </c>
      <c r="B717" s="1" t="s">
        <v>6590</v>
      </c>
      <c r="D717" s="1" t="s">
        <v>2225</v>
      </c>
      <c r="E717" s="1" t="s">
        <v>2226</v>
      </c>
      <c r="F717" s="1" t="s">
        <v>6459</v>
      </c>
      <c r="G717" s="1" t="s">
        <v>6460</v>
      </c>
    </row>
    <row r="718" spans="1:7">
      <c r="A718" s="1">
        <v>2028</v>
      </c>
      <c r="B718" s="1" t="s">
        <v>6591</v>
      </c>
      <c r="D718" s="1" t="s">
        <v>2225</v>
      </c>
      <c r="E718" s="1" t="s">
        <v>2240</v>
      </c>
      <c r="F718" s="1" t="s">
        <v>6462</v>
      </c>
      <c r="G718" s="1" t="s">
        <v>6463</v>
      </c>
    </row>
    <row r="719" spans="1:7">
      <c r="A719" s="1">
        <v>2029</v>
      </c>
      <c r="B719" s="1" t="s">
        <v>6592</v>
      </c>
      <c r="D719" s="1" t="s">
        <v>2225</v>
      </c>
      <c r="E719" s="1" t="s">
        <v>2242</v>
      </c>
      <c r="F719" s="1" t="s">
        <v>6465</v>
      </c>
      <c r="G719" s="1" t="s">
        <v>6466</v>
      </c>
    </row>
    <row r="720" spans="1:7">
      <c r="A720" s="1">
        <v>2030</v>
      </c>
      <c r="B720" s="1" t="s">
        <v>6593</v>
      </c>
      <c r="D720" s="1" t="s">
        <v>2256</v>
      </c>
      <c r="E720" s="1" t="s">
        <v>2279</v>
      </c>
      <c r="F720" s="1" t="s">
        <v>6419</v>
      </c>
      <c r="G720" s="1" t="s">
        <v>6420</v>
      </c>
    </row>
    <row r="721" spans="1:7">
      <c r="A721" s="1">
        <v>2031</v>
      </c>
      <c r="B721" s="1" t="s">
        <v>6594</v>
      </c>
      <c r="D721" s="1" t="s">
        <v>2256</v>
      </c>
      <c r="E721" s="1" t="s">
        <v>2281</v>
      </c>
      <c r="F721" s="1" t="s">
        <v>6422</v>
      </c>
      <c r="G721" s="1" t="s">
        <v>6423</v>
      </c>
    </row>
    <row r="722" spans="1:7">
      <c r="A722" s="1">
        <v>2032</v>
      </c>
      <c r="B722" s="1" t="s">
        <v>6595</v>
      </c>
      <c r="D722" s="1" t="s">
        <v>2256</v>
      </c>
      <c r="E722" s="1" t="s">
        <v>2283</v>
      </c>
      <c r="F722" s="1" t="s">
        <v>6425</v>
      </c>
      <c r="G722" s="1" t="s">
        <v>6420</v>
      </c>
    </row>
    <row r="723" spans="1:7">
      <c r="A723" s="1">
        <v>2033</v>
      </c>
      <c r="B723" s="1" t="s">
        <v>6596</v>
      </c>
      <c r="D723" s="1" t="s">
        <v>2256</v>
      </c>
      <c r="E723" s="1" t="s">
        <v>2285</v>
      </c>
      <c r="F723" s="1" t="s">
        <v>6427</v>
      </c>
      <c r="G723" s="1" t="s">
        <v>6423</v>
      </c>
    </row>
    <row r="724" spans="1:7">
      <c r="A724" s="1">
        <v>2034</v>
      </c>
      <c r="B724" s="1" t="s">
        <v>6597</v>
      </c>
      <c r="D724" s="1" t="s">
        <v>2256</v>
      </c>
      <c r="E724" s="1" t="s">
        <v>2277</v>
      </c>
      <c r="F724" s="1" t="s">
        <v>6429</v>
      </c>
      <c r="G724" s="1" t="s">
        <v>6430</v>
      </c>
    </row>
    <row r="725" spans="1:7">
      <c r="A725" s="1">
        <v>2035</v>
      </c>
      <c r="B725" s="1" t="s">
        <v>6598</v>
      </c>
      <c r="D725" s="1" t="s">
        <v>2256</v>
      </c>
      <c r="E725" s="1" t="s">
        <v>2275</v>
      </c>
      <c r="F725" s="1" t="s">
        <v>6432</v>
      </c>
      <c r="G725" s="1" t="s">
        <v>6433</v>
      </c>
    </row>
    <row r="726" spans="1:7">
      <c r="A726" s="1">
        <v>2038</v>
      </c>
      <c r="B726" s="1" t="s">
        <v>6599</v>
      </c>
      <c r="D726" s="1" t="s">
        <v>2256</v>
      </c>
      <c r="E726" s="1" t="s">
        <v>6600</v>
      </c>
      <c r="F726" s="1" t="s">
        <v>6436</v>
      </c>
      <c r="G726" s="1" t="s">
        <v>6437</v>
      </c>
    </row>
    <row r="727" spans="1:7">
      <c r="A727" s="1">
        <v>2039</v>
      </c>
      <c r="B727" s="1" t="s">
        <v>6601</v>
      </c>
      <c r="D727" s="1" t="s">
        <v>2256</v>
      </c>
      <c r="E727" s="1" t="s">
        <v>6602</v>
      </c>
      <c r="F727" s="1" t="s">
        <v>6440</v>
      </c>
      <c r="G727" s="1" t="s">
        <v>6441</v>
      </c>
    </row>
    <row r="728" spans="1:7">
      <c r="A728" s="1">
        <v>2040</v>
      </c>
      <c r="B728" s="1" t="s">
        <v>6603</v>
      </c>
      <c r="D728" s="1" t="s">
        <v>2256</v>
      </c>
      <c r="E728" s="1" t="s">
        <v>6604</v>
      </c>
      <c r="F728" s="1" t="s">
        <v>6444</v>
      </c>
      <c r="G728" s="1" t="s">
        <v>6445</v>
      </c>
    </row>
    <row r="729" spans="1:7">
      <c r="A729" s="1">
        <v>2041</v>
      </c>
      <c r="B729" s="1" t="s">
        <v>6605</v>
      </c>
      <c r="D729" s="1" t="s">
        <v>2256</v>
      </c>
      <c r="E729" s="1" t="s">
        <v>6606</v>
      </c>
      <c r="F729" s="1" t="s">
        <v>6448</v>
      </c>
      <c r="G729" s="1" t="s">
        <v>6449</v>
      </c>
    </row>
    <row r="730" spans="1:7">
      <c r="A730" s="1">
        <v>2042</v>
      </c>
      <c r="B730" s="1" t="s">
        <v>6607</v>
      </c>
      <c r="D730" s="1" t="s">
        <v>2256</v>
      </c>
      <c r="E730" s="1" t="s">
        <v>6608</v>
      </c>
      <c r="F730" s="1" t="s">
        <v>6452</v>
      </c>
      <c r="G730" s="1" t="s">
        <v>6453</v>
      </c>
    </row>
    <row r="731" spans="1:7">
      <c r="A731" s="1">
        <v>2043</v>
      </c>
      <c r="B731" s="1" t="s">
        <v>6609</v>
      </c>
      <c r="D731" s="1" t="s">
        <v>2256</v>
      </c>
      <c r="E731" s="1" t="s">
        <v>6610</v>
      </c>
      <c r="F731" s="1" t="s">
        <v>6456</v>
      </c>
      <c r="G731" s="1" t="s">
        <v>6457</v>
      </c>
    </row>
    <row r="732" spans="1:7">
      <c r="A732" s="1">
        <v>2045</v>
      </c>
      <c r="B732" s="1" t="s">
        <v>6611</v>
      </c>
      <c r="D732" s="1" t="s">
        <v>2256</v>
      </c>
      <c r="E732" s="1" t="s">
        <v>2257</v>
      </c>
      <c r="F732" s="1" t="s">
        <v>6459</v>
      </c>
      <c r="G732" s="1" t="s">
        <v>6460</v>
      </c>
    </row>
    <row r="733" spans="1:7">
      <c r="A733" s="1">
        <v>2046</v>
      </c>
      <c r="B733" s="1" t="s">
        <v>6612</v>
      </c>
      <c r="D733" s="1" t="s">
        <v>2256</v>
      </c>
      <c r="E733" s="1" t="s">
        <v>2271</v>
      </c>
      <c r="F733" s="1" t="s">
        <v>6462</v>
      </c>
      <c r="G733" s="1" t="s">
        <v>6463</v>
      </c>
    </row>
    <row r="734" spans="1:7">
      <c r="A734" s="1">
        <v>2047</v>
      </c>
      <c r="B734" s="1" t="s">
        <v>6613</v>
      </c>
      <c r="D734" s="1" t="s">
        <v>2256</v>
      </c>
      <c r="E734" s="1" t="s">
        <v>2273</v>
      </c>
      <c r="F734" s="1" t="s">
        <v>6465</v>
      </c>
      <c r="G734" s="1" t="s">
        <v>6466</v>
      </c>
    </row>
    <row r="735" spans="1:7">
      <c r="A735" s="1">
        <v>2048</v>
      </c>
      <c r="B735" s="1" t="s">
        <v>6614</v>
      </c>
      <c r="D735" s="1" t="s">
        <v>2287</v>
      </c>
      <c r="E735" s="1" t="s">
        <v>2310</v>
      </c>
      <c r="F735" s="1" t="s">
        <v>6419</v>
      </c>
      <c r="G735" s="1" t="s">
        <v>6420</v>
      </c>
    </row>
    <row r="736" spans="1:7">
      <c r="A736" s="1">
        <v>2049</v>
      </c>
      <c r="B736" s="1" t="s">
        <v>6615</v>
      </c>
      <c r="D736" s="1" t="s">
        <v>2287</v>
      </c>
      <c r="E736" s="1" t="s">
        <v>2312</v>
      </c>
      <c r="F736" s="1" t="s">
        <v>6422</v>
      </c>
      <c r="G736" s="1" t="s">
        <v>6423</v>
      </c>
    </row>
    <row r="737" spans="1:7">
      <c r="A737" s="1">
        <v>2050</v>
      </c>
      <c r="B737" s="1" t="s">
        <v>6616</v>
      </c>
      <c r="D737" s="1" t="s">
        <v>2287</v>
      </c>
      <c r="E737" s="1" t="s">
        <v>2314</v>
      </c>
      <c r="F737" s="1" t="s">
        <v>6425</v>
      </c>
      <c r="G737" s="1" t="s">
        <v>6420</v>
      </c>
    </row>
    <row r="738" spans="1:7">
      <c r="A738" s="1">
        <v>2051</v>
      </c>
      <c r="B738" s="1" t="s">
        <v>6617</v>
      </c>
      <c r="D738" s="1" t="s">
        <v>2287</v>
      </c>
      <c r="E738" s="1" t="s">
        <v>2316</v>
      </c>
      <c r="F738" s="1" t="s">
        <v>6427</v>
      </c>
      <c r="G738" s="1" t="s">
        <v>6423</v>
      </c>
    </row>
    <row r="739" spans="1:7">
      <c r="A739" s="1">
        <v>2052</v>
      </c>
      <c r="B739" s="1" t="s">
        <v>6618</v>
      </c>
      <c r="D739" s="1" t="s">
        <v>2287</v>
      </c>
      <c r="E739" s="1" t="s">
        <v>2308</v>
      </c>
      <c r="F739" s="1" t="s">
        <v>6429</v>
      </c>
      <c r="G739" s="1" t="s">
        <v>6430</v>
      </c>
    </row>
    <row r="740" spans="1:7">
      <c r="A740" s="1">
        <v>2053</v>
      </c>
      <c r="B740" s="1" t="s">
        <v>6619</v>
      </c>
      <c r="D740" s="1" t="s">
        <v>2287</v>
      </c>
      <c r="E740" s="1" t="s">
        <v>2306</v>
      </c>
      <c r="F740" s="1" t="s">
        <v>6432</v>
      </c>
      <c r="G740" s="1" t="s">
        <v>6433</v>
      </c>
    </row>
    <row r="741" spans="1:7">
      <c r="A741" s="1">
        <v>2056</v>
      </c>
      <c r="B741" s="1" t="s">
        <v>6620</v>
      </c>
      <c r="D741" s="1" t="s">
        <v>2287</v>
      </c>
      <c r="E741" s="1" t="s">
        <v>6621</v>
      </c>
      <c r="F741" s="1" t="s">
        <v>6436</v>
      </c>
      <c r="G741" s="1" t="s">
        <v>6437</v>
      </c>
    </row>
    <row r="742" spans="1:7">
      <c r="A742" s="1">
        <v>2057</v>
      </c>
      <c r="B742" s="1" t="s">
        <v>6622</v>
      </c>
      <c r="D742" s="1" t="s">
        <v>2287</v>
      </c>
      <c r="E742" s="1" t="s">
        <v>6623</v>
      </c>
      <c r="F742" s="1" t="s">
        <v>6440</v>
      </c>
      <c r="G742" s="1" t="s">
        <v>6441</v>
      </c>
    </row>
    <row r="743" spans="1:7">
      <c r="A743" s="1">
        <v>2058</v>
      </c>
      <c r="B743" s="1" t="s">
        <v>6624</v>
      </c>
      <c r="D743" s="1" t="s">
        <v>2287</v>
      </c>
      <c r="E743" s="1" t="s">
        <v>6625</v>
      </c>
      <c r="F743" s="1" t="s">
        <v>6444</v>
      </c>
      <c r="G743" s="1" t="s">
        <v>6445</v>
      </c>
    </row>
    <row r="744" spans="1:7">
      <c r="A744" s="1">
        <v>2059</v>
      </c>
      <c r="B744" s="1" t="s">
        <v>6626</v>
      </c>
      <c r="D744" s="1" t="s">
        <v>2287</v>
      </c>
      <c r="E744" s="1" t="s">
        <v>6627</v>
      </c>
      <c r="F744" s="1" t="s">
        <v>6448</v>
      </c>
      <c r="G744" s="1" t="s">
        <v>6449</v>
      </c>
    </row>
    <row r="745" spans="1:7">
      <c r="A745" s="1">
        <v>2060</v>
      </c>
      <c r="B745" s="1" t="s">
        <v>6628</v>
      </c>
      <c r="D745" s="1" t="s">
        <v>2287</v>
      </c>
      <c r="E745" s="1" t="s">
        <v>6629</v>
      </c>
      <c r="F745" s="1" t="s">
        <v>6452</v>
      </c>
      <c r="G745" s="1" t="s">
        <v>6453</v>
      </c>
    </row>
    <row r="746" spans="1:7">
      <c r="A746" s="1">
        <v>2061</v>
      </c>
      <c r="B746" s="1" t="s">
        <v>6630</v>
      </c>
      <c r="D746" s="1" t="s">
        <v>2287</v>
      </c>
      <c r="E746" s="1" t="s">
        <v>6631</v>
      </c>
      <c r="F746" s="1" t="s">
        <v>6456</v>
      </c>
      <c r="G746" s="1" t="s">
        <v>6457</v>
      </c>
    </row>
    <row r="747" spans="1:7">
      <c r="A747" s="1">
        <v>2063</v>
      </c>
      <c r="B747" s="1" t="s">
        <v>6632</v>
      </c>
      <c r="D747" s="1" t="s">
        <v>2287</v>
      </c>
      <c r="E747" s="1" t="s">
        <v>2288</v>
      </c>
      <c r="F747" s="1" t="s">
        <v>6459</v>
      </c>
      <c r="G747" s="1" t="s">
        <v>6460</v>
      </c>
    </row>
    <row r="748" spans="1:7">
      <c r="A748" s="1">
        <v>2064</v>
      </c>
      <c r="B748" s="1" t="s">
        <v>6633</v>
      </c>
      <c r="D748" s="1" t="s">
        <v>2287</v>
      </c>
      <c r="E748" s="1" t="s">
        <v>2302</v>
      </c>
      <c r="F748" s="1" t="s">
        <v>6462</v>
      </c>
      <c r="G748" s="1" t="s">
        <v>6463</v>
      </c>
    </row>
    <row r="749" spans="1:7">
      <c r="A749" s="1">
        <v>2065</v>
      </c>
      <c r="B749" s="1" t="s">
        <v>6634</v>
      </c>
      <c r="D749" s="1" t="s">
        <v>2287</v>
      </c>
      <c r="E749" s="1" t="s">
        <v>2304</v>
      </c>
      <c r="F749" s="1" t="s">
        <v>6465</v>
      </c>
      <c r="G749" s="1" t="s">
        <v>6466</v>
      </c>
    </row>
    <row r="750" spans="1:7">
      <c r="A750" s="1">
        <v>2066</v>
      </c>
      <c r="B750" s="1" t="s">
        <v>6635</v>
      </c>
      <c r="D750" s="1" t="s">
        <v>2318</v>
      </c>
      <c r="E750" s="1" t="s">
        <v>2341</v>
      </c>
      <c r="F750" s="1" t="s">
        <v>6419</v>
      </c>
      <c r="G750" s="1" t="s">
        <v>6420</v>
      </c>
    </row>
    <row r="751" spans="1:7">
      <c r="A751" s="1">
        <v>2067</v>
      </c>
      <c r="B751" s="1" t="s">
        <v>6636</v>
      </c>
      <c r="D751" s="1" t="s">
        <v>2318</v>
      </c>
      <c r="E751" s="1" t="s">
        <v>2343</v>
      </c>
      <c r="F751" s="1" t="s">
        <v>6422</v>
      </c>
      <c r="G751" s="1" t="s">
        <v>6423</v>
      </c>
    </row>
    <row r="752" spans="1:7">
      <c r="A752" s="1">
        <v>2068</v>
      </c>
      <c r="B752" s="1" t="s">
        <v>6637</v>
      </c>
      <c r="D752" s="1" t="s">
        <v>2318</v>
      </c>
      <c r="E752" s="1" t="s">
        <v>2345</v>
      </c>
      <c r="F752" s="1" t="s">
        <v>6425</v>
      </c>
      <c r="G752" s="1" t="s">
        <v>6420</v>
      </c>
    </row>
    <row r="753" spans="1:7">
      <c r="A753" s="1">
        <v>2069</v>
      </c>
      <c r="B753" s="1" t="s">
        <v>6638</v>
      </c>
      <c r="D753" s="1" t="s">
        <v>2318</v>
      </c>
      <c r="E753" s="1" t="s">
        <v>2347</v>
      </c>
      <c r="F753" s="1" t="s">
        <v>6427</v>
      </c>
      <c r="G753" s="1" t="s">
        <v>6423</v>
      </c>
    </row>
    <row r="754" spans="1:7">
      <c r="A754" s="1">
        <v>2070</v>
      </c>
      <c r="B754" s="1" t="s">
        <v>6639</v>
      </c>
      <c r="D754" s="1" t="s">
        <v>2318</v>
      </c>
      <c r="E754" s="1" t="s">
        <v>2339</v>
      </c>
      <c r="F754" s="1" t="s">
        <v>6429</v>
      </c>
      <c r="G754" s="1" t="s">
        <v>6430</v>
      </c>
    </row>
    <row r="755" spans="1:7">
      <c r="A755" s="1">
        <v>2071</v>
      </c>
      <c r="B755" s="1" t="s">
        <v>6640</v>
      </c>
      <c r="D755" s="1" t="s">
        <v>2318</v>
      </c>
      <c r="E755" s="1" t="s">
        <v>2337</v>
      </c>
      <c r="F755" s="1" t="s">
        <v>6432</v>
      </c>
      <c r="G755" s="1" t="s">
        <v>6433</v>
      </c>
    </row>
    <row r="756" spans="1:7">
      <c r="A756" s="1">
        <v>2074</v>
      </c>
      <c r="B756" s="1" t="s">
        <v>6641</v>
      </c>
      <c r="D756" s="1" t="s">
        <v>2318</v>
      </c>
      <c r="E756" s="1" t="s">
        <v>6642</v>
      </c>
      <c r="F756" s="1" t="s">
        <v>6436</v>
      </c>
      <c r="G756" s="1" t="s">
        <v>6437</v>
      </c>
    </row>
    <row r="757" spans="1:7">
      <c r="A757" s="1">
        <v>2075</v>
      </c>
      <c r="B757" s="1" t="s">
        <v>6643</v>
      </c>
      <c r="D757" s="1" t="s">
        <v>2318</v>
      </c>
      <c r="E757" s="1" t="s">
        <v>6644</v>
      </c>
      <c r="F757" s="1" t="s">
        <v>6440</v>
      </c>
      <c r="G757" s="1" t="s">
        <v>6441</v>
      </c>
    </row>
    <row r="758" spans="1:7">
      <c r="A758" s="1">
        <v>2076</v>
      </c>
      <c r="B758" s="1" t="s">
        <v>6645</v>
      </c>
      <c r="D758" s="1" t="s">
        <v>2318</v>
      </c>
      <c r="E758" s="1" t="s">
        <v>6646</v>
      </c>
      <c r="F758" s="1" t="s">
        <v>6444</v>
      </c>
      <c r="G758" s="1" t="s">
        <v>6445</v>
      </c>
    </row>
    <row r="759" spans="1:7">
      <c r="A759" s="1">
        <v>2077</v>
      </c>
      <c r="B759" s="1" t="s">
        <v>6647</v>
      </c>
      <c r="D759" s="1" t="s">
        <v>2318</v>
      </c>
      <c r="E759" s="1" t="s">
        <v>6648</v>
      </c>
      <c r="F759" s="1" t="s">
        <v>6448</v>
      </c>
      <c r="G759" s="1" t="s">
        <v>6449</v>
      </c>
    </row>
    <row r="760" spans="1:7">
      <c r="A760" s="1">
        <v>2078</v>
      </c>
      <c r="B760" s="1" t="s">
        <v>6649</v>
      </c>
      <c r="D760" s="1" t="s">
        <v>2318</v>
      </c>
      <c r="E760" s="1" t="s">
        <v>6650</v>
      </c>
      <c r="F760" s="1" t="s">
        <v>6452</v>
      </c>
      <c r="G760" s="1" t="s">
        <v>6453</v>
      </c>
    </row>
    <row r="761" spans="1:7">
      <c r="A761" s="1">
        <v>2079</v>
      </c>
      <c r="B761" s="1" t="s">
        <v>6651</v>
      </c>
      <c r="D761" s="1" t="s">
        <v>2318</v>
      </c>
      <c r="E761" s="1" t="s">
        <v>6652</v>
      </c>
      <c r="F761" s="1" t="s">
        <v>6456</v>
      </c>
      <c r="G761" s="1" t="s">
        <v>6457</v>
      </c>
    </row>
    <row r="762" spans="1:7">
      <c r="A762" s="1">
        <v>2081</v>
      </c>
      <c r="B762" s="1" t="s">
        <v>6653</v>
      </c>
      <c r="D762" s="1" t="s">
        <v>2318</v>
      </c>
      <c r="E762" s="1" t="s">
        <v>2319</v>
      </c>
      <c r="F762" s="1" t="s">
        <v>6459</v>
      </c>
      <c r="G762" s="1" t="s">
        <v>6460</v>
      </c>
    </row>
    <row r="763" spans="1:7">
      <c r="A763" s="1">
        <v>2082</v>
      </c>
      <c r="B763" s="1" t="s">
        <v>6654</v>
      </c>
      <c r="D763" s="1" t="s">
        <v>2318</v>
      </c>
      <c r="E763" s="1" t="s">
        <v>2333</v>
      </c>
      <c r="F763" s="1" t="s">
        <v>6462</v>
      </c>
      <c r="G763" s="1" t="s">
        <v>6463</v>
      </c>
    </row>
    <row r="764" spans="1:7">
      <c r="A764" s="1">
        <v>2083</v>
      </c>
      <c r="B764" s="1" t="s">
        <v>6655</v>
      </c>
      <c r="D764" s="1" t="s">
        <v>2318</v>
      </c>
      <c r="E764" s="1" t="s">
        <v>2335</v>
      </c>
      <c r="F764" s="1" t="s">
        <v>6465</v>
      </c>
      <c r="G764" s="1" t="s">
        <v>6466</v>
      </c>
    </row>
    <row r="765" spans="1:7">
      <c r="A765" s="1">
        <v>2084</v>
      </c>
      <c r="B765" s="1" t="s">
        <v>6656</v>
      </c>
      <c r="D765" s="1" t="s">
        <v>2349</v>
      </c>
      <c r="E765" s="1" t="s">
        <v>2372</v>
      </c>
      <c r="F765" s="1" t="s">
        <v>6419</v>
      </c>
      <c r="G765" s="1" t="s">
        <v>6420</v>
      </c>
    </row>
    <row r="766" spans="1:7">
      <c r="A766" s="1">
        <v>2085</v>
      </c>
      <c r="B766" s="1" t="s">
        <v>6657</v>
      </c>
      <c r="D766" s="1" t="s">
        <v>2349</v>
      </c>
      <c r="E766" s="1" t="s">
        <v>2374</v>
      </c>
      <c r="F766" s="1" t="s">
        <v>6422</v>
      </c>
      <c r="G766" s="1" t="s">
        <v>6423</v>
      </c>
    </row>
    <row r="767" spans="1:7">
      <c r="A767" s="1">
        <v>2086</v>
      </c>
      <c r="B767" s="1" t="s">
        <v>6658</v>
      </c>
      <c r="D767" s="1" t="s">
        <v>2349</v>
      </c>
      <c r="E767" s="1" t="s">
        <v>2376</v>
      </c>
      <c r="F767" s="1" t="s">
        <v>6425</v>
      </c>
      <c r="G767" s="1" t="s">
        <v>6420</v>
      </c>
    </row>
    <row r="768" spans="1:7">
      <c r="A768" s="1">
        <v>2087</v>
      </c>
      <c r="B768" s="1" t="s">
        <v>6659</v>
      </c>
      <c r="D768" s="1" t="s">
        <v>2349</v>
      </c>
      <c r="E768" s="1" t="s">
        <v>2378</v>
      </c>
      <c r="F768" s="1" t="s">
        <v>6427</v>
      </c>
      <c r="G768" s="1" t="s">
        <v>6423</v>
      </c>
    </row>
    <row r="769" spans="1:7">
      <c r="A769" s="1">
        <v>2088</v>
      </c>
      <c r="B769" s="1" t="s">
        <v>6660</v>
      </c>
      <c r="D769" s="1" t="s">
        <v>2349</v>
      </c>
      <c r="E769" s="1" t="s">
        <v>2370</v>
      </c>
      <c r="F769" s="1" t="s">
        <v>6429</v>
      </c>
      <c r="G769" s="1" t="s">
        <v>6430</v>
      </c>
    </row>
    <row r="770" spans="1:7">
      <c r="A770" s="1">
        <v>2089</v>
      </c>
      <c r="B770" s="1" t="s">
        <v>6661</v>
      </c>
      <c r="D770" s="1" t="s">
        <v>2349</v>
      </c>
      <c r="E770" s="1" t="s">
        <v>2368</v>
      </c>
      <c r="F770" s="1" t="s">
        <v>6432</v>
      </c>
      <c r="G770" s="1" t="s">
        <v>6433</v>
      </c>
    </row>
    <row r="771" spans="1:7">
      <c r="A771" s="1">
        <v>2092</v>
      </c>
      <c r="B771" s="1" t="s">
        <v>6662</v>
      </c>
      <c r="D771" s="1" t="s">
        <v>2349</v>
      </c>
      <c r="E771" s="1" t="s">
        <v>6663</v>
      </c>
      <c r="F771" s="1" t="s">
        <v>6436</v>
      </c>
      <c r="G771" s="1" t="s">
        <v>6437</v>
      </c>
    </row>
    <row r="772" spans="1:7">
      <c r="A772" s="1">
        <v>2093</v>
      </c>
      <c r="B772" s="1" t="s">
        <v>6664</v>
      </c>
      <c r="D772" s="1" t="s">
        <v>2349</v>
      </c>
      <c r="E772" s="1" t="s">
        <v>6665</v>
      </c>
      <c r="F772" s="1" t="s">
        <v>6440</v>
      </c>
      <c r="G772" s="1" t="s">
        <v>6441</v>
      </c>
    </row>
    <row r="773" spans="1:7">
      <c r="A773" s="1">
        <v>2094</v>
      </c>
      <c r="B773" s="1" t="s">
        <v>6666</v>
      </c>
      <c r="D773" s="1" t="s">
        <v>2349</v>
      </c>
      <c r="E773" s="1" t="s">
        <v>6667</v>
      </c>
      <c r="F773" s="1" t="s">
        <v>6444</v>
      </c>
      <c r="G773" s="1" t="s">
        <v>6445</v>
      </c>
    </row>
    <row r="774" spans="1:7">
      <c r="A774" s="1">
        <v>2095</v>
      </c>
      <c r="B774" s="1" t="s">
        <v>6668</v>
      </c>
      <c r="D774" s="1" t="s">
        <v>2349</v>
      </c>
      <c r="E774" s="1" t="s">
        <v>6669</v>
      </c>
      <c r="F774" s="1" t="s">
        <v>6448</v>
      </c>
      <c r="G774" s="1" t="s">
        <v>6449</v>
      </c>
    </row>
    <row r="775" spans="1:7">
      <c r="A775" s="1">
        <v>2096</v>
      </c>
      <c r="B775" s="1" t="s">
        <v>6670</v>
      </c>
      <c r="D775" s="1" t="s">
        <v>2349</v>
      </c>
      <c r="E775" s="1" t="s">
        <v>6671</v>
      </c>
      <c r="F775" s="1" t="s">
        <v>6452</v>
      </c>
      <c r="G775" s="1" t="s">
        <v>6453</v>
      </c>
    </row>
    <row r="776" spans="1:7">
      <c r="A776" s="1">
        <v>2097</v>
      </c>
      <c r="B776" s="1" t="s">
        <v>6672</v>
      </c>
      <c r="D776" s="1" t="s">
        <v>2349</v>
      </c>
      <c r="E776" s="1" t="s">
        <v>6673</v>
      </c>
      <c r="F776" s="1" t="s">
        <v>6456</v>
      </c>
      <c r="G776" s="1" t="s">
        <v>6457</v>
      </c>
    </row>
    <row r="777" spans="1:7">
      <c r="A777" s="1">
        <v>2099</v>
      </c>
      <c r="B777" s="1" t="s">
        <v>6674</v>
      </c>
      <c r="D777" s="1" t="s">
        <v>2349</v>
      </c>
      <c r="E777" s="1" t="s">
        <v>2350</v>
      </c>
      <c r="F777" s="1" t="s">
        <v>6459</v>
      </c>
      <c r="G777" s="1" t="s">
        <v>6460</v>
      </c>
    </row>
    <row r="778" spans="1:7">
      <c r="A778" s="1">
        <v>2100</v>
      </c>
      <c r="B778" s="1" t="s">
        <v>6675</v>
      </c>
      <c r="D778" s="1" t="s">
        <v>2349</v>
      </c>
      <c r="E778" s="1" t="s">
        <v>2364</v>
      </c>
      <c r="F778" s="1" t="s">
        <v>6462</v>
      </c>
      <c r="G778" s="1" t="s">
        <v>6463</v>
      </c>
    </row>
    <row r="779" spans="1:7">
      <c r="A779" s="1">
        <v>2101</v>
      </c>
      <c r="B779" s="1" t="s">
        <v>6676</v>
      </c>
      <c r="D779" s="1" t="s">
        <v>2349</v>
      </c>
      <c r="E779" s="1" t="s">
        <v>2366</v>
      </c>
      <c r="F779" s="1" t="s">
        <v>6465</v>
      </c>
      <c r="G779" s="1" t="s">
        <v>6466</v>
      </c>
    </row>
    <row r="780" spans="1:7">
      <c r="A780" s="1">
        <v>2102</v>
      </c>
      <c r="B780" s="1" t="s">
        <v>6677</v>
      </c>
      <c r="D780" s="1" t="s">
        <v>2380</v>
      </c>
      <c r="E780" s="1" t="s">
        <v>2403</v>
      </c>
      <c r="F780" s="1" t="s">
        <v>6419</v>
      </c>
      <c r="G780" s="1" t="s">
        <v>6420</v>
      </c>
    </row>
    <row r="781" spans="1:7">
      <c r="A781" s="1">
        <v>2103</v>
      </c>
      <c r="B781" s="1" t="s">
        <v>6678</v>
      </c>
      <c r="D781" s="1" t="s">
        <v>2380</v>
      </c>
      <c r="E781" s="1" t="s">
        <v>2405</v>
      </c>
      <c r="F781" s="1" t="s">
        <v>6422</v>
      </c>
      <c r="G781" s="1" t="s">
        <v>6423</v>
      </c>
    </row>
    <row r="782" spans="1:7">
      <c r="A782" s="1">
        <v>2104</v>
      </c>
      <c r="B782" s="1" t="s">
        <v>6679</v>
      </c>
      <c r="D782" s="1" t="s">
        <v>2380</v>
      </c>
      <c r="E782" s="1" t="s">
        <v>2407</v>
      </c>
      <c r="F782" s="1" t="s">
        <v>6425</v>
      </c>
      <c r="G782" s="1" t="s">
        <v>6420</v>
      </c>
    </row>
    <row r="783" spans="1:7">
      <c r="A783" s="1">
        <v>2105</v>
      </c>
      <c r="B783" s="1" t="s">
        <v>6680</v>
      </c>
      <c r="D783" s="1" t="s">
        <v>2380</v>
      </c>
      <c r="E783" s="1" t="s">
        <v>2409</v>
      </c>
      <c r="F783" s="1" t="s">
        <v>6427</v>
      </c>
      <c r="G783" s="1" t="s">
        <v>6423</v>
      </c>
    </row>
    <row r="784" spans="1:7">
      <c r="A784" s="1">
        <v>2106</v>
      </c>
      <c r="B784" s="1" t="s">
        <v>6681</v>
      </c>
      <c r="D784" s="1" t="s">
        <v>2380</v>
      </c>
      <c r="E784" s="1" t="s">
        <v>2401</v>
      </c>
      <c r="F784" s="1" t="s">
        <v>6429</v>
      </c>
      <c r="G784" s="1" t="s">
        <v>6430</v>
      </c>
    </row>
    <row r="785" spans="1:7">
      <c r="A785" s="1">
        <v>2107</v>
      </c>
      <c r="B785" s="1" t="s">
        <v>6682</v>
      </c>
      <c r="D785" s="1" t="s">
        <v>2380</v>
      </c>
      <c r="E785" s="1" t="s">
        <v>2399</v>
      </c>
      <c r="F785" s="1" t="s">
        <v>6432</v>
      </c>
      <c r="G785" s="1" t="s">
        <v>6433</v>
      </c>
    </row>
    <row r="786" spans="1:7">
      <c r="A786" s="1">
        <v>2110</v>
      </c>
      <c r="B786" s="1" t="s">
        <v>6683</v>
      </c>
      <c r="D786" s="1" t="s">
        <v>2380</v>
      </c>
      <c r="E786" s="1" t="s">
        <v>6684</v>
      </c>
      <c r="F786" s="1" t="s">
        <v>6436</v>
      </c>
      <c r="G786" s="1" t="s">
        <v>6437</v>
      </c>
    </row>
    <row r="787" spans="1:7">
      <c r="A787" s="1">
        <v>2111</v>
      </c>
      <c r="B787" s="1" t="s">
        <v>6685</v>
      </c>
      <c r="D787" s="1" t="s">
        <v>2380</v>
      </c>
      <c r="E787" s="1" t="s">
        <v>6686</v>
      </c>
      <c r="F787" s="1" t="s">
        <v>6440</v>
      </c>
      <c r="G787" s="1" t="s">
        <v>6441</v>
      </c>
    </row>
    <row r="788" spans="1:7">
      <c r="A788" s="1">
        <v>2112</v>
      </c>
      <c r="B788" s="1" t="s">
        <v>6687</v>
      </c>
      <c r="D788" s="1" t="s">
        <v>2380</v>
      </c>
      <c r="E788" s="1" t="s">
        <v>6688</v>
      </c>
      <c r="F788" s="1" t="s">
        <v>6444</v>
      </c>
      <c r="G788" s="1" t="s">
        <v>6445</v>
      </c>
    </row>
    <row r="789" spans="1:7">
      <c r="A789" s="1">
        <v>2113</v>
      </c>
      <c r="B789" s="1" t="s">
        <v>6689</v>
      </c>
      <c r="D789" s="1" t="s">
        <v>2380</v>
      </c>
      <c r="E789" s="1" t="s">
        <v>6690</v>
      </c>
      <c r="F789" s="1" t="s">
        <v>6448</v>
      </c>
      <c r="G789" s="1" t="s">
        <v>6449</v>
      </c>
    </row>
    <row r="790" spans="1:7">
      <c r="A790" s="1">
        <v>2114</v>
      </c>
      <c r="B790" s="1" t="s">
        <v>6691</v>
      </c>
      <c r="D790" s="1" t="s">
        <v>2380</v>
      </c>
      <c r="E790" s="1" t="s">
        <v>6692</v>
      </c>
      <c r="F790" s="1" t="s">
        <v>6452</v>
      </c>
      <c r="G790" s="1" t="s">
        <v>6453</v>
      </c>
    </row>
    <row r="791" spans="1:7">
      <c r="A791" s="1">
        <v>2115</v>
      </c>
      <c r="B791" s="1" t="s">
        <v>6693</v>
      </c>
      <c r="D791" s="1" t="s">
        <v>2380</v>
      </c>
      <c r="E791" s="1" t="s">
        <v>6694</v>
      </c>
      <c r="F791" s="1" t="s">
        <v>6456</v>
      </c>
      <c r="G791" s="1" t="s">
        <v>6457</v>
      </c>
    </row>
    <row r="792" spans="1:7">
      <c r="A792" s="1">
        <v>2117</v>
      </c>
      <c r="B792" s="1" t="s">
        <v>6695</v>
      </c>
      <c r="D792" s="1" t="s">
        <v>2380</v>
      </c>
      <c r="E792" s="1" t="s">
        <v>2381</v>
      </c>
      <c r="F792" s="1" t="s">
        <v>6459</v>
      </c>
      <c r="G792" s="1" t="s">
        <v>6460</v>
      </c>
    </row>
    <row r="793" spans="1:7">
      <c r="A793" s="1">
        <v>2118</v>
      </c>
      <c r="B793" s="1" t="s">
        <v>6696</v>
      </c>
      <c r="D793" s="1" t="s">
        <v>2380</v>
      </c>
      <c r="E793" s="1" t="s">
        <v>2395</v>
      </c>
      <c r="F793" s="1" t="s">
        <v>6462</v>
      </c>
      <c r="G793" s="1" t="s">
        <v>6463</v>
      </c>
    </row>
    <row r="794" spans="1:7">
      <c r="A794" s="1">
        <v>2119</v>
      </c>
      <c r="B794" s="1" t="s">
        <v>6697</v>
      </c>
      <c r="D794" s="1" t="s">
        <v>2380</v>
      </c>
      <c r="E794" s="1" t="s">
        <v>2397</v>
      </c>
      <c r="F794" s="1" t="s">
        <v>6465</v>
      </c>
      <c r="G794" s="1" t="s">
        <v>6466</v>
      </c>
    </row>
    <row r="795" spans="1:7">
      <c r="A795" s="1">
        <v>2120</v>
      </c>
      <c r="B795" s="1" t="s">
        <v>6698</v>
      </c>
      <c r="D795" s="1" t="s">
        <v>2411</v>
      </c>
      <c r="E795" s="1" t="s">
        <v>2434</v>
      </c>
      <c r="F795" s="1" t="s">
        <v>6419</v>
      </c>
      <c r="G795" s="1" t="s">
        <v>6420</v>
      </c>
    </row>
    <row r="796" spans="1:7">
      <c r="A796" s="1">
        <v>2121</v>
      </c>
      <c r="B796" s="1" t="s">
        <v>6699</v>
      </c>
      <c r="D796" s="1" t="s">
        <v>2411</v>
      </c>
      <c r="E796" s="1" t="s">
        <v>2436</v>
      </c>
      <c r="F796" s="1" t="s">
        <v>6422</v>
      </c>
      <c r="G796" s="1" t="s">
        <v>6423</v>
      </c>
    </row>
    <row r="797" spans="1:7">
      <c r="A797" s="1">
        <v>2122</v>
      </c>
      <c r="B797" s="1" t="s">
        <v>6700</v>
      </c>
      <c r="D797" s="1" t="s">
        <v>2411</v>
      </c>
      <c r="E797" s="1" t="s">
        <v>2438</v>
      </c>
      <c r="F797" s="1" t="s">
        <v>6425</v>
      </c>
      <c r="G797" s="1" t="s">
        <v>6420</v>
      </c>
    </row>
    <row r="798" spans="1:7">
      <c r="A798" s="1">
        <v>2123</v>
      </c>
      <c r="B798" s="1" t="s">
        <v>6701</v>
      </c>
      <c r="D798" s="1" t="s">
        <v>2411</v>
      </c>
      <c r="E798" s="1" t="s">
        <v>2440</v>
      </c>
      <c r="F798" s="1" t="s">
        <v>6427</v>
      </c>
      <c r="G798" s="1" t="s">
        <v>6423</v>
      </c>
    </row>
    <row r="799" spans="1:7">
      <c r="A799" s="1">
        <v>2124</v>
      </c>
      <c r="B799" s="1" t="s">
        <v>6702</v>
      </c>
      <c r="D799" s="1" t="s">
        <v>2411</v>
      </c>
      <c r="E799" s="1" t="s">
        <v>2432</v>
      </c>
      <c r="F799" s="1" t="s">
        <v>6429</v>
      </c>
      <c r="G799" s="1" t="s">
        <v>6430</v>
      </c>
    </row>
    <row r="800" spans="1:7">
      <c r="A800" s="1">
        <v>2125</v>
      </c>
      <c r="B800" s="1" t="s">
        <v>6703</v>
      </c>
      <c r="D800" s="1" t="s">
        <v>2411</v>
      </c>
      <c r="E800" s="1" t="s">
        <v>2430</v>
      </c>
      <c r="F800" s="1" t="s">
        <v>6432</v>
      </c>
      <c r="G800" s="1" t="s">
        <v>6433</v>
      </c>
    </row>
    <row r="801" spans="1:7">
      <c r="A801" s="1">
        <v>2128</v>
      </c>
      <c r="B801" s="1" t="s">
        <v>6704</v>
      </c>
      <c r="D801" s="1" t="s">
        <v>2411</v>
      </c>
      <c r="E801" s="1" t="s">
        <v>6705</v>
      </c>
      <c r="F801" s="1" t="s">
        <v>6436</v>
      </c>
      <c r="G801" s="1" t="s">
        <v>6437</v>
      </c>
    </row>
    <row r="802" spans="1:7">
      <c r="A802" s="1">
        <v>2129</v>
      </c>
      <c r="B802" s="1" t="s">
        <v>6706</v>
      </c>
      <c r="D802" s="1" t="s">
        <v>2411</v>
      </c>
      <c r="E802" s="1" t="s">
        <v>6707</v>
      </c>
      <c r="F802" s="1" t="s">
        <v>6440</v>
      </c>
      <c r="G802" s="1" t="s">
        <v>6441</v>
      </c>
    </row>
    <row r="803" spans="1:7">
      <c r="A803" s="1">
        <v>2130</v>
      </c>
      <c r="B803" s="1" t="s">
        <v>6708</v>
      </c>
      <c r="D803" s="1" t="s">
        <v>2411</v>
      </c>
      <c r="E803" s="1" t="s">
        <v>6709</v>
      </c>
      <c r="F803" s="1" t="s">
        <v>6444</v>
      </c>
      <c r="G803" s="1" t="s">
        <v>6445</v>
      </c>
    </row>
    <row r="804" spans="1:7">
      <c r="A804" s="1">
        <v>2131</v>
      </c>
      <c r="B804" s="1" t="s">
        <v>6710</v>
      </c>
      <c r="D804" s="1" t="s">
        <v>2411</v>
      </c>
      <c r="E804" s="1" t="s">
        <v>6711</v>
      </c>
      <c r="F804" s="1" t="s">
        <v>6448</v>
      </c>
      <c r="G804" s="1" t="s">
        <v>6449</v>
      </c>
    </row>
    <row r="805" spans="1:7">
      <c r="A805" s="1">
        <v>2132</v>
      </c>
      <c r="B805" s="1" t="s">
        <v>6712</v>
      </c>
      <c r="D805" s="1" t="s">
        <v>2411</v>
      </c>
      <c r="E805" s="1" t="s">
        <v>6713</v>
      </c>
      <c r="F805" s="1" t="s">
        <v>6452</v>
      </c>
      <c r="G805" s="1" t="s">
        <v>6453</v>
      </c>
    </row>
    <row r="806" spans="1:7">
      <c r="A806" s="1">
        <v>2133</v>
      </c>
      <c r="B806" s="1" t="s">
        <v>6714</v>
      </c>
      <c r="D806" s="1" t="s">
        <v>2411</v>
      </c>
      <c r="E806" s="1" t="s">
        <v>6715</v>
      </c>
      <c r="F806" s="1" t="s">
        <v>6456</v>
      </c>
      <c r="G806" s="1" t="s">
        <v>6457</v>
      </c>
    </row>
    <row r="807" spans="1:7">
      <c r="A807" s="1">
        <v>2135</v>
      </c>
      <c r="B807" s="1" t="s">
        <v>6716</v>
      </c>
      <c r="D807" s="1" t="s">
        <v>2411</v>
      </c>
      <c r="E807" s="1" t="s">
        <v>2412</v>
      </c>
      <c r="F807" s="1" t="s">
        <v>6459</v>
      </c>
      <c r="G807" s="1" t="s">
        <v>6460</v>
      </c>
    </row>
    <row r="808" spans="1:7">
      <c r="A808" s="1">
        <v>2136</v>
      </c>
      <c r="B808" s="1" t="s">
        <v>6717</v>
      </c>
      <c r="D808" s="1" t="s">
        <v>2411</v>
      </c>
      <c r="E808" s="1" t="s">
        <v>2426</v>
      </c>
      <c r="F808" s="1" t="s">
        <v>6462</v>
      </c>
      <c r="G808" s="1" t="s">
        <v>6463</v>
      </c>
    </row>
    <row r="809" spans="1:7">
      <c r="A809" s="1">
        <v>2137</v>
      </c>
      <c r="B809" s="1" t="s">
        <v>6718</v>
      </c>
      <c r="D809" s="1" t="s">
        <v>2411</v>
      </c>
      <c r="E809" s="1" t="s">
        <v>2428</v>
      </c>
      <c r="F809" s="1" t="s">
        <v>6465</v>
      </c>
      <c r="G809" s="1" t="s">
        <v>6466</v>
      </c>
    </row>
    <row r="810" spans="1:7">
      <c r="A810" s="1">
        <v>2138</v>
      </c>
      <c r="B810" s="1" t="s">
        <v>6719</v>
      </c>
      <c r="D810" s="1" t="s">
        <v>2442</v>
      </c>
      <c r="E810" s="1" t="s">
        <v>2465</v>
      </c>
      <c r="F810" s="1" t="s">
        <v>6419</v>
      </c>
      <c r="G810" s="1" t="s">
        <v>6420</v>
      </c>
    </row>
    <row r="811" spans="1:7">
      <c r="A811" s="1">
        <v>2139</v>
      </c>
      <c r="B811" s="1" t="s">
        <v>6720</v>
      </c>
      <c r="D811" s="1" t="s">
        <v>2442</v>
      </c>
      <c r="E811" s="1" t="s">
        <v>2467</v>
      </c>
      <c r="F811" s="1" t="s">
        <v>6422</v>
      </c>
      <c r="G811" s="1" t="s">
        <v>6423</v>
      </c>
    </row>
    <row r="812" spans="1:7">
      <c r="A812" s="1">
        <v>2140</v>
      </c>
      <c r="B812" s="1" t="s">
        <v>6721</v>
      </c>
      <c r="D812" s="1" t="s">
        <v>2442</v>
      </c>
      <c r="E812" s="1" t="s">
        <v>2469</v>
      </c>
      <c r="F812" s="1" t="s">
        <v>6425</v>
      </c>
      <c r="G812" s="1" t="s">
        <v>6420</v>
      </c>
    </row>
    <row r="813" spans="1:7">
      <c r="A813" s="1">
        <v>2141</v>
      </c>
      <c r="B813" s="1" t="s">
        <v>6722</v>
      </c>
      <c r="D813" s="1" t="s">
        <v>2442</v>
      </c>
      <c r="E813" s="1" t="s">
        <v>2471</v>
      </c>
      <c r="F813" s="1" t="s">
        <v>6427</v>
      </c>
      <c r="G813" s="1" t="s">
        <v>6423</v>
      </c>
    </row>
    <row r="814" spans="1:7">
      <c r="A814" s="1">
        <v>2142</v>
      </c>
      <c r="B814" s="1" t="s">
        <v>6723</v>
      </c>
      <c r="D814" s="1" t="s">
        <v>2442</v>
      </c>
      <c r="E814" s="1" t="s">
        <v>2463</v>
      </c>
      <c r="F814" s="1" t="s">
        <v>6429</v>
      </c>
      <c r="G814" s="1" t="s">
        <v>6430</v>
      </c>
    </row>
    <row r="815" spans="1:7">
      <c r="A815" s="1">
        <v>2143</v>
      </c>
      <c r="B815" s="1" t="s">
        <v>6724</v>
      </c>
      <c r="D815" s="1" t="s">
        <v>2442</v>
      </c>
      <c r="E815" s="1" t="s">
        <v>2461</v>
      </c>
      <c r="F815" s="1" t="s">
        <v>6432</v>
      </c>
      <c r="G815" s="1" t="s">
        <v>6433</v>
      </c>
    </row>
    <row r="816" spans="1:7">
      <c r="A816" s="1">
        <v>2146</v>
      </c>
      <c r="B816" s="1" t="s">
        <v>6725</v>
      </c>
      <c r="D816" s="1" t="s">
        <v>2442</v>
      </c>
      <c r="E816" s="1" t="s">
        <v>6726</v>
      </c>
      <c r="F816" s="1" t="s">
        <v>6436</v>
      </c>
      <c r="G816" s="1" t="s">
        <v>6437</v>
      </c>
    </row>
    <row r="817" spans="1:7">
      <c r="A817" s="1">
        <v>2147</v>
      </c>
      <c r="B817" s="1" t="s">
        <v>6727</v>
      </c>
      <c r="D817" s="1" t="s">
        <v>2442</v>
      </c>
      <c r="E817" s="1" t="s">
        <v>6728</v>
      </c>
      <c r="F817" s="1" t="s">
        <v>6440</v>
      </c>
      <c r="G817" s="1" t="s">
        <v>6441</v>
      </c>
    </row>
    <row r="818" spans="1:7">
      <c r="A818" s="1">
        <v>2148</v>
      </c>
      <c r="B818" s="1" t="s">
        <v>6729</v>
      </c>
      <c r="D818" s="1" t="s">
        <v>2442</v>
      </c>
      <c r="E818" s="1" t="s">
        <v>6730</v>
      </c>
      <c r="F818" s="1" t="s">
        <v>6444</v>
      </c>
      <c r="G818" s="1" t="s">
        <v>6445</v>
      </c>
    </row>
    <row r="819" spans="1:7">
      <c r="A819" s="1">
        <v>2149</v>
      </c>
      <c r="B819" s="1" t="s">
        <v>6731</v>
      </c>
      <c r="D819" s="1" t="s">
        <v>2442</v>
      </c>
      <c r="E819" s="1" t="s">
        <v>6732</v>
      </c>
      <c r="F819" s="1" t="s">
        <v>6448</v>
      </c>
      <c r="G819" s="1" t="s">
        <v>6449</v>
      </c>
    </row>
    <row r="820" spans="1:7">
      <c r="A820" s="1">
        <v>2150</v>
      </c>
      <c r="B820" s="1" t="s">
        <v>6733</v>
      </c>
      <c r="D820" s="1" t="s">
        <v>2442</v>
      </c>
      <c r="E820" s="1" t="s">
        <v>6734</v>
      </c>
      <c r="F820" s="1" t="s">
        <v>6452</v>
      </c>
      <c r="G820" s="1" t="s">
        <v>6453</v>
      </c>
    </row>
    <row r="821" spans="1:7">
      <c r="A821" s="1">
        <v>2151</v>
      </c>
      <c r="B821" s="1" t="s">
        <v>6735</v>
      </c>
      <c r="D821" s="1" t="s">
        <v>2442</v>
      </c>
      <c r="E821" s="1" t="s">
        <v>6736</v>
      </c>
      <c r="F821" s="1" t="s">
        <v>6456</v>
      </c>
      <c r="G821" s="1" t="s">
        <v>6457</v>
      </c>
    </row>
    <row r="822" spans="1:7">
      <c r="A822" s="1">
        <v>2153</v>
      </c>
      <c r="B822" s="1" t="s">
        <v>6737</v>
      </c>
      <c r="D822" s="1" t="s">
        <v>2442</v>
      </c>
      <c r="E822" s="1" t="s">
        <v>2443</v>
      </c>
      <c r="F822" s="1" t="s">
        <v>6459</v>
      </c>
      <c r="G822" s="1" t="s">
        <v>6460</v>
      </c>
    </row>
    <row r="823" spans="1:7">
      <c r="A823" s="1">
        <v>2154</v>
      </c>
      <c r="B823" s="1" t="s">
        <v>6738</v>
      </c>
      <c r="D823" s="1" t="s">
        <v>2442</v>
      </c>
      <c r="E823" s="1" t="s">
        <v>2457</v>
      </c>
      <c r="F823" s="1" t="s">
        <v>6462</v>
      </c>
      <c r="G823" s="1" t="s">
        <v>6463</v>
      </c>
    </row>
    <row r="824" spans="1:7">
      <c r="A824" s="1">
        <v>2155</v>
      </c>
      <c r="B824" s="1" t="s">
        <v>6739</v>
      </c>
      <c r="D824" s="1" t="s">
        <v>2442</v>
      </c>
      <c r="E824" s="1" t="s">
        <v>2459</v>
      </c>
      <c r="F824" s="1" t="s">
        <v>6465</v>
      </c>
      <c r="G824" s="1" t="s">
        <v>6466</v>
      </c>
    </row>
    <row r="825" spans="1:7">
      <c r="A825" s="1">
        <v>2156</v>
      </c>
      <c r="B825" s="1" t="s">
        <v>6740</v>
      </c>
      <c r="D825" s="1" t="s">
        <v>2473</v>
      </c>
      <c r="E825" s="1" t="s">
        <v>2496</v>
      </c>
      <c r="F825" s="1" t="s">
        <v>6419</v>
      </c>
      <c r="G825" s="1" t="s">
        <v>6420</v>
      </c>
    </row>
    <row r="826" spans="1:7">
      <c r="A826" s="1">
        <v>2157</v>
      </c>
      <c r="B826" s="1" t="s">
        <v>6741</v>
      </c>
      <c r="D826" s="1" t="s">
        <v>2473</v>
      </c>
      <c r="E826" s="1" t="s">
        <v>2498</v>
      </c>
      <c r="F826" s="1" t="s">
        <v>6422</v>
      </c>
      <c r="G826" s="1" t="s">
        <v>6423</v>
      </c>
    </row>
    <row r="827" spans="1:7">
      <c r="A827" s="1">
        <v>2158</v>
      </c>
      <c r="B827" s="1" t="s">
        <v>6742</v>
      </c>
      <c r="D827" s="1" t="s">
        <v>2473</v>
      </c>
      <c r="E827" s="1" t="s">
        <v>2500</v>
      </c>
      <c r="F827" s="1" t="s">
        <v>6425</v>
      </c>
      <c r="G827" s="1" t="s">
        <v>6420</v>
      </c>
    </row>
    <row r="828" spans="1:7">
      <c r="A828" s="1">
        <v>2159</v>
      </c>
      <c r="B828" s="1" t="s">
        <v>6743</v>
      </c>
      <c r="D828" s="1" t="s">
        <v>2473</v>
      </c>
      <c r="E828" s="1" t="s">
        <v>2502</v>
      </c>
      <c r="F828" s="1" t="s">
        <v>6427</v>
      </c>
      <c r="G828" s="1" t="s">
        <v>6423</v>
      </c>
    </row>
    <row r="829" spans="1:7">
      <c r="A829" s="1">
        <v>2160</v>
      </c>
      <c r="B829" s="1" t="s">
        <v>6744</v>
      </c>
      <c r="D829" s="1" t="s">
        <v>2473</v>
      </c>
      <c r="E829" s="1" t="s">
        <v>2494</v>
      </c>
      <c r="F829" s="1" t="s">
        <v>6429</v>
      </c>
      <c r="G829" s="1" t="s">
        <v>6430</v>
      </c>
    </row>
    <row r="830" spans="1:7">
      <c r="A830" s="1">
        <v>2161</v>
      </c>
      <c r="B830" s="1" t="s">
        <v>6745</v>
      </c>
      <c r="D830" s="1" t="s">
        <v>2473</v>
      </c>
      <c r="E830" s="1" t="s">
        <v>2492</v>
      </c>
      <c r="F830" s="1" t="s">
        <v>6432</v>
      </c>
      <c r="G830" s="1" t="s">
        <v>6433</v>
      </c>
    </row>
    <row r="831" spans="1:7">
      <c r="A831" s="1">
        <v>2164</v>
      </c>
      <c r="B831" s="1" t="s">
        <v>6746</v>
      </c>
      <c r="D831" s="1" t="s">
        <v>2473</v>
      </c>
      <c r="E831" s="1" t="s">
        <v>6747</v>
      </c>
      <c r="F831" s="1" t="s">
        <v>6436</v>
      </c>
      <c r="G831" s="1" t="s">
        <v>6437</v>
      </c>
    </row>
    <row r="832" spans="1:7">
      <c r="A832" s="1">
        <v>2165</v>
      </c>
      <c r="B832" s="1" t="s">
        <v>6748</v>
      </c>
      <c r="D832" s="1" t="s">
        <v>2473</v>
      </c>
      <c r="E832" s="1" t="s">
        <v>6749</v>
      </c>
      <c r="F832" s="1" t="s">
        <v>6440</v>
      </c>
      <c r="G832" s="1" t="s">
        <v>6441</v>
      </c>
    </row>
    <row r="833" spans="1:7">
      <c r="A833" s="1">
        <v>2166</v>
      </c>
      <c r="B833" s="1" t="s">
        <v>6750</v>
      </c>
      <c r="D833" s="1" t="s">
        <v>2473</v>
      </c>
      <c r="E833" s="1" t="s">
        <v>6751</v>
      </c>
      <c r="F833" s="1" t="s">
        <v>6444</v>
      </c>
      <c r="G833" s="1" t="s">
        <v>6445</v>
      </c>
    </row>
    <row r="834" spans="1:7">
      <c r="A834" s="1">
        <v>2167</v>
      </c>
      <c r="B834" s="1" t="s">
        <v>6752</v>
      </c>
      <c r="D834" s="1" t="s">
        <v>2473</v>
      </c>
      <c r="E834" s="1" t="s">
        <v>6753</v>
      </c>
      <c r="F834" s="1" t="s">
        <v>6448</v>
      </c>
      <c r="G834" s="1" t="s">
        <v>6449</v>
      </c>
    </row>
    <row r="835" spans="1:7">
      <c r="A835" s="1">
        <v>2168</v>
      </c>
      <c r="B835" s="1" t="s">
        <v>6754</v>
      </c>
      <c r="D835" s="1" t="s">
        <v>2473</v>
      </c>
      <c r="E835" s="1" t="s">
        <v>6755</v>
      </c>
      <c r="F835" s="1" t="s">
        <v>6452</v>
      </c>
      <c r="G835" s="1" t="s">
        <v>6453</v>
      </c>
    </row>
    <row r="836" spans="1:7">
      <c r="A836" s="1">
        <v>2169</v>
      </c>
      <c r="B836" s="1" t="s">
        <v>6756</v>
      </c>
      <c r="D836" s="1" t="s">
        <v>2473</v>
      </c>
      <c r="E836" s="1" t="s">
        <v>6757</v>
      </c>
      <c r="F836" s="1" t="s">
        <v>6456</v>
      </c>
      <c r="G836" s="1" t="s">
        <v>6457</v>
      </c>
    </row>
    <row r="837" spans="1:7">
      <c r="A837" s="1">
        <v>2171</v>
      </c>
      <c r="B837" s="1" t="s">
        <v>6758</v>
      </c>
      <c r="D837" s="1" t="s">
        <v>2473</v>
      </c>
      <c r="E837" s="1" t="s">
        <v>2474</v>
      </c>
      <c r="F837" s="1" t="s">
        <v>6459</v>
      </c>
      <c r="G837" s="1" t="s">
        <v>6460</v>
      </c>
    </row>
    <row r="838" spans="1:7">
      <c r="A838" s="1">
        <v>2172</v>
      </c>
      <c r="B838" s="1" t="s">
        <v>6759</v>
      </c>
      <c r="D838" s="1" t="s">
        <v>2473</v>
      </c>
      <c r="E838" s="1" t="s">
        <v>2488</v>
      </c>
      <c r="F838" s="1" t="s">
        <v>6462</v>
      </c>
      <c r="G838" s="1" t="s">
        <v>6463</v>
      </c>
    </row>
    <row r="839" spans="1:7">
      <c r="A839" s="1">
        <v>2173</v>
      </c>
      <c r="B839" s="1" t="s">
        <v>6760</v>
      </c>
      <c r="D839" s="1" t="s">
        <v>2473</v>
      </c>
      <c r="E839" s="1" t="s">
        <v>2490</v>
      </c>
      <c r="F839" s="1" t="s">
        <v>6465</v>
      </c>
      <c r="G839" s="1" t="s">
        <v>6466</v>
      </c>
    </row>
    <row r="840" spans="1:7">
      <c r="A840" s="1">
        <v>2174</v>
      </c>
      <c r="B840" s="1" t="s">
        <v>6761</v>
      </c>
      <c r="D840" s="1" t="s">
        <v>2504</v>
      </c>
      <c r="E840" s="1" t="s">
        <v>2527</v>
      </c>
      <c r="F840" s="1" t="s">
        <v>6419</v>
      </c>
      <c r="G840" s="1" t="s">
        <v>6420</v>
      </c>
    </row>
    <row r="841" spans="1:7">
      <c r="A841" s="1">
        <v>2175</v>
      </c>
      <c r="B841" s="1" t="s">
        <v>6762</v>
      </c>
      <c r="D841" s="1" t="s">
        <v>2504</v>
      </c>
      <c r="E841" s="1" t="s">
        <v>2529</v>
      </c>
      <c r="F841" s="1" t="s">
        <v>6422</v>
      </c>
      <c r="G841" s="1" t="s">
        <v>6423</v>
      </c>
    </row>
    <row r="842" spans="1:7">
      <c r="A842" s="1">
        <v>2176</v>
      </c>
      <c r="B842" s="1" t="s">
        <v>6763</v>
      </c>
      <c r="D842" s="1" t="s">
        <v>2504</v>
      </c>
      <c r="E842" s="1" t="s">
        <v>2531</v>
      </c>
      <c r="F842" s="1" t="s">
        <v>6425</v>
      </c>
      <c r="G842" s="1" t="s">
        <v>6420</v>
      </c>
    </row>
    <row r="843" spans="1:7">
      <c r="A843" s="1">
        <v>2177</v>
      </c>
      <c r="B843" s="1" t="s">
        <v>6764</v>
      </c>
      <c r="D843" s="1" t="s">
        <v>2504</v>
      </c>
      <c r="E843" s="1" t="s">
        <v>2533</v>
      </c>
      <c r="F843" s="1" t="s">
        <v>6427</v>
      </c>
      <c r="G843" s="1" t="s">
        <v>6423</v>
      </c>
    </row>
    <row r="844" spans="1:7">
      <c r="A844" s="1">
        <v>2178</v>
      </c>
      <c r="B844" s="1" t="s">
        <v>6765</v>
      </c>
      <c r="D844" s="1" t="s">
        <v>2504</v>
      </c>
      <c r="E844" s="1" t="s">
        <v>2525</v>
      </c>
      <c r="F844" s="1" t="s">
        <v>6429</v>
      </c>
      <c r="G844" s="1" t="s">
        <v>6430</v>
      </c>
    </row>
    <row r="845" spans="1:7">
      <c r="A845" s="1">
        <v>2179</v>
      </c>
      <c r="B845" s="1" t="s">
        <v>6766</v>
      </c>
      <c r="D845" s="1" t="s">
        <v>2504</v>
      </c>
      <c r="E845" s="1" t="s">
        <v>2523</v>
      </c>
      <c r="F845" s="1" t="s">
        <v>6432</v>
      </c>
      <c r="G845" s="1" t="s">
        <v>6433</v>
      </c>
    </row>
    <row r="846" spans="1:7">
      <c r="A846" s="1">
        <v>2182</v>
      </c>
      <c r="B846" s="1" t="s">
        <v>6767</v>
      </c>
      <c r="D846" s="1" t="s">
        <v>2504</v>
      </c>
      <c r="E846" s="1" t="s">
        <v>6768</v>
      </c>
      <c r="F846" s="1" t="s">
        <v>6436</v>
      </c>
      <c r="G846" s="1" t="s">
        <v>6437</v>
      </c>
    </row>
    <row r="847" spans="1:7">
      <c r="A847" s="1">
        <v>2183</v>
      </c>
      <c r="B847" s="1" t="s">
        <v>6769</v>
      </c>
      <c r="D847" s="1" t="s">
        <v>2504</v>
      </c>
      <c r="E847" s="1" t="s">
        <v>6770</v>
      </c>
      <c r="F847" s="1" t="s">
        <v>6440</v>
      </c>
      <c r="G847" s="1" t="s">
        <v>6441</v>
      </c>
    </row>
    <row r="848" spans="1:7">
      <c r="A848" s="1">
        <v>2184</v>
      </c>
      <c r="B848" s="1" t="s">
        <v>6771</v>
      </c>
      <c r="D848" s="1" t="s">
        <v>2504</v>
      </c>
      <c r="E848" s="1" t="s">
        <v>6772</v>
      </c>
      <c r="F848" s="1" t="s">
        <v>6444</v>
      </c>
      <c r="G848" s="1" t="s">
        <v>6445</v>
      </c>
    </row>
    <row r="849" spans="1:7">
      <c r="A849" s="1">
        <v>2185</v>
      </c>
      <c r="B849" s="1" t="s">
        <v>6773</v>
      </c>
      <c r="D849" s="1" t="s">
        <v>2504</v>
      </c>
      <c r="E849" s="1" t="s">
        <v>6774</v>
      </c>
      <c r="F849" s="1" t="s">
        <v>6448</v>
      </c>
      <c r="G849" s="1" t="s">
        <v>6449</v>
      </c>
    </row>
    <row r="850" spans="1:7">
      <c r="A850" s="1">
        <v>2186</v>
      </c>
      <c r="B850" s="1" t="s">
        <v>6775</v>
      </c>
      <c r="D850" s="1" t="s">
        <v>2504</v>
      </c>
      <c r="E850" s="1" t="s">
        <v>6776</v>
      </c>
      <c r="F850" s="1" t="s">
        <v>6452</v>
      </c>
      <c r="G850" s="1" t="s">
        <v>6453</v>
      </c>
    </row>
    <row r="851" spans="1:7">
      <c r="A851" s="1">
        <v>2187</v>
      </c>
      <c r="B851" s="1" t="s">
        <v>6777</v>
      </c>
      <c r="D851" s="1" t="s">
        <v>2504</v>
      </c>
      <c r="E851" s="1" t="s">
        <v>6778</v>
      </c>
      <c r="F851" s="1" t="s">
        <v>6456</v>
      </c>
      <c r="G851" s="1" t="s">
        <v>6457</v>
      </c>
    </row>
    <row r="852" spans="1:7">
      <c r="A852" s="1">
        <v>2189</v>
      </c>
      <c r="B852" s="1" t="s">
        <v>6779</v>
      </c>
      <c r="D852" s="1" t="s">
        <v>2504</v>
      </c>
      <c r="E852" s="1" t="s">
        <v>2505</v>
      </c>
      <c r="F852" s="1" t="s">
        <v>6459</v>
      </c>
      <c r="G852" s="1" t="s">
        <v>6460</v>
      </c>
    </row>
    <row r="853" spans="1:7">
      <c r="A853" s="1">
        <v>2190</v>
      </c>
      <c r="B853" s="1" t="s">
        <v>6780</v>
      </c>
      <c r="D853" s="1" t="s">
        <v>2504</v>
      </c>
      <c r="E853" s="1" t="s">
        <v>2519</v>
      </c>
      <c r="F853" s="1" t="s">
        <v>6462</v>
      </c>
      <c r="G853" s="1" t="s">
        <v>6463</v>
      </c>
    </row>
    <row r="854" spans="1:7">
      <c r="A854" s="1">
        <v>2191</v>
      </c>
      <c r="B854" s="1" t="s">
        <v>6781</v>
      </c>
      <c r="D854" s="1" t="s">
        <v>2504</v>
      </c>
      <c r="E854" s="1" t="s">
        <v>2521</v>
      </c>
      <c r="F854" s="1" t="s">
        <v>6465</v>
      </c>
      <c r="G854" s="1" t="s">
        <v>6466</v>
      </c>
    </row>
    <row r="855" spans="1:7">
      <c r="A855" s="1">
        <v>2192</v>
      </c>
      <c r="B855" s="1" t="s">
        <v>6782</v>
      </c>
      <c r="D855" s="1" t="s">
        <v>2535</v>
      </c>
      <c r="E855" s="1" t="s">
        <v>2558</v>
      </c>
      <c r="F855" s="1" t="s">
        <v>6419</v>
      </c>
      <c r="G855" s="1" t="s">
        <v>6420</v>
      </c>
    </row>
    <row r="856" spans="1:7">
      <c r="A856" s="1">
        <v>2193</v>
      </c>
      <c r="B856" s="1" t="s">
        <v>6783</v>
      </c>
      <c r="D856" s="1" t="s">
        <v>2535</v>
      </c>
      <c r="E856" s="1" t="s">
        <v>2560</v>
      </c>
      <c r="F856" s="1" t="s">
        <v>6422</v>
      </c>
      <c r="G856" s="1" t="s">
        <v>6423</v>
      </c>
    </row>
    <row r="857" spans="1:7">
      <c r="A857" s="1">
        <v>2194</v>
      </c>
      <c r="B857" s="1" t="s">
        <v>6784</v>
      </c>
      <c r="D857" s="1" t="s">
        <v>2535</v>
      </c>
      <c r="E857" s="1" t="s">
        <v>2562</v>
      </c>
      <c r="F857" s="1" t="s">
        <v>6425</v>
      </c>
      <c r="G857" s="1" t="s">
        <v>6420</v>
      </c>
    </row>
    <row r="858" spans="1:7">
      <c r="A858" s="1">
        <v>2195</v>
      </c>
      <c r="B858" s="1" t="s">
        <v>6785</v>
      </c>
      <c r="D858" s="1" t="s">
        <v>2535</v>
      </c>
      <c r="E858" s="1" t="s">
        <v>2564</v>
      </c>
      <c r="F858" s="1" t="s">
        <v>6427</v>
      </c>
      <c r="G858" s="1" t="s">
        <v>6423</v>
      </c>
    </row>
    <row r="859" spans="1:7">
      <c r="A859" s="1">
        <v>2196</v>
      </c>
      <c r="B859" s="1" t="s">
        <v>6786</v>
      </c>
      <c r="D859" s="1" t="s">
        <v>2535</v>
      </c>
      <c r="E859" s="1" t="s">
        <v>2556</v>
      </c>
      <c r="F859" s="1" t="s">
        <v>6429</v>
      </c>
      <c r="G859" s="1" t="s">
        <v>6430</v>
      </c>
    </row>
    <row r="860" spans="1:7">
      <c r="A860" s="1">
        <v>2197</v>
      </c>
      <c r="B860" s="1" t="s">
        <v>6787</v>
      </c>
      <c r="D860" s="1" t="s">
        <v>2535</v>
      </c>
      <c r="E860" s="1" t="s">
        <v>2554</v>
      </c>
      <c r="F860" s="1" t="s">
        <v>6432</v>
      </c>
      <c r="G860" s="1" t="s">
        <v>6433</v>
      </c>
    </row>
    <row r="861" spans="1:7">
      <c r="A861" s="1">
        <v>2200</v>
      </c>
      <c r="B861" s="1" t="s">
        <v>6788</v>
      </c>
      <c r="D861" s="1" t="s">
        <v>2535</v>
      </c>
      <c r="E861" s="1" t="s">
        <v>6789</v>
      </c>
      <c r="F861" s="1" t="s">
        <v>6436</v>
      </c>
      <c r="G861" s="1" t="s">
        <v>6437</v>
      </c>
    </row>
    <row r="862" spans="1:7">
      <c r="A862" s="1">
        <v>2201</v>
      </c>
      <c r="B862" s="1" t="s">
        <v>6790</v>
      </c>
      <c r="D862" s="1" t="s">
        <v>2535</v>
      </c>
      <c r="E862" s="1" t="s">
        <v>6791</v>
      </c>
      <c r="F862" s="1" t="s">
        <v>6440</v>
      </c>
      <c r="G862" s="1" t="s">
        <v>6441</v>
      </c>
    </row>
    <row r="863" spans="1:7">
      <c r="A863" s="1">
        <v>2202</v>
      </c>
      <c r="B863" s="1" t="s">
        <v>6792</v>
      </c>
      <c r="D863" s="1" t="s">
        <v>2535</v>
      </c>
      <c r="E863" s="1" t="s">
        <v>6793</v>
      </c>
      <c r="F863" s="1" t="s">
        <v>6444</v>
      </c>
      <c r="G863" s="1" t="s">
        <v>6445</v>
      </c>
    </row>
    <row r="864" spans="1:7">
      <c r="A864" s="1">
        <v>2203</v>
      </c>
      <c r="B864" s="1" t="s">
        <v>6794</v>
      </c>
      <c r="D864" s="1" t="s">
        <v>2535</v>
      </c>
      <c r="E864" s="1" t="s">
        <v>6795</v>
      </c>
      <c r="F864" s="1" t="s">
        <v>6448</v>
      </c>
      <c r="G864" s="1" t="s">
        <v>6449</v>
      </c>
    </row>
    <row r="865" spans="1:7">
      <c r="A865" s="1">
        <v>2204</v>
      </c>
      <c r="B865" s="1" t="s">
        <v>6796</v>
      </c>
      <c r="D865" s="1" t="s">
        <v>2535</v>
      </c>
      <c r="E865" s="1" t="s">
        <v>6797</v>
      </c>
      <c r="F865" s="1" t="s">
        <v>6452</v>
      </c>
      <c r="G865" s="1" t="s">
        <v>6453</v>
      </c>
    </row>
    <row r="866" spans="1:7">
      <c r="A866" s="1">
        <v>2205</v>
      </c>
      <c r="B866" s="1" t="s">
        <v>6798</v>
      </c>
      <c r="D866" s="1" t="s">
        <v>2535</v>
      </c>
      <c r="E866" s="1" t="s">
        <v>6799</v>
      </c>
      <c r="F866" s="1" t="s">
        <v>6456</v>
      </c>
      <c r="G866" s="1" t="s">
        <v>6457</v>
      </c>
    </row>
    <row r="867" spans="1:7">
      <c r="A867" s="1">
        <v>2207</v>
      </c>
      <c r="B867" s="1" t="s">
        <v>6800</v>
      </c>
      <c r="D867" s="1" t="s">
        <v>2535</v>
      </c>
      <c r="E867" s="1" t="s">
        <v>2536</v>
      </c>
      <c r="F867" s="1" t="s">
        <v>6459</v>
      </c>
      <c r="G867" s="1" t="s">
        <v>6460</v>
      </c>
    </row>
    <row r="868" spans="1:7">
      <c r="A868" s="1">
        <v>2208</v>
      </c>
      <c r="B868" s="1" t="s">
        <v>6801</v>
      </c>
      <c r="D868" s="1" t="s">
        <v>2535</v>
      </c>
      <c r="E868" s="1" t="s">
        <v>2550</v>
      </c>
      <c r="F868" s="1" t="s">
        <v>6462</v>
      </c>
      <c r="G868" s="1" t="s">
        <v>6463</v>
      </c>
    </row>
    <row r="869" spans="1:7">
      <c r="A869" s="1">
        <v>2209</v>
      </c>
      <c r="B869" s="1" t="s">
        <v>6802</v>
      </c>
      <c r="D869" s="1" t="s">
        <v>2535</v>
      </c>
      <c r="E869" s="1" t="s">
        <v>2552</v>
      </c>
      <c r="F869" s="1" t="s">
        <v>6465</v>
      </c>
      <c r="G869" s="1" t="s">
        <v>6466</v>
      </c>
    </row>
    <row r="870" spans="1:7">
      <c r="A870" s="1">
        <v>2210</v>
      </c>
      <c r="B870" s="1" t="s">
        <v>6803</v>
      </c>
      <c r="D870" s="1" t="s">
        <v>2566</v>
      </c>
      <c r="E870" s="1" t="s">
        <v>2589</v>
      </c>
      <c r="F870" s="1" t="s">
        <v>6419</v>
      </c>
      <c r="G870" s="1" t="s">
        <v>6420</v>
      </c>
    </row>
    <row r="871" spans="1:7">
      <c r="A871" s="1">
        <v>2211</v>
      </c>
      <c r="B871" s="1" t="s">
        <v>6804</v>
      </c>
      <c r="D871" s="1" t="s">
        <v>2566</v>
      </c>
      <c r="E871" s="1" t="s">
        <v>2591</v>
      </c>
      <c r="F871" s="1" t="s">
        <v>6422</v>
      </c>
      <c r="G871" s="1" t="s">
        <v>6423</v>
      </c>
    </row>
    <row r="872" spans="1:7">
      <c r="A872" s="1">
        <v>2212</v>
      </c>
      <c r="B872" s="1" t="s">
        <v>6805</v>
      </c>
      <c r="D872" s="1" t="s">
        <v>2566</v>
      </c>
      <c r="E872" s="1" t="s">
        <v>2593</v>
      </c>
      <c r="F872" s="1" t="s">
        <v>6425</v>
      </c>
      <c r="G872" s="1" t="s">
        <v>6420</v>
      </c>
    </row>
    <row r="873" spans="1:7">
      <c r="A873" s="1">
        <v>2213</v>
      </c>
      <c r="B873" s="1" t="s">
        <v>6806</v>
      </c>
      <c r="D873" s="1" t="s">
        <v>2566</v>
      </c>
      <c r="E873" s="1" t="s">
        <v>2595</v>
      </c>
      <c r="F873" s="1" t="s">
        <v>6427</v>
      </c>
      <c r="G873" s="1" t="s">
        <v>6423</v>
      </c>
    </row>
    <row r="874" spans="1:7">
      <c r="A874" s="1">
        <v>2214</v>
      </c>
      <c r="B874" s="1" t="s">
        <v>6807</v>
      </c>
      <c r="D874" s="1" t="s">
        <v>2566</v>
      </c>
      <c r="E874" s="1" t="s">
        <v>2587</v>
      </c>
      <c r="F874" s="1" t="s">
        <v>6429</v>
      </c>
      <c r="G874" s="1" t="s">
        <v>6430</v>
      </c>
    </row>
    <row r="875" spans="1:7">
      <c r="A875" s="1">
        <v>2215</v>
      </c>
      <c r="B875" s="1" t="s">
        <v>6808</v>
      </c>
      <c r="D875" s="1" t="s">
        <v>2566</v>
      </c>
      <c r="E875" s="1" t="s">
        <v>2585</v>
      </c>
      <c r="F875" s="1" t="s">
        <v>6432</v>
      </c>
      <c r="G875" s="1" t="s">
        <v>6433</v>
      </c>
    </row>
    <row r="876" spans="1:7">
      <c r="A876" s="1">
        <v>2218</v>
      </c>
      <c r="B876" s="1" t="s">
        <v>6809</v>
      </c>
      <c r="D876" s="1" t="s">
        <v>2566</v>
      </c>
      <c r="E876" s="1" t="s">
        <v>6810</v>
      </c>
      <c r="F876" s="1" t="s">
        <v>6436</v>
      </c>
      <c r="G876" s="1" t="s">
        <v>6437</v>
      </c>
    </row>
    <row r="877" spans="1:7">
      <c r="A877" s="1">
        <v>2219</v>
      </c>
      <c r="B877" s="1" t="s">
        <v>6811</v>
      </c>
      <c r="D877" s="1" t="s">
        <v>2566</v>
      </c>
      <c r="E877" s="1" t="s">
        <v>6812</v>
      </c>
      <c r="F877" s="1" t="s">
        <v>6440</v>
      </c>
      <c r="G877" s="1" t="s">
        <v>6441</v>
      </c>
    </row>
    <row r="878" spans="1:7">
      <c r="A878" s="1">
        <v>2220</v>
      </c>
      <c r="B878" s="1" t="s">
        <v>6813</v>
      </c>
      <c r="D878" s="1" t="s">
        <v>2566</v>
      </c>
      <c r="E878" s="1" t="s">
        <v>6814</v>
      </c>
      <c r="F878" s="1" t="s">
        <v>6444</v>
      </c>
      <c r="G878" s="1" t="s">
        <v>6445</v>
      </c>
    </row>
    <row r="879" spans="1:7">
      <c r="A879" s="1">
        <v>2221</v>
      </c>
      <c r="B879" s="1" t="s">
        <v>6815</v>
      </c>
      <c r="D879" s="1" t="s">
        <v>2566</v>
      </c>
      <c r="E879" s="1" t="s">
        <v>6816</v>
      </c>
      <c r="F879" s="1" t="s">
        <v>6448</v>
      </c>
      <c r="G879" s="1" t="s">
        <v>6449</v>
      </c>
    </row>
    <row r="880" spans="1:7">
      <c r="A880" s="1">
        <v>2222</v>
      </c>
      <c r="B880" s="1" t="s">
        <v>6817</v>
      </c>
      <c r="D880" s="1" t="s">
        <v>2566</v>
      </c>
      <c r="E880" s="1" t="s">
        <v>6818</v>
      </c>
      <c r="F880" s="1" t="s">
        <v>6452</v>
      </c>
      <c r="G880" s="1" t="s">
        <v>6453</v>
      </c>
    </row>
    <row r="881" spans="1:7">
      <c r="A881" s="1">
        <v>2223</v>
      </c>
      <c r="B881" s="1" t="s">
        <v>6819</v>
      </c>
      <c r="D881" s="1" t="s">
        <v>2566</v>
      </c>
      <c r="E881" s="1" t="s">
        <v>6820</v>
      </c>
      <c r="F881" s="1" t="s">
        <v>6456</v>
      </c>
      <c r="G881" s="1" t="s">
        <v>6457</v>
      </c>
    </row>
    <row r="882" spans="1:7">
      <c r="A882" s="1">
        <v>2225</v>
      </c>
      <c r="B882" s="1" t="s">
        <v>6821</v>
      </c>
      <c r="D882" s="1" t="s">
        <v>2566</v>
      </c>
      <c r="E882" s="1" t="s">
        <v>2567</v>
      </c>
      <c r="F882" s="1" t="s">
        <v>6459</v>
      </c>
      <c r="G882" s="1" t="s">
        <v>6460</v>
      </c>
    </row>
    <row r="883" spans="1:7">
      <c r="A883" s="1">
        <v>2226</v>
      </c>
      <c r="B883" s="1" t="s">
        <v>6822</v>
      </c>
      <c r="D883" s="1" t="s">
        <v>2566</v>
      </c>
      <c r="E883" s="1" t="s">
        <v>2581</v>
      </c>
      <c r="F883" s="1" t="s">
        <v>6462</v>
      </c>
      <c r="G883" s="1" t="s">
        <v>6463</v>
      </c>
    </row>
    <row r="884" spans="1:7">
      <c r="A884" s="1">
        <v>2227</v>
      </c>
      <c r="B884" s="1" t="s">
        <v>6823</v>
      </c>
      <c r="D884" s="1" t="s">
        <v>2566</v>
      </c>
      <c r="E884" s="1" t="s">
        <v>2583</v>
      </c>
      <c r="F884" s="1" t="s">
        <v>6465</v>
      </c>
      <c r="G884" s="1" t="s">
        <v>6466</v>
      </c>
    </row>
    <row r="885" spans="1:7">
      <c r="A885" s="1">
        <v>2228</v>
      </c>
      <c r="B885" s="1" t="s">
        <v>6824</v>
      </c>
      <c r="D885" s="1" t="s">
        <v>2597</v>
      </c>
      <c r="E885" s="1" t="s">
        <v>2620</v>
      </c>
      <c r="F885" s="1" t="s">
        <v>6419</v>
      </c>
      <c r="G885" s="1" t="s">
        <v>6420</v>
      </c>
    </row>
    <row r="886" spans="1:7">
      <c r="A886" s="1">
        <v>2229</v>
      </c>
      <c r="B886" s="1" t="s">
        <v>6825</v>
      </c>
      <c r="D886" s="1" t="s">
        <v>2597</v>
      </c>
      <c r="E886" s="1" t="s">
        <v>2622</v>
      </c>
      <c r="F886" s="1" t="s">
        <v>6422</v>
      </c>
      <c r="G886" s="1" t="s">
        <v>6423</v>
      </c>
    </row>
    <row r="887" spans="1:7">
      <c r="A887" s="1">
        <v>2230</v>
      </c>
      <c r="B887" s="1" t="s">
        <v>6826</v>
      </c>
      <c r="D887" s="1" t="s">
        <v>2597</v>
      </c>
      <c r="E887" s="1" t="s">
        <v>2624</v>
      </c>
      <c r="F887" s="1" t="s">
        <v>6425</v>
      </c>
      <c r="G887" s="1" t="s">
        <v>6420</v>
      </c>
    </row>
    <row r="888" spans="1:7">
      <c r="A888" s="1">
        <v>2231</v>
      </c>
      <c r="B888" s="1" t="s">
        <v>6827</v>
      </c>
      <c r="D888" s="1" t="s">
        <v>2597</v>
      </c>
      <c r="E888" s="1" t="s">
        <v>2626</v>
      </c>
      <c r="F888" s="1" t="s">
        <v>6427</v>
      </c>
      <c r="G888" s="1" t="s">
        <v>6423</v>
      </c>
    </row>
    <row r="889" spans="1:7">
      <c r="A889" s="1">
        <v>2232</v>
      </c>
      <c r="B889" s="1" t="s">
        <v>6828</v>
      </c>
      <c r="D889" s="1" t="s">
        <v>2597</v>
      </c>
      <c r="E889" s="1" t="s">
        <v>2618</v>
      </c>
      <c r="F889" s="1" t="s">
        <v>6429</v>
      </c>
      <c r="G889" s="1" t="s">
        <v>6430</v>
      </c>
    </row>
    <row r="890" spans="1:7">
      <c r="A890" s="1">
        <v>2233</v>
      </c>
      <c r="B890" s="1" t="s">
        <v>6829</v>
      </c>
      <c r="D890" s="1" t="s">
        <v>2597</v>
      </c>
      <c r="E890" s="1" t="s">
        <v>2616</v>
      </c>
      <c r="F890" s="1" t="s">
        <v>6432</v>
      </c>
      <c r="G890" s="1" t="s">
        <v>6433</v>
      </c>
    </row>
    <row r="891" spans="1:7">
      <c r="A891" s="1">
        <v>2236</v>
      </c>
      <c r="B891" s="1" t="s">
        <v>6830</v>
      </c>
      <c r="D891" s="1" t="s">
        <v>2597</v>
      </c>
      <c r="E891" s="1" t="s">
        <v>6831</v>
      </c>
      <c r="F891" s="1" t="s">
        <v>6436</v>
      </c>
      <c r="G891" s="1" t="s">
        <v>6437</v>
      </c>
    </row>
    <row r="892" spans="1:7">
      <c r="A892" s="1">
        <v>2237</v>
      </c>
      <c r="B892" s="1" t="s">
        <v>6832</v>
      </c>
      <c r="D892" s="1" t="s">
        <v>2597</v>
      </c>
      <c r="E892" s="1" t="s">
        <v>6833</v>
      </c>
      <c r="F892" s="1" t="s">
        <v>6440</v>
      </c>
      <c r="G892" s="1" t="s">
        <v>6441</v>
      </c>
    </row>
    <row r="893" spans="1:7">
      <c r="A893" s="1">
        <v>2238</v>
      </c>
      <c r="B893" s="1" t="s">
        <v>6834</v>
      </c>
      <c r="D893" s="1" t="s">
        <v>2597</v>
      </c>
      <c r="E893" s="1" t="s">
        <v>6835</v>
      </c>
      <c r="F893" s="1" t="s">
        <v>6444</v>
      </c>
      <c r="G893" s="1" t="s">
        <v>6445</v>
      </c>
    </row>
    <row r="894" spans="1:7">
      <c r="A894" s="1">
        <v>2239</v>
      </c>
      <c r="B894" s="1" t="s">
        <v>6836</v>
      </c>
      <c r="D894" s="1" t="s">
        <v>2597</v>
      </c>
      <c r="E894" s="1" t="s">
        <v>6837</v>
      </c>
      <c r="F894" s="1" t="s">
        <v>6448</v>
      </c>
      <c r="G894" s="1" t="s">
        <v>6449</v>
      </c>
    </row>
    <row r="895" spans="1:7">
      <c r="A895" s="1">
        <v>2240</v>
      </c>
      <c r="B895" s="1" t="s">
        <v>6838</v>
      </c>
      <c r="D895" s="1" t="s">
        <v>2597</v>
      </c>
      <c r="E895" s="1" t="s">
        <v>6839</v>
      </c>
      <c r="F895" s="1" t="s">
        <v>6452</v>
      </c>
      <c r="G895" s="1" t="s">
        <v>6453</v>
      </c>
    </row>
    <row r="896" spans="1:7">
      <c r="A896" s="1">
        <v>2241</v>
      </c>
      <c r="B896" s="1" t="s">
        <v>6840</v>
      </c>
      <c r="D896" s="1" t="s">
        <v>2597</v>
      </c>
      <c r="E896" s="1" t="s">
        <v>6841</v>
      </c>
      <c r="F896" s="1" t="s">
        <v>6456</v>
      </c>
      <c r="G896" s="1" t="s">
        <v>6457</v>
      </c>
    </row>
    <row r="897" spans="1:7">
      <c r="A897" s="1">
        <v>2243</v>
      </c>
      <c r="B897" s="1" t="s">
        <v>6842</v>
      </c>
      <c r="D897" s="1" t="s">
        <v>2597</v>
      </c>
      <c r="E897" s="1" t="s">
        <v>2598</v>
      </c>
      <c r="F897" s="1" t="s">
        <v>6459</v>
      </c>
      <c r="G897" s="1" t="s">
        <v>6460</v>
      </c>
    </row>
    <row r="898" spans="1:7">
      <c r="A898" s="1">
        <v>2244</v>
      </c>
      <c r="B898" s="1" t="s">
        <v>6843</v>
      </c>
      <c r="D898" s="1" t="s">
        <v>2597</v>
      </c>
      <c r="E898" s="1" t="s">
        <v>2612</v>
      </c>
      <c r="F898" s="1" t="s">
        <v>6462</v>
      </c>
      <c r="G898" s="1" t="s">
        <v>6463</v>
      </c>
    </row>
    <row r="899" spans="1:7">
      <c r="A899" s="1">
        <v>2245</v>
      </c>
      <c r="B899" s="1" t="s">
        <v>6844</v>
      </c>
      <c r="D899" s="1" t="s">
        <v>2597</v>
      </c>
      <c r="E899" s="1" t="s">
        <v>2614</v>
      </c>
      <c r="F899" s="1" t="s">
        <v>6465</v>
      </c>
      <c r="G899" s="1" t="s">
        <v>6466</v>
      </c>
    </row>
    <row r="900" spans="1:7">
      <c r="A900" s="1">
        <v>2246</v>
      </c>
      <c r="B900" s="1" t="s">
        <v>6845</v>
      </c>
      <c r="D900" s="1" t="s">
        <v>2628</v>
      </c>
      <c r="E900" s="1" t="s">
        <v>2651</v>
      </c>
      <c r="F900" s="1" t="s">
        <v>6419</v>
      </c>
      <c r="G900" s="1" t="s">
        <v>6420</v>
      </c>
    </row>
    <row r="901" spans="1:7">
      <c r="A901" s="1">
        <v>2247</v>
      </c>
      <c r="B901" s="1" t="s">
        <v>6846</v>
      </c>
      <c r="D901" s="1" t="s">
        <v>2628</v>
      </c>
      <c r="E901" s="1" t="s">
        <v>2653</v>
      </c>
      <c r="F901" s="1" t="s">
        <v>6422</v>
      </c>
      <c r="G901" s="1" t="s">
        <v>6423</v>
      </c>
    </row>
    <row r="902" spans="1:7">
      <c r="A902" s="1">
        <v>2248</v>
      </c>
      <c r="B902" s="1" t="s">
        <v>6847</v>
      </c>
      <c r="D902" s="1" t="s">
        <v>2628</v>
      </c>
      <c r="E902" s="1" t="s">
        <v>2655</v>
      </c>
      <c r="F902" s="1" t="s">
        <v>6425</v>
      </c>
      <c r="G902" s="1" t="s">
        <v>6420</v>
      </c>
    </row>
    <row r="903" spans="1:7">
      <c r="A903" s="1">
        <v>2249</v>
      </c>
      <c r="B903" s="1" t="s">
        <v>6848</v>
      </c>
      <c r="D903" s="1" t="s">
        <v>2628</v>
      </c>
      <c r="E903" s="1" t="s">
        <v>2657</v>
      </c>
      <c r="F903" s="1" t="s">
        <v>6427</v>
      </c>
      <c r="G903" s="1" t="s">
        <v>6423</v>
      </c>
    </row>
    <row r="904" spans="1:7">
      <c r="A904" s="1">
        <v>2250</v>
      </c>
      <c r="B904" s="1" t="s">
        <v>6849</v>
      </c>
      <c r="D904" s="1" t="s">
        <v>2628</v>
      </c>
      <c r="E904" s="1" t="s">
        <v>2649</v>
      </c>
      <c r="F904" s="1" t="s">
        <v>6429</v>
      </c>
      <c r="G904" s="1" t="s">
        <v>6430</v>
      </c>
    </row>
    <row r="905" spans="1:7">
      <c r="A905" s="1">
        <v>2251</v>
      </c>
      <c r="B905" s="1" t="s">
        <v>6850</v>
      </c>
      <c r="D905" s="1" t="s">
        <v>2628</v>
      </c>
      <c r="E905" s="1" t="s">
        <v>2647</v>
      </c>
      <c r="F905" s="1" t="s">
        <v>6432</v>
      </c>
      <c r="G905" s="1" t="s">
        <v>6433</v>
      </c>
    </row>
    <row r="906" spans="1:7">
      <c r="A906" s="1">
        <v>2254</v>
      </c>
      <c r="B906" s="1" t="s">
        <v>6851</v>
      </c>
      <c r="D906" s="1" t="s">
        <v>2628</v>
      </c>
      <c r="E906" s="1" t="s">
        <v>6852</v>
      </c>
      <c r="F906" s="1" t="s">
        <v>6436</v>
      </c>
      <c r="G906" s="1" t="s">
        <v>6437</v>
      </c>
    </row>
    <row r="907" spans="1:7">
      <c r="A907" s="1">
        <v>2255</v>
      </c>
      <c r="B907" s="1" t="s">
        <v>6853</v>
      </c>
      <c r="D907" s="1" t="s">
        <v>2628</v>
      </c>
      <c r="E907" s="1" t="s">
        <v>6854</v>
      </c>
      <c r="F907" s="1" t="s">
        <v>6440</v>
      </c>
      <c r="G907" s="1" t="s">
        <v>6441</v>
      </c>
    </row>
    <row r="908" spans="1:7">
      <c r="A908" s="1">
        <v>2256</v>
      </c>
      <c r="B908" s="1" t="s">
        <v>6855</v>
      </c>
      <c r="D908" s="1" t="s">
        <v>2628</v>
      </c>
      <c r="E908" s="1" t="s">
        <v>6856</v>
      </c>
      <c r="F908" s="1" t="s">
        <v>6444</v>
      </c>
      <c r="G908" s="1" t="s">
        <v>6445</v>
      </c>
    </row>
    <row r="909" spans="1:7">
      <c r="A909" s="1">
        <v>2257</v>
      </c>
      <c r="B909" s="1" t="s">
        <v>6857</v>
      </c>
      <c r="D909" s="1" t="s">
        <v>2628</v>
      </c>
      <c r="E909" s="1" t="s">
        <v>6858</v>
      </c>
      <c r="F909" s="1" t="s">
        <v>6448</v>
      </c>
      <c r="G909" s="1" t="s">
        <v>6449</v>
      </c>
    </row>
    <row r="910" spans="1:7">
      <c r="A910" s="1">
        <v>2258</v>
      </c>
      <c r="B910" s="1" t="s">
        <v>6859</v>
      </c>
      <c r="D910" s="1" t="s">
        <v>2628</v>
      </c>
      <c r="E910" s="1" t="s">
        <v>6860</v>
      </c>
      <c r="F910" s="1" t="s">
        <v>6452</v>
      </c>
      <c r="G910" s="1" t="s">
        <v>6453</v>
      </c>
    </row>
    <row r="911" spans="1:7">
      <c r="A911" s="1">
        <v>2259</v>
      </c>
      <c r="B911" s="1" t="s">
        <v>6861</v>
      </c>
      <c r="D911" s="1" t="s">
        <v>2628</v>
      </c>
      <c r="E911" s="1" t="s">
        <v>6862</v>
      </c>
      <c r="F911" s="1" t="s">
        <v>6456</v>
      </c>
      <c r="G911" s="1" t="s">
        <v>6457</v>
      </c>
    </row>
    <row r="912" spans="1:7">
      <c r="A912" s="1">
        <v>2261</v>
      </c>
      <c r="B912" s="1" t="s">
        <v>6863</v>
      </c>
      <c r="D912" s="1" t="s">
        <v>2628</v>
      </c>
      <c r="E912" s="1" t="s">
        <v>2629</v>
      </c>
      <c r="F912" s="1" t="s">
        <v>6459</v>
      </c>
      <c r="G912" s="1" t="s">
        <v>6460</v>
      </c>
    </row>
    <row r="913" spans="1:7">
      <c r="A913" s="1">
        <v>2262</v>
      </c>
      <c r="B913" s="1" t="s">
        <v>6864</v>
      </c>
      <c r="D913" s="1" t="s">
        <v>2628</v>
      </c>
      <c r="E913" s="1" t="s">
        <v>2643</v>
      </c>
      <c r="F913" s="1" t="s">
        <v>6462</v>
      </c>
      <c r="G913" s="1" t="s">
        <v>6463</v>
      </c>
    </row>
    <row r="914" spans="1:7">
      <c r="A914" s="1">
        <v>2263</v>
      </c>
      <c r="B914" s="1" t="s">
        <v>6865</v>
      </c>
      <c r="D914" s="1" t="s">
        <v>2628</v>
      </c>
      <c r="E914" s="1" t="s">
        <v>2645</v>
      </c>
      <c r="F914" s="1" t="s">
        <v>6465</v>
      </c>
      <c r="G914" s="1" t="s">
        <v>6466</v>
      </c>
    </row>
    <row r="915" spans="1:7">
      <c r="A915" s="1">
        <v>2264</v>
      </c>
      <c r="B915" s="1" t="s">
        <v>6866</v>
      </c>
      <c r="D915" s="1" t="s">
        <v>2659</v>
      </c>
      <c r="E915" s="1" t="s">
        <v>2682</v>
      </c>
      <c r="F915" s="1" t="s">
        <v>6419</v>
      </c>
      <c r="G915" s="1" t="s">
        <v>6420</v>
      </c>
    </row>
    <row r="916" spans="1:7">
      <c r="A916" s="1">
        <v>2265</v>
      </c>
      <c r="B916" s="1" t="s">
        <v>6867</v>
      </c>
      <c r="D916" s="1" t="s">
        <v>2659</v>
      </c>
      <c r="E916" s="1" t="s">
        <v>2684</v>
      </c>
      <c r="F916" s="1" t="s">
        <v>6422</v>
      </c>
      <c r="G916" s="1" t="s">
        <v>6423</v>
      </c>
    </row>
    <row r="917" spans="1:7">
      <c r="A917" s="1">
        <v>2266</v>
      </c>
      <c r="B917" s="1" t="s">
        <v>6868</v>
      </c>
      <c r="D917" s="1" t="s">
        <v>2659</v>
      </c>
      <c r="E917" s="1" t="s">
        <v>2686</v>
      </c>
      <c r="F917" s="1" t="s">
        <v>6425</v>
      </c>
      <c r="G917" s="1" t="s">
        <v>6420</v>
      </c>
    </row>
    <row r="918" spans="1:7">
      <c r="A918" s="1">
        <v>2267</v>
      </c>
      <c r="B918" s="1" t="s">
        <v>6869</v>
      </c>
      <c r="D918" s="1" t="s">
        <v>2659</v>
      </c>
      <c r="E918" s="1" t="s">
        <v>2688</v>
      </c>
      <c r="F918" s="1" t="s">
        <v>6427</v>
      </c>
      <c r="G918" s="1" t="s">
        <v>6423</v>
      </c>
    </row>
    <row r="919" spans="1:7">
      <c r="A919" s="1">
        <v>2268</v>
      </c>
      <c r="B919" s="1" t="s">
        <v>6870</v>
      </c>
      <c r="D919" s="1" t="s">
        <v>2659</v>
      </c>
      <c r="E919" s="1" t="s">
        <v>2680</v>
      </c>
      <c r="F919" s="1" t="s">
        <v>6429</v>
      </c>
      <c r="G919" s="1" t="s">
        <v>6430</v>
      </c>
    </row>
    <row r="920" spans="1:7">
      <c r="A920" s="1">
        <v>2269</v>
      </c>
      <c r="B920" s="1" t="s">
        <v>6871</v>
      </c>
      <c r="D920" s="1" t="s">
        <v>2659</v>
      </c>
      <c r="E920" s="1" t="s">
        <v>2678</v>
      </c>
      <c r="F920" s="1" t="s">
        <v>6432</v>
      </c>
      <c r="G920" s="1" t="s">
        <v>6433</v>
      </c>
    </row>
    <row r="921" spans="1:7">
      <c r="A921" s="1">
        <v>2272</v>
      </c>
      <c r="B921" s="1" t="s">
        <v>6872</v>
      </c>
      <c r="D921" s="1" t="s">
        <v>2659</v>
      </c>
      <c r="E921" s="1" t="s">
        <v>6873</v>
      </c>
      <c r="F921" s="1" t="s">
        <v>6436</v>
      </c>
      <c r="G921" s="1" t="s">
        <v>6437</v>
      </c>
    </row>
    <row r="922" spans="1:7">
      <c r="A922" s="1">
        <v>2273</v>
      </c>
      <c r="B922" s="1" t="s">
        <v>6874</v>
      </c>
      <c r="D922" s="1" t="s">
        <v>2659</v>
      </c>
      <c r="E922" s="1" t="s">
        <v>6875</v>
      </c>
      <c r="F922" s="1" t="s">
        <v>6440</v>
      </c>
      <c r="G922" s="1" t="s">
        <v>6441</v>
      </c>
    </row>
    <row r="923" spans="1:7">
      <c r="A923" s="1">
        <v>2274</v>
      </c>
      <c r="B923" s="1" t="s">
        <v>6876</v>
      </c>
      <c r="D923" s="1" t="s">
        <v>2659</v>
      </c>
      <c r="E923" s="1" t="s">
        <v>6877</v>
      </c>
      <c r="F923" s="1" t="s">
        <v>6444</v>
      </c>
      <c r="G923" s="1" t="s">
        <v>6445</v>
      </c>
    </row>
    <row r="924" spans="1:7">
      <c r="A924" s="1">
        <v>2275</v>
      </c>
      <c r="B924" s="1" t="s">
        <v>6878</v>
      </c>
      <c r="D924" s="1" t="s">
        <v>2659</v>
      </c>
      <c r="E924" s="1" t="s">
        <v>6879</v>
      </c>
      <c r="F924" s="1" t="s">
        <v>6448</v>
      </c>
      <c r="G924" s="1" t="s">
        <v>6449</v>
      </c>
    </row>
    <row r="925" spans="1:7">
      <c r="A925" s="1">
        <v>2276</v>
      </c>
      <c r="B925" s="1" t="s">
        <v>6880</v>
      </c>
      <c r="D925" s="1" t="s">
        <v>2659</v>
      </c>
      <c r="E925" s="1" t="s">
        <v>6881</v>
      </c>
      <c r="F925" s="1" t="s">
        <v>6452</v>
      </c>
      <c r="G925" s="1" t="s">
        <v>6453</v>
      </c>
    </row>
    <row r="926" spans="1:7">
      <c r="A926" s="1">
        <v>2277</v>
      </c>
      <c r="B926" s="1" t="s">
        <v>6882</v>
      </c>
      <c r="D926" s="1" t="s">
        <v>2659</v>
      </c>
      <c r="E926" s="1" t="s">
        <v>6883</v>
      </c>
      <c r="F926" s="1" t="s">
        <v>6456</v>
      </c>
      <c r="G926" s="1" t="s">
        <v>6457</v>
      </c>
    </row>
    <row r="927" spans="1:7">
      <c r="A927" s="1">
        <v>2279</v>
      </c>
      <c r="B927" s="1" t="s">
        <v>6884</v>
      </c>
      <c r="D927" s="1" t="s">
        <v>2659</v>
      </c>
      <c r="E927" s="1" t="s">
        <v>2660</v>
      </c>
      <c r="F927" s="1" t="s">
        <v>6459</v>
      </c>
      <c r="G927" s="1" t="s">
        <v>6460</v>
      </c>
    </row>
    <row r="928" spans="1:7">
      <c r="A928" s="1">
        <v>2280</v>
      </c>
      <c r="B928" s="1" t="s">
        <v>6885</v>
      </c>
      <c r="D928" s="1" t="s">
        <v>2659</v>
      </c>
      <c r="E928" s="1" t="s">
        <v>2674</v>
      </c>
      <c r="F928" s="1" t="s">
        <v>6462</v>
      </c>
      <c r="G928" s="1" t="s">
        <v>6463</v>
      </c>
    </row>
    <row r="929" spans="1:7">
      <c r="A929" s="1">
        <v>2281</v>
      </c>
      <c r="B929" s="1" t="s">
        <v>6886</v>
      </c>
      <c r="D929" s="1" t="s">
        <v>2659</v>
      </c>
      <c r="E929" s="1" t="s">
        <v>2676</v>
      </c>
      <c r="F929" s="1" t="s">
        <v>6465</v>
      </c>
      <c r="G929" s="1" t="s">
        <v>6466</v>
      </c>
    </row>
    <row r="930" spans="1:7">
      <c r="A930" s="1">
        <v>2282</v>
      </c>
      <c r="B930" s="1" t="s">
        <v>6887</v>
      </c>
      <c r="D930" s="1" t="s">
        <v>2690</v>
      </c>
      <c r="E930" s="1" t="s">
        <v>2713</v>
      </c>
      <c r="F930" s="1" t="s">
        <v>6419</v>
      </c>
      <c r="G930" s="1" t="s">
        <v>6420</v>
      </c>
    </row>
    <row r="931" spans="1:7">
      <c r="A931" s="1">
        <v>2283</v>
      </c>
      <c r="B931" s="1" t="s">
        <v>6888</v>
      </c>
      <c r="D931" s="1" t="s">
        <v>2690</v>
      </c>
      <c r="E931" s="1" t="s">
        <v>2715</v>
      </c>
      <c r="F931" s="1" t="s">
        <v>6422</v>
      </c>
      <c r="G931" s="1" t="s">
        <v>6423</v>
      </c>
    </row>
    <row r="932" spans="1:7">
      <c r="A932" s="1">
        <v>2284</v>
      </c>
      <c r="B932" s="1" t="s">
        <v>6889</v>
      </c>
      <c r="D932" s="1" t="s">
        <v>2690</v>
      </c>
      <c r="E932" s="1" t="s">
        <v>2717</v>
      </c>
      <c r="F932" s="1" t="s">
        <v>6425</v>
      </c>
      <c r="G932" s="1" t="s">
        <v>6420</v>
      </c>
    </row>
    <row r="933" spans="1:7">
      <c r="A933" s="1">
        <v>2285</v>
      </c>
      <c r="B933" s="1" t="s">
        <v>6890</v>
      </c>
      <c r="D933" s="1" t="s">
        <v>2690</v>
      </c>
      <c r="E933" s="1" t="s">
        <v>2719</v>
      </c>
      <c r="F933" s="1" t="s">
        <v>6427</v>
      </c>
      <c r="G933" s="1" t="s">
        <v>6423</v>
      </c>
    </row>
    <row r="934" spans="1:7">
      <c r="A934" s="1">
        <v>2286</v>
      </c>
      <c r="B934" s="1" t="s">
        <v>6891</v>
      </c>
      <c r="D934" s="1" t="s">
        <v>2690</v>
      </c>
      <c r="E934" s="1" t="s">
        <v>2711</v>
      </c>
      <c r="F934" s="1" t="s">
        <v>6429</v>
      </c>
      <c r="G934" s="1" t="s">
        <v>6430</v>
      </c>
    </row>
    <row r="935" spans="1:7">
      <c r="A935" s="1">
        <v>2287</v>
      </c>
      <c r="B935" s="1" t="s">
        <v>6892</v>
      </c>
      <c r="D935" s="1" t="s">
        <v>2690</v>
      </c>
      <c r="E935" s="1" t="s">
        <v>2709</v>
      </c>
      <c r="F935" s="1" t="s">
        <v>6432</v>
      </c>
      <c r="G935" s="1" t="s">
        <v>6433</v>
      </c>
    </row>
    <row r="936" spans="1:7">
      <c r="A936" s="1">
        <v>2290</v>
      </c>
      <c r="B936" s="1" t="s">
        <v>6893</v>
      </c>
      <c r="D936" s="1" t="s">
        <v>2690</v>
      </c>
      <c r="E936" s="1" t="s">
        <v>6894</v>
      </c>
      <c r="F936" s="1" t="s">
        <v>6436</v>
      </c>
      <c r="G936" s="1" t="s">
        <v>6437</v>
      </c>
    </row>
    <row r="937" spans="1:7">
      <c r="A937" s="1">
        <v>2291</v>
      </c>
      <c r="B937" s="1" t="s">
        <v>6895</v>
      </c>
      <c r="D937" s="1" t="s">
        <v>2690</v>
      </c>
      <c r="E937" s="1" t="s">
        <v>6896</v>
      </c>
      <c r="F937" s="1" t="s">
        <v>6440</v>
      </c>
      <c r="G937" s="1" t="s">
        <v>6441</v>
      </c>
    </row>
    <row r="938" spans="1:7">
      <c r="A938" s="1">
        <v>2292</v>
      </c>
      <c r="B938" s="1" t="s">
        <v>6897</v>
      </c>
      <c r="D938" s="1" t="s">
        <v>2690</v>
      </c>
      <c r="E938" s="1" t="s">
        <v>6898</v>
      </c>
      <c r="F938" s="1" t="s">
        <v>6444</v>
      </c>
      <c r="G938" s="1" t="s">
        <v>6445</v>
      </c>
    </row>
    <row r="939" spans="1:7">
      <c r="A939" s="1">
        <v>2293</v>
      </c>
      <c r="B939" s="1" t="s">
        <v>6899</v>
      </c>
      <c r="D939" s="1" t="s">
        <v>2690</v>
      </c>
      <c r="E939" s="1" t="s">
        <v>6900</v>
      </c>
      <c r="F939" s="1" t="s">
        <v>6448</v>
      </c>
      <c r="G939" s="1" t="s">
        <v>6449</v>
      </c>
    </row>
    <row r="940" spans="1:7">
      <c r="A940" s="1">
        <v>2294</v>
      </c>
      <c r="B940" s="1" t="s">
        <v>6901</v>
      </c>
      <c r="D940" s="1" t="s">
        <v>2690</v>
      </c>
      <c r="E940" s="1" t="s">
        <v>6902</v>
      </c>
      <c r="F940" s="1" t="s">
        <v>6452</v>
      </c>
      <c r="G940" s="1" t="s">
        <v>6453</v>
      </c>
    </row>
    <row r="941" spans="1:7">
      <c r="A941" s="1">
        <v>2295</v>
      </c>
      <c r="B941" s="1" t="s">
        <v>6903</v>
      </c>
      <c r="D941" s="1" t="s">
        <v>2690</v>
      </c>
      <c r="E941" s="1" t="s">
        <v>6904</v>
      </c>
      <c r="F941" s="1" t="s">
        <v>6456</v>
      </c>
      <c r="G941" s="1" t="s">
        <v>6457</v>
      </c>
    </row>
    <row r="942" spans="1:7">
      <c r="A942" s="1">
        <v>2297</v>
      </c>
      <c r="B942" s="1" t="s">
        <v>6905</v>
      </c>
      <c r="D942" s="1" t="s">
        <v>2690</v>
      </c>
      <c r="E942" s="1" t="s">
        <v>2691</v>
      </c>
      <c r="F942" s="1" t="s">
        <v>6459</v>
      </c>
      <c r="G942" s="1" t="s">
        <v>6460</v>
      </c>
    </row>
    <row r="943" spans="1:7">
      <c r="A943" s="1">
        <v>2298</v>
      </c>
      <c r="B943" s="1" t="s">
        <v>6906</v>
      </c>
      <c r="D943" s="1" t="s">
        <v>2690</v>
      </c>
      <c r="E943" s="1" t="s">
        <v>2705</v>
      </c>
      <c r="F943" s="1" t="s">
        <v>6462</v>
      </c>
      <c r="G943" s="1" t="s">
        <v>6463</v>
      </c>
    </row>
    <row r="944" spans="1:7">
      <c r="A944" s="1">
        <v>2299</v>
      </c>
      <c r="B944" s="1" t="s">
        <v>6907</v>
      </c>
      <c r="D944" s="1" t="s">
        <v>2690</v>
      </c>
      <c r="E944" s="1" t="s">
        <v>2707</v>
      </c>
      <c r="F944" s="1" t="s">
        <v>6465</v>
      </c>
      <c r="G944" s="1" t="s">
        <v>6466</v>
      </c>
    </row>
    <row r="945" spans="1:7">
      <c r="A945" s="1">
        <v>2300</v>
      </c>
      <c r="B945" s="1" t="s">
        <v>6908</v>
      </c>
      <c r="D945" s="1" t="s">
        <v>2721</v>
      </c>
      <c r="E945" s="1" t="s">
        <v>2744</v>
      </c>
      <c r="F945" s="1" t="s">
        <v>6419</v>
      </c>
      <c r="G945" s="1" t="s">
        <v>6420</v>
      </c>
    </row>
    <row r="946" spans="1:7">
      <c r="A946" s="1">
        <v>2301</v>
      </c>
      <c r="B946" s="1" t="s">
        <v>6909</v>
      </c>
      <c r="D946" s="1" t="s">
        <v>2721</v>
      </c>
      <c r="E946" s="1" t="s">
        <v>2746</v>
      </c>
      <c r="F946" s="1" t="s">
        <v>6422</v>
      </c>
      <c r="G946" s="1" t="s">
        <v>6423</v>
      </c>
    </row>
    <row r="947" spans="1:7">
      <c r="A947" s="1">
        <v>2302</v>
      </c>
      <c r="B947" s="1" t="s">
        <v>6910</v>
      </c>
      <c r="D947" s="1" t="s">
        <v>2721</v>
      </c>
      <c r="E947" s="1" t="s">
        <v>2748</v>
      </c>
      <c r="F947" s="1" t="s">
        <v>6425</v>
      </c>
      <c r="G947" s="1" t="s">
        <v>6420</v>
      </c>
    </row>
    <row r="948" spans="1:7">
      <c r="A948" s="1">
        <v>2303</v>
      </c>
      <c r="B948" s="1" t="s">
        <v>6911</v>
      </c>
      <c r="D948" s="1" t="s">
        <v>2721</v>
      </c>
      <c r="E948" s="1" t="s">
        <v>2750</v>
      </c>
      <c r="F948" s="1" t="s">
        <v>6427</v>
      </c>
      <c r="G948" s="1" t="s">
        <v>6423</v>
      </c>
    </row>
    <row r="949" spans="1:7">
      <c r="A949" s="1">
        <v>2304</v>
      </c>
      <c r="B949" s="1" t="s">
        <v>6912</v>
      </c>
      <c r="D949" s="1" t="s">
        <v>2721</v>
      </c>
      <c r="E949" s="1" t="s">
        <v>2742</v>
      </c>
      <c r="F949" s="1" t="s">
        <v>6429</v>
      </c>
      <c r="G949" s="1" t="s">
        <v>6430</v>
      </c>
    </row>
    <row r="950" spans="1:7">
      <c r="A950" s="1">
        <v>2305</v>
      </c>
      <c r="B950" s="1" t="s">
        <v>6913</v>
      </c>
      <c r="D950" s="1" t="s">
        <v>2721</v>
      </c>
      <c r="E950" s="1" t="s">
        <v>2740</v>
      </c>
      <c r="F950" s="1" t="s">
        <v>6432</v>
      </c>
      <c r="G950" s="1" t="s">
        <v>6433</v>
      </c>
    </row>
    <row r="951" spans="1:7">
      <c r="A951" s="1">
        <v>2308</v>
      </c>
      <c r="B951" s="1" t="s">
        <v>6914</v>
      </c>
      <c r="D951" s="1" t="s">
        <v>2721</v>
      </c>
      <c r="E951" s="1" t="s">
        <v>6915</v>
      </c>
      <c r="F951" s="1" t="s">
        <v>6436</v>
      </c>
      <c r="G951" s="1" t="s">
        <v>6437</v>
      </c>
    </row>
    <row r="952" spans="1:7">
      <c r="A952" s="1">
        <v>2309</v>
      </c>
      <c r="B952" s="1" t="s">
        <v>6916</v>
      </c>
      <c r="D952" s="1" t="s">
        <v>2721</v>
      </c>
      <c r="E952" s="1" t="s">
        <v>6917</v>
      </c>
      <c r="F952" s="1" t="s">
        <v>6440</v>
      </c>
      <c r="G952" s="1" t="s">
        <v>6441</v>
      </c>
    </row>
    <row r="953" spans="1:7">
      <c r="A953" s="1">
        <v>2310</v>
      </c>
      <c r="B953" s="1" t="s">
        <v>6918</v>
      </c>
      <c r="D953" s="1" t="s">
        <v>2721</v>
      </c>
      <c r="E953" s="1" t="s">
        <v>6919</v>
      </c>
      <c r="F953" s="1" t="s">
        <v>6444</v>
      </c>
      <c r="G953" s="1" t="s">
        <v>6445</v>
      </c>
    </row>
    <row r="954" spans="1:7">
      <c r="A954" s="1">
        <v>2311</v>
      </c>
      <c r="B954" s="1" t="s">
        <v>6920</v>
      </c>
      <c r="D954" s="1" t="s">
        <v>2721</v>
      </c>
      <c r="E954" s="1" t="s">
        <v>6921</v>
      </c>
      <c r="F954" s="1" t="s">
        <v>6448</v>
      </c>
      <c r="G954" s="1" t="s">
        <v>6449</v>
      </c>
    </row>
    <row r="955" spans="1:7">
      <c r="A955" s="1">
        <v>2312</v>
      </c>
      <c r="B955" s="1" t="s">
        <v>6922</v>
      </c>
      <c r="D955" s="1" t="s">
        <v>2721</v>
      </c>
      <c r="E955" s="1" t="s">
        <v>6923</v>
      </c>
      <c r="F955" s="1" t="s">
        <v>6452</v>
      </c>
      <c r="G955" s="1" t="s">
        <v>6453</v>
      </c>
    </row>
    <row r="956" spans="1:7">
      <c r="A956" s="1">
        <v>2313</v>
      </c>
      <c r="B956" s="1" t="s">
        <v>6924</v>
      </c>
      <c r="D956" s="1" t="s">
        <v>2721</v>
      </c>
      <c r="E956" s="1" t="s">
        <v>6925</v>
      </c>
      <c r="F956" s="1" t="s">
        <v>6456</v>
      </c>
      <c r="G956" s="1" t="s">
        <v>6457</v>
      </c>
    </row>
    <row r="957" spans="1:7">
      <c r="A957" s="1">
        <v>2315</v>
      </c>
      <c r="B957" s="1" t="s">
        <v>6926</v>
      </c>
      <c r="D957" s="1" t="s">
        <v>2721</v>
      </c>
      <c r="E957" s="1" t="s">
        <v>2722</v>
      </c>
      <c r="F957" s="1" t="s">
        <v>6459</v>
      </c>
      <c r="G957" s="1" t="s">
        <v>6460</v>
      </c>
    </row>
    <row r="958" spans="1:7">
      <c r="A958" s="1">
        <v>2316</v>
      </c>
      <c r="B958" s="1" t="s">
        <v>6927</v>
      </c>
      <c r="D958" s="1" t="s">
        <v>2721</v>
      </c>
      <c r="E958" s="1" t="s">
        <v>2736</v>
      </c>
      <c r="F958" s="1" t="s">
        <v>6462</v>
      </c>
      <c r="G958" s="1" t="s">
        <v>6463</v>
      </c>
    </row>
    <row r="959" spans="1:7">
      <c r="A959" s="1">
        <v>2317</v>
      </c>
      <c r="B959" s="1" t="s">
        <v>6928</v>
      </c>
      <c r="D959" s="1" t="s">
        <v>2721</v>
      </c>
      <c r="E959" s="1" t="s">
        <v>2738</v>
      </c>
      <c r="F959" s="1" t="s">
        <v>6465</v>
      </c>
      <c r="G959" s="1" t="s">
        <v>6466</v>
      </c>
    </row>
    <row r="960" spans="1:7">
      <c r="A960" s="1">
        <v>2318</v>
      </c>
      <c r="B960" s="1" t="s">
        <v>6929</v>
      </c>
      <c r="D960" s="1" t="s">
        <v>2752</v>
      </c>
      <c r="E960" s="1" t="s">
        <v>2775</v>
      </c>
      <c r="F960" s="1" t="s">
        <v>6419</v>
      </c>
      <c r="G960" s="1" t="s">
        <v>6420</v>
      </c>
    </row>
    <row r="961" spans="1:7">
      <c r="A961" s="1">
        <v>2319</v>
      </c>
      <c r="B961" s="1" t="s">
        <v>6930</v>
      </c>
      <c r="D961" s="1" t="s">
        <v>2752</v>
      </c>
      <c r="E961" s="1" t="s">
        <v>2777</v>
      </c>
      <c r="F961" s="1" t="s">
        <v>6422</v>
      </c>
      <c r="G961" s="1" t="s">
        <v>6423</v>
      </c>
    </row>
    <row r="962" spans="1:7">
      <c r="A962" s="1">
        <v>2320</v>
      </c>
      <c r="B962" s="1" t="s">
        <v>6931</v>
      </c>
      <c r="D962" s="1" t="s">
        <v>2752</v>
      </c>
      <c r="E962" s="1" t="s">
        <v>2779</v>
      </c>
      <c r="F962" s="1" t="s">
        <v>6425</v>
      </c>
      <c r="G962" s="1" t="s">
        <v>6420</v>
      </c>
    </row>
    <row r="963" spans="1:7">
      <c r="A963" s="1">
        <v>2321</v>
      </c>
      <c r="B963" s="1" t="s">
        <v>6932</v>
      </c>
      <c r="D963" s="1" t="s">
        <v>2752</v>
      </c>
      <c r="E963" s="1" t="s">
        <v>2781</v>
      </c>
      <c r="F963" s="1" t="s">
        <v>6427</v>
      </c>
      <c r="G963" s="1" t="s">
        <v>6423</v>
      </c>
    </row>
    <row r="964" spans="1:7">
      <c r="A964" s="1">
        <v>2322</v>
      </c>
      <c r="B964" s="1" t="s">
        <v>6933</v>
      </c>
      <c r="D964" s="1" t="s">
        <v>2752</v>
      </c>
      <c r="E964" s="1" t="s">
        <v>2773</v>
      </c>
      <c r="F964" s="1" t="s">
        <v>6429</v>
      </c>
      <c r="G964" s="1" t="s">
        <v>6430</v>
      </c>
    </row>
    <row r="965" spans="1:7">
      <c r="A965" s="1">
        <v>2323</v>
      </c>
      <c r="B965" s="1" t="s">
        <v>6934</v>
      </c>
      <c r="D965" s="1" t="s">
        <v>2752</v>
      </c>
      <c r="E965" s="1" t="s">
        <v>2771</v>
      </c>
      <c r="F965" s="1" t="s">
        <v>6432</v>
      </c>
      <c r="G965" s="1" t="s">
        <v>6433</v>
      </c>
    </row>
    <row r="966" spans="1:7">
      <c r="A966" s="1">
        <v>2326</v>
      </c>
      <c r="B966" s="1" t="s">
        <v>6935</v>
      </c>
      <c r="D966" s="1" t="s">
        <v>2752</v>
      </c>
      <c r="E966" s="1" t="s">
        <v>6936</v>
      </c>
      <c r="F966" s="1" t="s">
        <v>6436</v>
      </c>
      <c r="G966" s="1" t="s">
        <v>6437</v>
      </c>
    </row>
    <row r="967" spans="1:7">
      <c r="A967" s="1">
        <v>2327</v>
      </c>
      <c r="B967" s="1" t="s">
        <v>6937</v>
      </c>
      <c r="D967" s="1" t="s">
        <v>2752</v>
      </c>
      <c r="E967" s="1" t="s">
        <v>6938</v>
      </c>
      <c r="F967" s="1" t="s">
        <v>6440</v>
      </c>
      <c r="G967" s="1" t="s">
        <v>6441</v>
      </c>
    </row>
    <row r="968" spans="1:7">
      <c r="A968" s="1">
        <v>2328</v>
      </c>
      <c r="B968" s="1" t="s">
        <v>6939</v>
      </c>
      <c r="D968" s="1" t="s">
        <v>2752</v>
      </c>
      <c r="E968" s="1" t="s">
        <v>6940</v>
      </c>
      <c r="F968" s="1" t="s">
        <v>6444</v>
      </c>
      <c r="G968" s="1" t="s">
        <v>6445</v>
      </c>
    </row>
    <row r="969" spans="1:7">
      <c r="A969" s="1">
        <v>2329</v>
      </c>
      <c r="B969" s="1" t="s">
        <v>6941</v>
      </c>
      <c r="D969" s="1" t="s">
        <v>2752</v>
      </c>
      <c r="E969" s="1" t="s">
        <v>6942</v>
      </c>
      <c r="F969" s="1" t="s">
        <v>6448</v>
      </c>
      <c r="G969" s="1" t="s">
        <v>6449</v>
      </c>
    </row>
    <row r="970" spans="1:7">
      <c r="A970" s="1">
        <v>2330</v>
      </c>
      <c r="B970" s="1" t="s">
        <v>6943</v>
      </c>
      <c r="D970" s="1" t="s">
        <v>2752</v>
      </c>
      <c r="E970" s="1" t="s">
        <v>6944</v>
      </c>
      <c r="F970" s="1" t="s">
        <v>6452</v>
      </c>
      <c r="G970" s="1" t="s">
        <v>6453</v>
      </c>
    </row>
    <row r="971" spans="1:7">
      <c r="A971" s="1">
        <v>2331</v>
      </c>
      <c r="B971" s="1" t="s">
        <v>6945</v>
      </c>
      <c r="D971" s="1" t="s">
        <v>2752</v>
      </c>
      <c r="E971" s="1" t="s">
        <v>6946</v>
      </c>
      <c r="F971" s="1" t="s">
        <v>6456</v>
      </c>
      <c r="G971" s="1" t="s">
        <v>6457</v>
      </c>
    </row>
    <row r="972" spans="1:7">
      <c r="A972" s="1">
        <v>2333</v>
      </c>
      <c r="B972" s="1" t="s">
        <v>6947</v>
      </c>
      <c r="D972" s="1" t="s">
        <v>2752</v>
      </c>
      <c r="E972" s="1" t="s">
        <v>2753</v>
      </c>
      <c r="F972" s="1" t="s">
        <v>6459</v>
      </c>
      <c r="G972" s="1" t="s">
        <v>6460</v>
      </c>
    </row>
    <row r="973" spans="1:7">
      <c r="A973" s="1">
        <v>2334</v>
      </c>
      <c r="B973" s="1" t="s">
        <v>6948</v>
      </c>
      <c r="D973" s="1" t="s">
        <v>2752</v>
      </c>
      <c r="E973" s="1" t="s">
        <v>2767</v>
      </c>
      <c r="F973" s="1" t="s">
        <v>6462</v>
      </c>
      <c r="G973" s="1" t="s">
        <v>6463</v>
      </c>
    </row>
    <row r="974" spans="1:7">
      <c r="A974" s="1">
        <v>2335</v>
      </c>
      <c r="B974" s="1" t="s">
        <v>6949</v>
      </c>
      <c r="D974" s="1" t="s">
        <v>2752</v>
      </c>
      <c r="E974" s="1" t="s">
        <v>2769</v>
      </c>
      <c r="F974" s="1" t="s">
        <v>6465</v>
      </c>
      <c r="G974" s="1" t="s">
        <v>6466</v>
      </c>
    </row>
    <row r="975" spans="1:7">
      <c r="A975" s="1">
        <v>2336</v>
      </c>
      <c r="B975" s="1" t="s">
        <v>6950</v>
      </c>
      <c r="D975" s="1" t="s">
        <v>2783</v>
      </c>
      <c r="E975" s="1" t="s">
        <v>2806</v>
      </c>
      <c r="F975" s="1" t="s">
        <v>6419</v>
      </c>
      <c r="G975" s="1" t="s">
        <v>6420</v>
      </c>
    </row>
    <row r="976" spans="1:7">
      <c r="A976" s="1">
        <v>2337</v>
      </c>
      <c r="B976" s="1" t="s">
        <v>6951</v>
      </c>
      <c r="D976" s="1" t="s">
        <v>2783</v>
      </c>
      <c r="E976" s="1" t="s">
        <v>2808</v>
      </c>
      <c r="F976" s="1" t="s">
        <v>6422</v>
      </c>
      <c r="G976" s="1" t="s">
        <v>6423</v>
      </c>
    </row>
    <row r="977" spans="1:7">
      <c r="A977" s="1">
        <v>2338</v>
      </c>
      <c r="B977" s="1" t="s">
        <v>6952</v>
      </c>
      <c r="D977" s="1" t="s">
        <v>2783</v>
      </c>
      <c r="E977" s="1" t="s">
        <v>2810</v>
      </c>
      <c r="F977" s="1" t="s">
        <v>6425</v>
      </c>
      <c r="G977" s="1" t="s">
        <v>6420</v>
      </c>
    </row>
    <row r="978" spans="1:7">
      <c r="A978" s="1">
        <v>2339</v>
      </c>
      <c r="B978" s="1" t="s">
        <v>6953</v>
      </c>
      <c r="D978" s="1" t="s">
        <v>2783</v>
      </c>
      <c r="E978" s="1" t="s">
        <v>2812</v>
      </c>
      <c r="F978" s="1" t="s">
        <v>6427</v>
      </c>
      <c r="G978" s="1" t="s">
        <v>6423</v>
      </c>
    </row>
    <row r="979" spans="1:7">
      <c r="A979" s="1">
        <v>2340</v>
      </c>
      <c r="B979" s="1" t="s">
        <v>6954</v>
      </c>
      <c r="D979" s="1" t="s">
        <v>2783</v>
      </c>
      <c r="E979" s="1" t="s">
        <v>2804</v>
      </c>
      <c r="F979" s="1" t="s">
        <v>6429</v>
      </c>
      <c r="G979" s="1" t="s">
        <v>6430</v>
      </c>
    </row>
    <row r="980" spans="1:7">
      <c r="A980" s="1">
        <v>2341</v>
      </c>
      <c r="B980" s="1" t="s">
        <v>6955</v>
      </c>
      <c r="D980" s="1" t="s">
        <v>2783</v>
      </c>
      <c r="E980" s="1" t="s">
        <v>2802</v>
      </c>
      <c r="F980" s="1" t="s">
        <v>6432</v>
      </c>
      <c r="G980" s="1" t="s">
        <v>6433</v>
      </c>
    </row>
    <row r="981" spans="1:7">
      <c r="A981" s="1">
        <v>2344</v>
      </c>
      <c r="B981" s="1" t="s">
        <v>6956</v>
      </c>
      <c r="D981" s="1" t="s">
        <v>2783</v>
      </c>
      <c r="E981" s="1" t="s">
        <v>6957</v>
      </c>
      <c r="F981" s="1" t="s">
        <v>6436</v>
      </c>
      <c r="G981" s="1" t="s">
        <v>6437</v>
      </c>
    </row>
    <row r="982" spans="1:7">
      <c r="A982" s="1">
        <v>2345</v>
      </c>
      <c r="B982" s="1" t="s">
        <v>6958</v>
      </c>
      <c r="D982" s="1" t="s">
        <v>2783</v>
      </c>
      <c r="E982" s="1" t="s">
        <v>6959</v>
      </c>
      <c r="F982" s="1" t="s">
        <v>6440</v>
      </c>
      <c r="G982" s="1" t="s">
        <v>6441</v>
      </c>
    </row>
    <row r="983" spans="1:7">
      <c r="A983" s="1">
        <v>2346</v>
      </c>
      <c r="B983" s="1" t="s">
        <v>6960</v>
      </c>
      <c r="D983" s="1" t="s">
        <v>2783</v>
      </c>
      <c r="E983" s="1" t="s">
        <v>6961</v>
      </c>
      <c r="F983" s="1" t="s">
        <v>6444</v>
      </c>
      <c r="G983" s="1" t="s">
        <v>6445</v>
      </c>
    </row>
    <row r="984" spans="1:7">
      <c r="A984" s="1">
        <v>2347</v>
      </c>
      <c r="B984" s="1" t="s">
        <v>6962</v>
      </c>
      <c r="D984" s="1" t="s">
        <v>2783</v>
      </c>
      <c r="E984" s="1" t="s">
        <v>6963</v>
      </c>
      <c r="F984" s="1" t="s">
        <v>6448</v>
      </c>
      <c r="G984" s="1" t="s">
        <v>6449</v>
      </c>
    </row>
    <row r="985" spans="1:7">
      <c r="A985" s="1">
        <v>2348</v>
      </c>
      <c r="B985" s="1" t="s">
        <v>6964</v>
      </c>
      <c r="D985" s="1" t="s">
        <v>2783</v>
      </c>
      <c r="E985" s="1" t="s">
        <v>6965</v>
      </c>
      <c r="F985" s="1" t="s">
        <v>6452</v>
      </c>
      <c r="G985" s="1" t="s">
        <v>6453</v>
      </c>
    </row>
    <row r="986" spans="1:7">
      <c r="A986" s="1">
        <v>2349</v>
      </c>
      <c r="B986" s="1" t="s">
        <v>6966</v>
      </c>
      <c r="D986" s="1" t="s">
        <v>2783</v>
      </c>
      <c r="E986" s="1" t="s">
        <v>6967</v>
      </c>
      <c r="F986" s="1" t="s">
        <v>6456</v>
      </c>
      <c r="G986" s="1" t="s">
        <v>6457</v>
      </c>
    </row>
    <row r="987" spans="1:7">
      <c r="A987" s="1">
        <v>2351</v>
      </c>
      <c r="B987" s="1" t="s">
        <v>6968</v>
      </c>
      <c r="D987" s="1" t="s">
        <v>2783</v>
      </c>
      <c r="E987" s="1" t="s">
        <v>2784</v>
      </c>
      <c r="F987" s="1" t="s">
        <v>6459</v>
      </c>
      <c r="G987" s="1" t="s">
        <v>6460</v>
      </c>
    </row>
    <row r="988" spans="1:7">
      <c r="A988" s="1">
        <v>2352</v>
      </c>
      <c r="B988" s="1" t="s">
        <v>6969</v>
      </c>
      <c r="D988" s="1" t="s">
        <v>2783</v>
      </c>
      <c r="E988" s="1" t="s">
        <v>2798</v>
      </c>
      <c r="F988" s="1" t="s">
        <v>6462</v>
      </c>
      <c r="G988" s="1" t="s">
        <v>6463</v>
      </c>
    </row>
    <row r="989" spans="1:7">
      <c r="A989" s="1">
        <v>2353</v>
      </c>
      <c r="B989" s="1" t="s">
        <v>6970</v>
      </c>
      <c r="D989" s="1" t="s">
        <v>2783</v>
      </c>
      <c r="E989" s="1" t="s">
        <v>2800</v>
      </c>
      <c r="F989" s="1" t="s">
        <v>6465</v>
      </c>
      <c r="G989" s="1" t="s">
        <v>6466</v>
      </c>
    </row>
    <row r="990" spans="1:7">
      <c r="A990" s="1">
        <v>2354</v>
      </c>
      <c r="B990" s="1" t="s">
        <v>6971</v>
      </c>
      <c r="D990" s="1" t="s">
        <v>2814</v>
      </c>
      <c r="E990" s="1" t="s">
        <v>2837</v>
      </c>
      <c r="F990" s="1" t="s">
        <v>6419</v>
      </c>
      <c r="G990" s="1" t="s">
        <v>6420</v>
      </c>
    </row>
    <row r="991" spans="1:7">
      <c r="A991" s="1">
        <v>2355</v>
      </c>
      <c r="B991" s="1" t="s">
        <v>6972</v>
      </c>
      <c r="D991" s="1" t="s">
        <v>2814</v>
      </c>
      <c r="E991" s="1" t="s">
        <v>2839</v>
      </c>
      <c r="F991" s="1" t="s">
        <v>6422</v>
      </c>
      <c r="G991" s="1" t="s">
        <v>6423</v>
      </c>
    </row>
    <row r="992" spans="1:7">
      <c r="A992" s="1">
        <v>2356</v>
      </c>
      <c r="B992" s="1" t="s">
        <v>6973</v>
      </c>
      <c r="D992" s="1" t="s">
        <v>2814</v>
      </c>
      <c r="E992" s="1" t="s">
        <v>2841</v>
      </c>
      <c r="F992" s="1" t="s">
        <v>6425</v>
      </c>
      <c r="G992" s="1" t="s">
        <v>6420</v>
      </c>
    </row>
    <row r="993" spans="1:7">
      <c r="A993" s="1">
        <v>2357</v>
      </c>
      <c r="B993" s="1" t="s">
        <v>6974</v>
      </c>
      <c r="D993" s="1" t="s">
        <v>2814</v>
      </c>
      <c r="E993" s="1" t="s">
        <v>2843</v>
      </c>
      <c r="F993" s="1" t="s">
        <v>6427</v>
      </c>
      <c r="G993" s="1" t="s">
        <v>6423</v>
      </c>
    </row>
    <row r="994" spans="1:7">
      <c r="A994" s="1">
        <v>2358</v>
      </c>
      <c r="B994" s="1" t="s">
        <v>6975</v>
      </c>
      <c r="D994" s="1" t="s">
        <v>2814</v>
      </c>
      <c r="E994" s="1" t="s">
        <v>2835</v>
      </c>
      <c r="F994" s="1" t="s">
        <v>6429</v>
      </c>
      <c r="G994" s="1" t="s">
        <v>6430</v>
      </c>
    </row>
    <row r="995" spans="1:7">
      <c r="A995" s="1">
        <v>2359</v>
      </c>
      <c r="B995" s="1" t="s">
        <v>6976</v>
      </c>
      <c r="D995" s="1" t="s">
        <v>2814</v>
      </c>
      <c r="E995" s="1" t="s">
        <v>2833</v>
      </c>
      <c r="F995" s="1" t="s">
        <v>6432</v>
      </c>
      <c r="G995" s="1" t="s">
        <v>6433</v>
      </c>
    </row>
    <row r="996" spans="1:7">
      <c r="A996" s="1">
        <v>2362</v>
      </c>
      <c r="B996" s="1" t="s">
        <v>6977</v>
      </c>
      <c r="D996" s="1" t="s">
        <v>2814</v>
      </c>
      <c r="E996" s="1" t="s">
        <v>6978</v>
      </c>
      <c r="F996" s="1" t="s">
        <v>6436</v>
      </c>
      <c r="G996" s="1" t="s">
        <v>6437</v>
      </c>
    </row>
    <row r="997" spans="1:7">
      <c r="A997" s="1">
        <v>2363</v>
      </c>
      <c r="B997" s="1" t="s">
        <v>6979</v>
      </c>
      <c r="D997" s="1" t="s">
        <v>2814</v>
      </c>
      <c r="E997" s="1" t="s">
        <v>6980</v>
      </c>
      <c r="F997" s="1" t="s">
        <v>6440</v>
      </c>
      <c r="G997" s="1" t="s">
        <v>6441</v>
      </c>
    </row>
    <row r="998" spans="1:7">
      <c r="A998" s="1">
        <v>2364</v>
      </c>
      <c r="B998" s="1" t="s">
        <v>6981</v>
      </c>
      <c r="D998" s="1" t="s">
        <v>2814</v>
      </c>
      <c r="E998" s="1" t="s">
        <v>6982</v>
      </c>
      <c r="F998" s="1" t="s">
        <v>6444</v>
      </c>
      <c r="G998" s="1" t="s">
        <v>6445</v>
      </c>
    </row>
    <row r="999" spans="1:7">
      <c r="A999" s="1">
        <v>2365</v>
      </c>
      <c r="B999" s="1" t="s">
        <v>6983</v>
      </c>
      <c r="D999" s="1" t="s">
        <v>2814</v>
      </c>
      <c r="E999" s="1" t="s">
        <v>6984</v>
      </c>
      <c r="F999" s="1" t="s">
        <v>6448</v>
      </c>
      <c r="G999" s="1" t="s">
        <v>6449</v>
      </c>
    </row>
    <row r="1000" spans="1:7">
      <c r="A1000" s="1">
        <v>2366</v>
      </c>
      <c r="B1000" s="1" t="s">
        <v>6985</v>
      </c>
      <c r="D1000" s="1" t="s">
        <v>2814</v>
      </c>
      <c r="E1000" s="1" t="s">
        <v>6986</v>
      </c>
      <c r="F1000" s="1" t="s">
        <v>6452</v>
      </c>
      <c r="G1000" s="1" t="s">
        <v>6453</v>
      </c>
    </row>
    <row r="1001" spans="1:7">
      <c r="A1001" s="1">
        <v>2367</v>
      </c>
      <c r="B1001" s="1" t="s">
        <v>6987</v>
      </c>
      <c r="D1001" s="1" t="s">
        <v>2814</v>
      </c>
      <c r="E1001" s="1" t="s">
        <v>6988</v>
      </c>
      <c r="F1001" s="1" t="s">
        <v>6456</v>
      </c>
      <c r="G1001" s="1" t="s">
        <v>6457</v>
      </c>
    </row>
    <row r="1002" spans="1:7">
      <c r="A1002" s="1">
        <v>2369</v>
      </c>
      <c r="B1002" s="1" t="s">
        <v>6989</v>
      </c>
      <c r="D1002" s="1" t="s">
        <v>2814</v>
      </c>
      <c r="E1002" s="1" t="s">
        <v>2815</v>
      </c>
      <c r="F1002" s="1" t="s">
        <v>6459</v>
      </c>
      <c r="G1002" s="1" t="s">
        <v>6460</v>
      </c>
    </row>
    <row r="1003" spans="1:7">
      <c r="A1003" s="1">
        <v>2370</v>
      </c>
      <c r="B1003" s="1" t="s">
        <v>6990</v>
      </c>
      <c r="D1003" s="1" t="s">
        <v>2814</v>
      </c>
      <c r="E1003" s="1" t="s">
        <v>2829</v>
      </c>
      <c r="F1003" s="1" t="s">
        <v>6462</v>
      </c>
      <c r="G1003" s="1" t="s">
        <v>6463</v>
      </c>
    </row>
    <row r="1004" spans="1:7">
      <c r="A1004" s="1">
        <v>2371</v>
      </c>
      <c r="B1004" s="1" t="s">
        <v>6991</v>
      </c>
      <c r="D1004" s="1" t="s">
        <v>2814</v>
      </c>
      <c r="E1004" s="1" t="s">
        <v>2831</v>
      </c>
      <c r="F1004" s="1" t="s">
        <v>6465</v>
      </c>
      <c r="G1004" s="1" t="s">
        <v>6466</v>
      </c>
    </row>
    <row r="1005" spans="1:7">
      <c r="A1005" s="1">
        <v>2372</v>
      </c>
      <c r="B1005" s="1" t="s">
        <v>6992</v>
      </c>
      <c r="D1005" s="1" t="s">
        <v>2845</v>
      </c>
      <c r="E1005" s="1" t="s">
        <v>2868</v>
      </c>
      <c r="F1005" s="1" t="s">
        <v>6419</v>
      </c>
      <c r="G1005" s="1" t="s">
        <v>6420</v>
      </c>
    </row>
    <row r="1006" spans="1:7">
      <c r="A1006" s="1">
        <v>2373</v>
      </c>
      <c r="B1006" s="1" t="s">
        <v>6993</v>
      </c>
      <c r="D1006" s="1" t="s">
        <v>2845</v>
      </c>
      <c r="E1006" s="1" t="s">
        <v>2870</v>
      </c>
      <c r="F1006" s="1" t="s">
        <v>6422</v>
      </c>
      <c r="G1006" s="1" t="s">
        <v>6423</v>
      </c>
    </row>
    <row r="1007" spans="1:7">
      <c r="A1007" s="1">
        <v>2374</v>
      </c>
      <c r="B1007" s="1" t="s">
        <v>6994</v>
      </c>
      <c r="D1007" s="1" t="s">
        <v>2845</v>
      </c>
      <c r="E1007" s="1" t="s">
        <v>2872</v>
      </c>
      <c r="F1007" s="1" t="s">
        <v>6425</v>
      </c>
      <c r="G1007" s="1" t="s">
        <v>6420</v>
      </c>
    </row>
    <row r="1008" spans="1:7">
      <c r="A1008" s="1">
        <v>2375</v>
      </c>
      <c r="B1008" s="1" t="s">
        <v>6995</v>
      </c>
      <c r="D1008" s="1" t="s">
        <v>2845</v>
      </c>
      <c r="E1008" s="1" t="s">
        <v>2874</v>
      </c>
      <c r="F1008" s="1" t="s">
        <v>6427</v>
      </c>
      <c r="G1008" s="1" t="s">
        <v>6423</v>
      </c>
    </row>
    <row r="1009" spans="1:7">
      <c r="A1009" s="1">
        <v>2376</v>
      </c>
      <c r="B1009" s="1" t="s">
        <v>6996</v>
      </c>
      <c r="D1009" s="1" t="s">
        <v>2845</v>
      </c>
      <c r="E1009" s="1" t="s">
        <v>2866</v>
      </c>
      <c r="F1009" s="1" t="s">
        <v>6429</v>
      </c>
      <c r="G1009" s="1" t="s">
        <v>6430</v>
      </c>
    </row>
    <row r="1010" spans="1:7">
      <c r="A1010" s="1">
        <v>2377</v>
      </c>
      <c r="B1010" s="1" t="s">
        <v>6997</v>
      </c>
      <c r="D1010" s="1" t="s">
        <v>2845</v>
      </c>
      <c r="E1010" s="1" t="s">
        <v>2864</v>
      </c>
      <c r="F1010" s="1" t="s">
        <v>6432</v>
      </c>
      <c r="G1010" s="1" t="s">
        <v>6433</v>
      </c>
    </row>
    <row r="1011" spans="1:7">
      <c r="A1011" s="1">
        <v>2380</v>
      </c>
      <c r="B1011" s="1" t="s">
        <v>6998</v>
      </c>
      <c r="D1011" s="1" t="s">
        <v>2845</v>
      </c>
      <c r="E1011" s="1" t="s">
        <v>6999</v>
      </c>
      <c r="F1011" s="1" t="s">
        <v>6436</v>
      </c>
      <c r="G1011" s="1" t="s">
        <v>6437</v>
      </c>
    </row>
    <row r="1012" spans="1:7">
      <c r="A1012" s="1">
        <v>2381</v>
      </c>
      <c r="B1012" s="1" t="s">
        <v>7000</v>
      </c>
      <c r="D1012" s="1" t="s">
        <v>2845</v>
      </c>
      <c r="E1012" s="1" t="s">
        <v>7001</v>
      </c>
      <c r="F1012" s="1" t="s">
        <v>6440</v>
      </c>
      <c r="G1012" s="1" t="s">
        <v>6441</v>
      </c>
    </row>
    <row r="1013" spans="1:7">
      <c r="A1013" s="1">
        <v>2382</v>
      </c>
      <c r="B1013" s="1" t="s">
        <v>7002</v>
      </c>
      <c r="D1013" s="1" t="s">
        <v>2845</v>
      </c>
      <c r="E1013" s="1" t="s">
        <v>7003</v>
      </c>
      <c r="F1013" s="1" t="s">
        <v>6444</v>
      </c>
      <c r="G1013" s="1" t="s">
        <v>6445</v>
      </c>
    </row>
    <row r="1014" spans="1:7">
      <c r="A1014" s="1">
        <v>2383</v>
      </c>
      <c r="B1014" s="1" t="s">
        <v>7004</v>
      </c>
      <c r="D1014" s="1" t="s">
        <v>2845</v>
      </c>
      <c r="E1014" s="1" t="s">
        <v>7005</v>
      </c>
      <c r="F1014" s="1" t="s">
        <v>6448</v>
      </c>
      <c r="G1014" s="1" t="s">
        <v>6449</v>
      </c>
    </row>
    <row r="1015" spans="1:7">
      <c r="A1015" s="1">
        <v>2384</v>
      </c>
      <c r="B1015" s="1" t="s">
        <v>7006</v>
      </c>
      <c r="D1015" s="1" t="s">
        <v>2845</v>
      </c>
      <c r="E1015" s="1" t="s">
        <v>7007</v>
      </c>
      <c r="F1015" s="1" t="s">
        <v>6452</v>
      </c>
      <c r="G1015" s="1" t="s">
        <v>6453</v>
      </c>
    </row>
    <row r="1016" spans="1:7">
      <c r="A1016" s="1">
        <v>2385</v>
      </c>
      <c r="B1016" s="1" t="s">
        <v>7008</v>
      </c>
      <c r="D1016" s="1" t="s">
        <v>2845</v>
      </c>
      <c r="E1016" s="1" t="s">
        <v>7009</v>
      </c>
      <c r="F1016" s="1" t="s">
        <v>6456</v>
      </c>
      <c r="G1016" s="1" t="s">
        <v>6457</v>
      </c>
    </row>
    <row r="1017" spans="1:7">
      <c r="A1017" s="1">
        <v>2387</v>
      </c>
      <c r="B1017" s="1" t="s">
        <v>7010</v>
      </c>
      <c r="D1017" s="1" t="s">
        <v>2845</v>
      </c>
      <c r="E1017" s="1" t="s">
        <v>2846</v>
      </c>
      <c r="F1017" s="1" t="s">
        <v>6459</v>
      </c>
      <c r="G1017" s="1" t="s">
        <v>6460</v>
      </c>
    </row>
    <row r="1018" spans="1:7">
      <c r="A1018" s="1">
        <v>2388</v>
      </c>
      <c r="B1018" s="1" t="s">
        <v>7011</v>
      </c>
      <c r="D1018" s="1" t="s">
        <v>2845</v>
      </c>
      <c r="E1018" s="1" t="s">
        <v>2860</v>
      </c>
      <c r="F1018" s="1" t="s">
        <v>6462</v>
      </c>
      <c r="G1018" s="1" t="s">
        <v>6463</v>
      </c>
    </row>
    <row r="1019" spans="1:7">
      <c r="A1019" s="1">
        <v>2389</v>
      </c>
      <c r="B1019" s="1" t="s">
        <v>7012</v>
      </c>
      <c r="D1019" s="1" t="s">
        <v>2845</v>
      </c>
      <c r="E1019" s="1" t="s">
        <v>2862</v>
      </c>
      <c r="F1019" s="1" t="s">
        <v>6465</v>
      </c>
      <c r="G1019" s="1" t="s">
        <v>6466</v>
      </c>
    </row>
    <row r="1020" spans="1:7">
      <c r="A1020" s="1">
        <v>2390</v>
      </c>
      <c r="B1020" s="1" t="s">
        <v>7013</v>
      </c>
      <c r="D1020" s="1" t="s">
        <v>2876</v>
      </c>
      <c r="E1020" s="1" t="s">
        <v>2899</v>
      </c>
      <c r="F1020" s="1" t="s">
        <v>6419</v>
      </c>
      <c r="G1020" s="1" t="s">
        <v>6420</v>
      </c>
    </row>
    <row r="1021" spans="1:7">
      <c r="A1021" s="1">
        <v>2391</v>
      </c>
      <c r="B1021" s="1" t="s">
        <v>7014</v>
      </c>
      <c r="D1021" s="1" t="s">
        <v>2876</v>
      </c>
      <c r="E1021" s="1" t="s">
        <v>2901</v>
      </c>
      <c r="F1021" s="1" t="s">
        <v>6422</v>
      </c>
      <c r="G1021" s="1" t="s">
        <v>6423</v>
      </c>
    </row>
    <row r="1022" spans="1:7">
      <c r="A1022" s="1">
        <v>2392</v>
      </c>
      <c r="B1022" s="1" t="s">
        <v>7015</v>
      </c>
      <c r="D1022" s="1" t="s">
        <v>2876</v>
      </c>
      <c r="E1022" s="1" t="s">
        <v>2903</v>
      </c>
      <c r="F1022" s="1" t="s">
        <v>6425</v>
      </c>
      <c r="G1022" s="1" t="s">
        <v>6420</v>
      </c>
    </row>
    <row r="1023" spans="1:7">
      <c r="A1023" s="1">
        <v>2393</v>
      </c>
      <c r="B1023" s="1" t="s">
        <v>7016</v>
      </c>
      <c r="D1023" s="1" t="s">
        <v>2876</v>
      </c>
      <c r="E1023" s="1" t="s">
        <v>2905</v>
      </c>
      <c r="F1023" s="1" t="s">
        <v>6427</v>
      </c>
      <c r="G1023" s="1" t="s">
        <v>6423</v>
      </c>
    </row>
    <row r="1024" spans="1:7">
      <c r="A1024" s="1">
        <v>2394</v>
      </c>
      <c r="B1024" s="1" t="s">
        <v>7017</v>
      </c>
      <c r="D1024" s="1" t="s">
        <v>2876</v>
      </c>
      <c r="E1024" s="1" t="s">
        <v>2897</v>
      </c>
      <c r="F1024" s="1" t="s">
        <v>6429</v>
      </c>
      <c r="G1024" s="1" t="s">
        <v>6430</v>
      </c>
    </row>
    <row r="1025" spans="1:7">
      <c r="A1025" s="1">
        <v>2395</v>
      </c>
      <c r="B1025" s="1" t="s">
        <v>7018</v>
      </c>
      <c r="D1025" s="1" t="s">
        <v>2876</v>
      </c>
      <c r="E1025" s="1" t="s">
        <v>2895</v>
      </c>
      <c r="F1025" s="1" t="s">
        <v>6432</v>
      </c>
      <c r="G1025" s="1" t="s">
        <v>6433</v>
      </c>
    </row>
    <row r="1026" spans="1:7">
      <c r="A1026" s="1">
        <v>2398</v>
      </c>
      <c r="B1026" s="1" t="s">
        <v>7019</v>
      </c>
      <c r="D1026" s="1" t="s">
        <v>2876</v>
      </c>
      <c r="E1026" s="1" t="s">
        <v>7020</v>
      </c>
      <c r="F1026" s="1" t="s">
        <v>6436</v>
      </c>
      <c r="G1026" s="1" t="s">
        <v>6437</v>
      </c>
    </row>
    <row r="1027" spans="1:7">
      <c r="A1027" s="1">
        <v>2399</v>
      </c>
      <c r="B1027" s="1" t="s">
        <v>7021</v>
      </c>
      <c r="D1027" s="1" t="s">
        <v>2876</v>
      </c>
      <c r="E1027" s="1" t="s">
        <v>7022</v>
      </c>
      <c r="F1027" s="1" t="s">
        <v>6440</v>
      </c>
      <c r="G1027" s="1" t="s">
        <v>6441</v>
      </c>
    </row>
    <row r="1028" spans="1:7">
      <c r="A1028" s="1">
        <v>2400</v>
      </c>
      <c r="B1028" s="1" t="s">
        <v>7023</v>
      </c>
      <c r="D1028" s="1" t="s">
        <v>2876</v>
      </c>
      <c r="E1028" s="1" t="s">
        <v>7024</v>
      </c>
      <c r="F1028" s="1" t="s">
        <v>6444</v>
      </c>
      <c r="G1028" s="1" t="s">
        <v>6445</v>
      </c>
    </row>
    <row r="1029" spans="1:7">
      <c r="A1029" s="1">
        <v>2401</v>
      </c>
      <c r="B1029" s="1" t="s">
        <v>7025</v>
      </c>
      <c r="D1029" s="1" t="s">
        <v>2876</v>
      </c>
      <c r="E1029" s="1" t="s">
        <v>7026</v>
      </c>
      <c r="F1029" s="1" t="s">
        <v>6448</v>
      </c>
      <c r="G1029" s="1" t="s">
        <v>6449</v>
      </c>
    </row>
    <row r="1030" spans="1:7">
      <c r="A1030" s="1">
        <v>2402</v>
      </c>
      <c r="B1030" s="1" t="s">
        <v>7027</v>
      </c>
      <c r="D1030" s="1" t="s">
        <v>2876</v>
      </c>
      <c r="E1030" s="1" t="s">
        <v>7028</v>
      </c>
      <c r="F1030" s="1" t="s">
        <v>6452</v>
      </c>
      <c r="G1030" s="1" t="s">
        <v>6453</v>
      </c>
    </row>
    <row r="1031" spans="1:7">
      <c r="A1031" s="1">
        <v>2403</v>
      </c>
      <c r="B1031" s="1" t="s">
        <v>7029</v>
      </c>
      <c r="D1031" s="1" t="s">
        <v>2876</v>
      </c>
      <c r="E1031" s="1" t="s">
        <v>7030</v>
      </c>
      <c r="F1031" s="1" t="s">
        <v>6456</v>
      </c>
      <c r="G1031" s="1" t="s">
        <v>6457</v>
      </c>
    </row>
    <row r="1032" spans="1:7">
      <c r="A1032" s="1">
        <v>2405</v>
      </c>
      <c r="B1032" s="1" t="s">
        <v>7031</v>
      </c>
      <c r="D1032" s="1" t="s">
        <v>2876</v>
      </c>
      <c r="E1032" s="1" t="s">
        <v>2877</v>
      </c>
      <c r="F1032" s="1" t="s">
        <v>6459</v>
      </c>
      <c r="G1032" s="1" t="s">
        <v>6460</v>
      </c>
    </row>
    <row r="1033" spans="1:7">
      <c r="A1033" s="1">
        <v>2406</v>
      </c>
      <c r="B1033" s="1" t="s">
        <v>7032</v>
      </c>
      <c r="D1033" s="1" t="s">
        <v>2876</v>
      </c>
      <c r="E1033" s="1" t="s">
        <v>2891</v>
      </c>
      <c r="F1033" s="1" t="s">
        <v>6462</v>
      </c>
      <c r="G1033" s="1" t="s">
        <v>6463</v>
      </c>
    </row>
    <row r="1034" spans="1:7">
      <c r="A1034" s="1">
        <v>2407</v>
      </c>
      <c r="B1034" s="1" t="s">
        <v>7033</v>
      </c>
      <c r="D1034" s="1" t="s">
        <v>2876</v>
      </c>
      <c r="E1034" s="1" t="s">
        <v>2893</v>
      </c>
      <c r="F1034" s="1" t="s">
        <v>6465</v>
      </c>
      <c r="G1034" s="1" t="s">
        <v>6466</v>
      </c>
    </row>
    <row r="1035" spans="1:7">
      <c r="A1035" s="1">
        <v>2408</v>
      </c>
      <c r="B1035" s="1" t="s">
        <v>7034</v>
      </c>
      <c r="D1035" s="1" t="s">
        <v>2907</v>
      </c>
      <c r="E1035" s="1" t="s">
        <v>2930</v>
      </c>
      <c r="F1035" s="1" t="s">
        <v>6419</v>
      </c>
      <c r="G1035" s="1" t="s">
        <v>6420</v>
      </c>
    </row>
    <row r="1036" spans="1:7">
      <c r="A1036" s="1">
        <v>2409</v>
      </c>
      <c r="B1036" s="1" t="s">
        <v>7035</v>
      </c>
      <c r="D1036" s="1" t="s">
        <v>2907</v>
      </c>
      <c r="E1036" s="1" t="s">
        <v>2932</v>
      </c>
      <c r="F1036" s="1" t="s">
        <v>6422</v>
      </c>
      <c r="G1036" s="1" t="s">
        <v>6423</v>
      </c>
    </row>
    <row r="1037" spans="1:7">
      <c r="A1037" s="1">
        <v>2410</v>
      </c>
      <c r="B1037" s="1" t="s">
        <v>7036</v>
      </c>
      <c r="D1037" s="1" t="s">
        <v>2907</v>
      </c>
      <c r="E1037" s="1" t="s">
        <v>2934</v>
      </c>
      <c r="F1037" s="1" t="s">
        <v>6425</v>
      </c>
      <c r="G1037" s="1" t="s">
        <v>6420</v>
      </c>
    </row>
    <row r="1038" spans="1:7">
      <c r="A1038" s="1">
        <v>2411</v>
      </c>
      <c r="B1038" s="1" t="s">
        <v>7037</v>
      </c>
      <c r="D1038" s="1" t="s">
        <v>2907</v>
      </c>
      <c r="E1038" s="1" t="s">
        <v>2936</v>
      </c>
      <c r="F1038" s="1" t="s">
        <v>6427</v>
      </c>
      <c r="G1038" s="1" t="s">
        <v>6423</v>
      </c>
    </row>
    <row r="1039" spans="1:7">
      <c r="A1039" s="1">
        <v>2412</v>
      </c>
      <c r="B1039" s="1" t="s">
        <v>7038</v>
      </c>
      <c r="D1039" s="1" t="s">
        <v>2907</v>
      </c>
      <c r="E1039" s="1" t="s">
        <v>2928</v>
      </c>
      <c r="F1039" s="1" t="s">
        <v>6429</v>
      </c>
      <c r="G1039" s="1" t="s">
        <v>6430</v>
      </c>
    </row>
    <row r="1040" spans="1:7">
      <c r="A1040" s="1">
        <v>2413</v>
      </c>
      <c r="B1040" s="1" t="s">
        <v>7039</v>
      </c>
      <c r="D1040" s="1" t="s">
        <v>2907</v>
      </c>
      <c r="E1040" s="1" t="s">
        <v>2926</v>
      </c>
      <c r="F1040" s="1" t="s">
        <v>6432</v>
      </c>
      <c r="G1040" s="1" t="s">
        <v>6433</v>
      </c>
    </row>
    <row r="1041" spans="1:7">
      <c r="A1041" s="1">
        <v>2416</v>
      </c>
      <c r="B1041" s="1" t="s">
        <v>7040</v>
      </c>
      <c r="D1041" s="1" t="s">
        <v>2907</v>
      </c>
      <c r="E1041" s="1" t="s">
        <v>7041</v>
      </c>
      <c r="F1041" s="1" t="s">
        <v>6436</v>
      </c>
      <c r="G1041" s="1" t="s">
        <v>6437</v>
      </c>
    </row>
    <row r="1042" spans="1:7">
      <c r="A1042" s="1">
        <v>2417</v>
      </c>
      <c r="B1042" s="1" t="s">
        <v>7042</v>
      </c>
      <c r="D1042" s="1" t="s">
        <v>2907</v>
      </c>
      <c r="E1042" s="1" t="s">
        <v>7043</v>
      </c>
      <c r="F1042" s="1" t="s">
        <v>6440</v>
      </c>
      <c r="G1042" s="1" t="s">
        <v>6441</v>
      </c>
    </row>
    <row r="1043" spans="1:7">
      <c r="A1043" s="1">
        <v>2418</v>
      </c>
      <c r="B1043" s="1" t="s">
        <v>7044</v>
      </c>
      <c r="D1043" s="1" t="s">
        <v>2907</v>
      </c>
      <c r="E1043" s="1" t="s">
        <v>7045</v>
      </c>
      <c r="F1043" s="1" t="s">
        <v>6444</v>
      </c>
      <c r="G1043" s="1" t="s">
        <v>6445</v>
      </c>
    </row>
    <row r="1044" spans="1:7">
      <c r="A1044" s="1">
        <v>2419</v>
      </c>
      <c r="B1044" s="1" t="s">
        <v>7046</v>
      </c>
      <c r="D1044" s="1" t="s">
        <v>2907</v>
      </c>
      <c r="E1044" s="1" t="s">
        <v>7047</v>
      </c>
      <c r="F1044" s="1" t="s">
        <v>6448</v>
      </c>
      <c r="G1044" s="1" t="s">
        <v>6449</v>
      </c>
    </row>
    <row r="1045" spans="1:7">
      <c r="A1045" s="1">
        <v>2420</v>
      </c>
      <c r="B1045" s="1" t="s">
        <v>7048</v>
      </c>
      <c r="D1045" s="1" t="s">
        <v>2907</v>
      </c>
      <c r="E1045" s="1" t="s">
        <v>7049</v>
      </c>
      <c r="F1045" s="1" t="s">
        <v>6452</v>
      </c>
      <c r="G1045" s="1" t="s">
        <v>6453</v>
      </c>
    </row>
    <row r="1046" spans="1:7">
      <c r="A1046" s="1">
        <v>2421</v>
      </c>
      <c r="B1046" s="1" t="s">
        <v>7050</v>
      </c>
      <c r="D1046" s="1" t="s">
        <v>2907</v>
      </c>
      <c r="E1046" s="1" t="s">
        <v>7051</v>
      </c>
      <c r="F1046" s="1" t="s">
        <v>6456</v>
      </c>
      <c r="G1046" s="1" t="s">
        <v>6457</v>
      </c>
    </row>
    <row r="1047" spans="1:7">
      <c r="A1047" s="1">
        <v>2423</v>
      </c>
      <c r="B1047" s="1" t="s">
        <v>7052</v>
      </c>
      <c r="D1047" s="1" t="s">
        <v>2907</v>
      </c>
      <c r="E1047" s="1" t="s">
        <v>2908</v>
      </c>
      <c r="F1047" s="1" t="s">
        <v>6459</v>
      </c>
      <c r="G1047" s="1" t="s">
        <v>6460</v>
      </c>
    </row>
    <row r="1048" spans="1:7">
      <c r="A1048" s="1">
        <v>2424</v>
      </c>
      <c r="B1048" s="1" t="s">
        <v>7053</v>
      </c>
      <c r="D1048" s="1" t="s">
        <v>2907</v>
      </c>
      <c r="E1048" s="1" t="s">
        <v>2922</v>
      </c>
      <c r="F1048" s="1" t="s">
        <v>6462</v>
      </c>
      <c r="G1048" s="1" t="s">
        <v>6463</v>
      </c>
    </row>
    <row r="1049" spans="1:7">
      <c r="A1049" s="1">
        <v>2425</v>
      </c>
      <c r="B1049" s="1" t="s">
        <v>7054</v>
      </c>
      <c r="D1049" s="1" t="s">
        <v>2907</v>
      </c>
      <c r="E1049" s="1" t="s">
        <v>2924</v>
      </c>
      <c r="F1049" s="1" t="s">
        <v>6465</v>
      </c>
      <c r="G1049" s="1" t="s">
        <v>6466</v>
      </c>
    </row>
    <row r="1050" spans="1:7">
      <c r="A1050" s="1">
        <v>2426</v>
      </c>
      <c r="B1050" s="1" t="s">
        <v>7055</v>
      </c>
      <c r="D1050" s="1" t="s">
        <v>2938</v>
      </c>
      <c r="E1050" s="1" t="s">
        <v>2961</v>
      </c>
      <c r="F1050" s="1" t="s">
        <v>6419</v>
      </c>
      <c r="G1050" s="1" t="s">
        <v>6420</v>
      </c>
    </row>
    <row r="1051" spans="1:7">
      <c r="A1051" s="1">
        <v>2427</v>
      </c>
      <c r="B1051" s="1" t="s">
        <v>7056</v>
      </c>
      <c r="D1051" s="1" t="s">
        <v>2938</v>
      </c>
      <c r="E1051" s="1" t="s">
        <v>2963</v>
      </c>
      <c r="F1051" s="1" t="s">
        <v>6422</v>
      </c>
      <c r="G1051" s="1" t="s">
        <v>6423</v>
      </c>
    </row>
    <row r="1052" spans="1:7">
      <c r="A1052" s="1">
        <v>2428</v>
      </c>
      <c r="B1052" s="1" t="s">
        <v>7057</v>
      </c>
      <c r="D1052" s="1" t="s">
        <v>2938</v>
      </c>
      <c r="E1052" s="1" t="s">
        <v>2965</v>
      </c>
      <c r="F1052" s="1" t="s">
        <v>6425</v>
      </c>
      <c r="G1052" s="1" t="s">
        <v>6420</v>
      </c>
    </row>
    <row r="1053" spans="1:7">
      <c r="A1053" s="1">
        <v>2429</v>
      </c>
      <c r="B1053" s="1" t="s">
        <v>7058</v>
      </c>
      <c r="D1053" s="1" t="s">
        <v>2938</v>
      </c>
      <c r="E1053" s="1" t="s">
        <v>2967</v>
      </c>
      <c r="F1053" s="1" t="s">
        <v>6427</v>
      </c>
      <c r="G1053" s="1" t="s">
        <v>6423</v>
      </c>
    </row>
    <row r="1054" spans="1:7">
      <c r="A1054" s="1">
        <v>2430</v>
      </c>
      <c r="B1054" s="1" t="s">
        <v>7059</v>
      </c>
      <c r="D1054" s="1" t="s">
        <v>2938</v>
      </c>
      <c r="E1054" s="1" t="s">
        <v>2959</v>
      </c>
      <c r="F1054" s="1" t="s">
        <v>6429</v>
      </c>
      <c r="G1054" s="1" t="s">
        <v>6430</v>
      </c>
    </row>
    <row r="1055" spans="1:7">
      <c r="A1055" s="1">
        <v>2431</v>
      </c>
      <c r="B1055" s="1" t="s">
        <v>7060</v>
      </c>
      <c r="D1055" s="1" t="s">
        <v>2938</v>
      </c>
      <c r="E1055" s="1" t="s">
        <v>2957</v>
      </c>
      <c r="F1055" s="1" t="s">
        <v>6432</v>
      </c>
      <c r="G1055" s="1" t="s">
        <v>6433</v>
      </c>
    </row>
    <row r="1056" spans="1:7">
      <c r="A1056" s="1">
        <v>2434</v>
      </c>
      <c r="B1056" s="1" t="s">
        <v>7061</v>
      </c>
      <c r="D1056" s="1" t="s">
        <v>2938</v>
      </c>
      <c r="E1056" s="1" t="s">
        <v>7062</v>
      </c>
      <c r="F1056" s="1" t="s">
        <v>6436</v>
      </c>
      <c r="G1056" s="1" t="s">
        <v>6437</v>
      </c>
    </row>
    <row r="1057" spans="1:7">
      <c r="A1057" s="1">
        <v>2435</v>
      </c>
      <c r="B1057" s="1" t="s">
        <v>7063</v>
      </c>
      <c r="D1057" s="1" t="s">
        <v>2938</v>
      </c>
      <c r="E1057" s="1" t="s">
        <v>7064</v>
      </c>
      <c r="F1057" s="1" t="s">
        <v>6440</v>
      </c>
      <c r="G1057" s="1" t="s">
        <v>6441</v>
      </c>
    </row>
    <row r="1058" spans="1:7">
      <c r="A1058" s="1">
        <v>2436</v>
      </c>
      <c r="B1058" s="1" t="s">
        <v>7065</v>
      </c>
      <c r="D1058" s="1" t="s">
        <v>2938</v>
      </c>
      <c r="E1058" s="1" t="s">
        <v>7066</v>
      </c>
      <c r="F1058" s="1" t="s">
        <v>6444</v>
      </c>
      <c r="G1058" s="1" t="s">
        <v>6445</v>
      </c>
    </row>
    <row r="1059" spans="1:7">
      <c r="A1059" s="1">
        <v>2437</v>
      </c>
      <c r="B1059" s="1" t="s">
        <v>7067</v>
      </c>
      <c r="D1059" s="1" t="s">
        <v>2938</v>
      </c>
      <c r="E1059" s="1" t="s">
        <v>7068</v>
      </c>
      <c r="F1059" s="1" t="s">
        <v>6448</v>
      </c>
      <c r="G1059" s="1" t="s">
        <v>6449</v>
      </c>
    </row>
    <row r="1060" spans="1:7">
      <c r="A1060" s="1">
        <v>2438</v>
      </c>
      <c r="B1060" s="1" t="s">
        <v>7069</v>
      </c>
      <c r="D1060" s="1" t="s">
        <v>2938</v>
      </c>
      <c r="E1060" s="1" t="s">
        <v>7070</v>
      </c>
      <c r="F1060" s="1" t="s">
        <v>6452</v>
      </c>
      <c r="G1060" s="1" t="s">
        <v>6453</v>
      </c>
    </row>
    <row r="1061" spans="1:7">
      <c r="A1061" s="1">
        <v>2439</v>
      </c>
      <c r="B1061" s="1" t="s">
        <v>7071</v>
      </c>
      <c r="D1061" s="1" t="s">
        <v>2938</v>
      </c>
      <c r="E1061" s="1" t="s">
        <v>7072</v>
      </c>
      <c r="F1061" s="1" t="s">
        <v>6456</v>
      </c>
      <c r="G1061" s="1" t="s">
        <v>6457</v>
      </c>
    </row>
    <row r="1062" spans="1:7">
      <c r="A1062" s="1">
        <v>2441</v>
      </c>
      <c r="B1062" s="1" t="s">
        <v>7073</v>
      </c>
      <c r="D1062" s="1" t="s">
        <v>2938</v>
      </c>
      <c r="E1062" s="1" t="s">
        <v>2939</v>
      </c>
      <c r="F1062" s="1" t="s">
        <v>6459</v>
      </c>
      <c r="G1062" s="1" t="s">
        <v>6460</v>
      </c>
    </row>
    <row r="1063" spans="1:7">
      <c r="A1063" s="1">
        <v>2442</v>
      </c>
      <c r="B1063" s="1" t="s">
        <v>7074</v>
      </c>
      <c r="D1063" s="1" t="s">
        <v>2938</v>
      </c>
      <c r="E1063" s="1" t="s">
        <v>2953</v>
      </c>
      <c r="F1063" s="1" t="s">
        <v>6462</v>
      </c>
      <c r="G1063" s="1" t="s">
        <v>6463</v>
      </c>
    </row>
    <row r="1064" spans="1:7">
      <c r="A1064" s="1">
        <v>2443</v>
      </c>
      <c r="B1064" s="1" t="s">
        <v>7075</v>
      </c>
      <c r="D1064" s="1" t="s">
        <v>2938</v>
      </c>
      <c r="E1064" s="1" t="s">
        <v>2955</v>
      </c>
      <c r="F1064" s="1" t="s">
        <v>6465</v>
      </c>
      <c r="G1064" s="1" t="s">
        <v>6466</v>
      </c>
    </row>
    <row r="1065" spans="1:7">
      <c r="A1065" s="1">
        <v>2444</v>
      </c>
      <c r="B1065" s="1" t="s">
        <v>7076</v>
      </c>
      <c r="D1065" s="1" t="s">
        <v>2969</v>
      </c>
      <c r="E1065" s="1" t="s">
        <v>2992</v>
      </c>
      <c r="F1065" s="1" t="s">
        <v>6419</v>
      </c>
      <c r="G1065" s="1" t="s">
        <v>6420</v>
      </c>
    </row>
    <row r="1066" spans="1:7">
      <c r="A1066" s="1">
        <v>2445</v>
      </c>
      <c r="B1066" s="1" t="s">
        <v>7077</v>
      </c>
      <c r="D1066" s="1" t="s">
        <v>2969</v>
      </c>
      <c r="E1066" s="1" t="s">
        <v>2994</v>
      </c>
      <c r="F1066" s="1" t="s">
        <v>6422</v>
      </c>
      <c r="G1066" s="1" t="s">
        <v>6423</v>
      </c>
    </row>
    <row r="1067" spans="1:7">
      <c r="A1067" s="1">
        <v>2446</v>
      </c>
      <c r="B1067" s="1" t="s">
        <v>7078</v>
      </c>
      <c r="D1067" s="1" t="s">
        <v>2969</v>
      </c>
      <c r="E1067" s="1" t="s">
        <v>2996</v>
      </c>
      <c r="F1067" s="1" t="s">
        <v>6425</v>
      </c>
      <c r="G1067" s="1" t="s">
        <v>6420</v>
      </c>
    </row>
    <row r="1068" spans="1:7">
      <c r="A1068" s="1">
        <v>2447</v>
      </c>
      <c r="B1068" s="1" t="s">
        <v>7079</v>
      </c>
      <c r="D1068" s="1" t="s">
        <v>2969</v>
      </c>
      <c r="E1068" s="1" t="s">
        <v>2998</v>
      </c>
      <c r="F1068" s="1" t="s">
        <v>6427</v>
      </c>
      <c r="G1068" s="1" t="s">
        <v>6423</v>
      </c>
    </row>
    <row r="1069" spans="1:7">
      <c r="A1069" s="1">
        <v>2448</v>
      </c>
      <c r="B1069" s="1" t="s">
        <v>7080</v>
      </c>
      <c r="D1069" s="1" t="s">
        <v>2969</v>
      </c>
      <c r="E1069" s="1" t="s">
        <v>2990</v>
      </c>
      <c r="F1069" s="1" t="s">
        <v>6429</v>
      </c>
      <c r="G1069" s="1" t="s">
        <v>6430</v>
      </c>
    </row>
    <row r="1070" spans="1:7">
      <c r="A1070" s="1">
        <v>2449</v>
      </c>
      <c r="B1070" s="1" t="s">
        <v>7081</v>
      </c>
      <c r="D1070" s="1" t="s">
        <v>2969</v>
      </c>
      <c r="E1070" s="1" t="s">
        <v>2988</v>
      </c>
      <c r="F1070" s="1" t="s">
        <v>6432</v>
      </c>
      <c r="G1070" s="1" t="s">
        <v>6433</v>
      </c>
    </row>
    <row r="1071" spans="1:7">
      <c r="A1071" s="1">
        <v>2452</v>
      </c>
      <c r="B1071" s="1" t="s">
        <v>7082</v>
      </c>
      <c r="D1071" s="1" t="s">
        <v>2969</v>
      </c>
      <c r="E1071" s="1" t="s">
        <v>7083</v>
      </c>
      <c r="F1071" s="1" t="s">
        <v>6436</v>
      </c>
      <c r="G1071" s="1" t="s">
        <v>6437</v>
      </c>
    </row>
    <row r="1072" spans="1:7">
      <c r="A1072" s="1">
        <v>2453</v>
      </c>
      <c r="B1072" s="1" t="s">
        <v>7084</v>
      </c>
      <c r="D1072" s="1" t="s">
        <v>2969</v>
      </c>
      <c r="E1072" s="1" t="s">
        <v>7085</v>
      </c>
      <c r="F1072" s="1" t="s">
        <v>6440</v>
      </c>
      <c r="G1072" s="1" t="s">
        <v>6441</v>
      </c>
    </row>
    <row r="1073" spans="1:7">
      <c r="A1073" s="1">
        <v>2454</v>
      </c>
      <c r="B1073" s="1" t="s">
        <v>7086</v>
      </c>
      <c r="D1073" s="1" t="s">
        <v>2969</v>
      </c>
      <c r="E1073" s="1" t="s">
        <v>7087</v>
      </c>
      <c r="F1073" s="1" t="s">
        <v>6444</v>
      </c>
      <c r="G1073" s="1" t="s">
        <v>6445</v>
      </c>
    </row>
    <row r="1074" spans="1:7">
      <c r="A1074" s="1">
        <v>2455</v>
      </c>
      <c r="B1074" s="1" t="s">
        <v>7088</v>
      </c>
      <c r="D1074" s="1" t="s">
        <v>2969</v>
      </c>
      <c r="E1074" s="1" t="s">
        <v>7089</v>
      </c>
      <c r="F1074" s="1" t="s">
        <v>6448</v>
      </c>
      <c r="G1074" s="1" t="s">
        <v>6449</v>
      </c>
    </row>
    <row r="1075" spans="1:7">
      <c r="A1075" s="1">
        <v>2456</v>
      </c>
      <c r="B1075" s="1" t="s">
        <v>7090</v>
      </c>
      <c r="D1075" s="1" t="s">
        <v>2969</v>
      </c>
      <c r="E1075" s="1" t="s">
        <v>7091</v>
      </c>
      <c r="F1075" s="1" t="s">
        <v>6452</v>
      </c>
      <c r="G1075" s="1" t="s">
        <v>6453</v>
      </c>
    </row>
    <row r="1076" spans="1:7">
      <c r="A1076" s="1">
        <v>2457</v>
      </c>
      <c r="B1076" s="1" t="s">
        <v>7092</v>
      </c>
      <c r="D1076" s="1" t="s">
        <v>2969</v>
      </c>
      <c r="E1076" s="1" t="s">
        <v>7093</v>
      </c>
      <c r="F1076" s="1" t="s">
        <v>6456</v>
      </c>
      <c r="G1076" s="1" t="s">
        <v>6457</v>
      </c>
    </row>
    <row r="1077" spans="1:7">
      <c r="A1077" s="1">
        <v>2459</v>
      </c>
      <c r="B1077" s="1" t="s">
        <v>7094</v>
      </c>
      <c r="D1077" s="1" t="s">
        <v>2969</v>
      </c>
      <c r="E1077" s="1" t="s">
        <v>2970</v>
      </c>
      <c r="F1077" s="1" t="s">
        <v>6459</v>
      </c>
      <c r="G1077" s="1" t="s">
        <v>6460</v>
      </c>
    </row>
    <row r="1078" spans="1:7">
      <c r="A1078" s="1">
        <v>2460</v>
      </c>
      <c r="B1078" s="1" t="s">
        <v>7095</v>
      </c>
      <c r="D1078" s="1" t="s">
        <v>2969</v>
      </c>
      <c r="E1078" s="1" t="s">
        <v>2984</v>
      </c>
      <c r="F1078" s="1" t="s">
        <v>6462</v>
      </c>
      <c r="G1078" s="1" t="s">
        <v>6463</v>
      </c>
    </row>
    <row r="1079" spans="1:7">
      <c r="A1079" s="1">
        <v>2461</v>
      </c>
      <c r="B1079" s="1" t="s">
        <v>7096</v>
      </c>
      <c r="D1079" s="1" t="s">
        <v>2969</v>
      </c>
      <c r="E1079" s="1" t="s">
        <v>2986</v>
      </c>
      <c r="F1079" s="1" t="s">
        <v>6465</v>
      </c>
      <c r="G1079" s="1" t="s">
        <v>6466</v>
      </c>
    </row>
    <row r="1080" spans="1:7">
      <c r="A1080" s="1">
        <v>2462</v>
      </c>
      <c r="B1080" s="1" t="s">
        <v>7097</v>
      </c>
      <c r="D1080" s="1" t="s">
        <v>3000</v>
      </c>
      <c r="E1080" s="1" t="s">
        <v>3023</v>
      </c>
      <c r="F1080" s="1" t="s">
        <v>6419</v>
      </c>
      <c r="G1080" s="1" t="s">
        <v>6420</v>
      </c>
    </row>
    <row r="1081" spans="1:7">
      <c r="A1081" s="1">
        <v>2463</v>
      </c>
      <c r="B1081" s="1" t="s">
        <v>7098</v>
      </c>
      <c r="D1081" s="1" t="s">
        <v>3000</v>
      </c>
      <c r="E1081" s="1" t="s">
        <v>3025</v>
      </c>
      <c r="F1081" s="1" t="s">
        <v>6422</v>
      </c>
      <c r="G1081" s="1" t="s">
        <v>6423</v>
      </c>
    </row>
    <row r="1082" spans="1:7">
      <c r="A1082" s="1">
        <v>2464</v>
      </c>
      <c r="B1082" s="1" t="s">
        <v>7099</v>
      </c>
      <c r="D1082" s="1" t="s">
        <v>3000</v>
      </c>
      <c r="E1082" s="1" t="s">
        <v>3027</v>
      </c>
      <c r="F1082" s="1" t="s">
        <v>6425</v>
      </c>
      <c r="G1082" s="1" t="s">
        <v>6420</v>
      </c>
    </row>
    <row r="1083" spans="1:7">
      <c r="A1083" s="1">
        <v>2465</v>
      </c>
      <c r="B1083" s="1" t="s">
        <v>7100</v>
      </c>
      <c r="D1083" s="1" t="s">
        <v>3000</v>
      </c>
      <c r="E1083" s="1" t="s">
        <v>3029</v>
      </c>
      <c r="F1083" s="1" t="s">
        <v>6427</v>
      </c>
      <c r="G1083" s="1" t="s">
        <v>6423</v>
      </c>
    </row>
    <row r="1084" spans="1:7">
      <c r="A1084" s="1">
        <v>2466</v>
      </c>
      <c r="B1084" s="1" t="s">
        <v>7101</v>
      </c>
      <c r="D1084" s="1" t="s">
        <v>3000</v>
      </c>
      <c r="E1084" s="1" t="s">
        <v>3021</v>
      </c>
      <c r="F1084" s="1" t="s">
        <v>6429</v>
      </c>
      <c r="G1084" s="1" t="s">
        <v>6430</v>
      </c>
    </row>
    <row r="1085" spans="1:7">
      <c r="A1085" s="1">
        <v>2467</v>
      </c>
      <c r="B1085" s="1" t="s">
        <v>7102</v>
      </c>
      <c r="D1085" s="1" t="s">
        <v>3000</v>
      </c>
      <c r="E1085" s="1" t="s">
        <v>3019</v>
      </c>
      <c r="F1085" s="1" t="s">
        <v>6432</v>
      </c>
      <c r="G1085" s="1" t="s">
        <v>6433</v>
      </c>
    </row>
    <row r="1086" spans="1:7">
      <c r="A1086" s="1">
        <v>2470</v>
      </c>
      <c r="B1086" s="1" t="s">
        <v>7103</v>
      </c>
      <c r="D1086" s="1" t="s">
        <v>3000</v>
      </c>
      <c r="E1086" s="1" t="s">
        <v>7104</v>
      </c>
      <c r="F1086" s="1" t="s">
        <v>6436</v>
      </c>
      <c r="G1086" s="1" t="s">
        <v>6437</v>
      </c>
    </row>
    <row r="1087" spans="1:7">
      <c r="A1087" s="1">
        <v>2471</v>
      </c>
      <c r="B1087" s="1" t="s">
        <v>7105</v>
      </c>
      <c r="D1087" s="1" t="s">
        <v>3000</v>
      </c>
      <c r="E1087" s="1" t="s">
        <v>7106</v>
      </c>
      <c r="F1087" s="1" t="s">
        <v>6440</v>
      </c>
      <c r="G1087" s="1" t="s">
        <v>6441</v>
      </c>
    </row>
    <row r="1088" spans="1:7">
      <c r="A1088" s="1">
        <v>2472</v>
      </c>
      <c r="B1088" s="1" t="s">
        <v>7107</v>
      </c>
      <c r="D1088" s="1" t="s">
        <v>3000</v>
      </c>
      <c r="E1088" s="1" t="s">
        <v>7108</v>
      </c>
      <c r="F1088" s="1" t="s">
        <v>6444</v>
      </c>
      <c r="G1088" s="1" t="s">
        <v>6445</v>
      </c>
    </row>
    <row r="1089" spans="1:7">
      <c r="A1089" s="1">
        <v>2473</v>
      </c>
      <c r="B1089" s="1" t="s">
        <v>7109</v>
      </c>
      <c r="D1089" s="1" t="s">
        <v>3000</v>
      </c>
      <c r="E1089" s="1" t="s">
        <v>7110</v>
      </c>
      <c r="F1089" s="1" t="s">
        <v>6448</v>
      </c>
      <c r="G1089" s="1" t="s">
        <v>6449</v>
      </c>
    </row>
    <row r="1090" spans="1:7">
      <c r="A1090" s="1">
        <v>2474</v>
      </c>
      <c r="B1090" s="1" t="s">
        <v>7111</v>
      </c>
      <c r="D1090" s="1" t="s">
        <v>3000</v>
      </c>
      <c r="E1090" s="1" t="s">
        <v>7112</v>
      </c>
      <c r="F1090" s="1" t="s">
        <v>6452</v>
      </c>
      <c r="G1090" s="1" t="s">
        <v>6453</v>
      </c>
    </row>
    <row r="1091" spans="1:7">
      <c r="A1091" s="1">
        <v>2475</v>
      </c>
      <c r="B1091" s="1" t="s">
        <v>7113</v>
      </c>
      <c r="D1091" s="1" t="s">
        <v>3000</v>
      </c>
      <c r="E1091" s="1" t="s">
        <v>7114</v>
      </c>
      <c r="F1091" s="1" t="s">
        <v>6456</v>
      </c>
      <c r="G1091" s="1" t="s">
        <v>6457</v>
      </c>
    </row>
    <row r="1092" spans="1:7">
      <c r="A1092" s="1">
        <v>2477</v>
      </c>
      <c r="B1092" s="1" t="s">
        <v>7115</v>
      </c>
      <c r="D1092" s="1" t="s">
        <v>3000</v>
      </c>
      <c r="E1092" s="1" t="s">
        <v>3001</v>
      </c>
      <c r="F1092" s="1" t="s">
        <v>6459</v>
      </c>
      <c r="G1092" s="1" t="s">
        <v>6460</v>
      </c>
    </row>
    <row r="1093" spans="1:7">
      <c r="A1093" s="1">
        <v>2478</v>
      </c>
      <c r="B1093" s="1" t="s">
        <v>7116</v>
      </c>
      <c r="D1093" s="1" t="s">
        <v>3000</v>
      </c>
      <c r="E1093" s="1" t="s">
        <v>3015</v>
      </c>
      <c r="F1093" s="1" t="s">
        <v>6462</v>
      </c>
      <c r="G1093" s="1" t="s">
        <v>6463</v>
      </c>
    </row>
    <row r="1094" spans="1:7">
      <c r="A1094" s="1">
        <v>2479</v>
      </c>
      <c r="B1094" s="1" t="s">
        <v>7117</v>
      </c>
      <c r="D1094" s="1" t="s">
        <v>3000</v>
      </c>
      <c r="E1094" s="1" t="s">
        <v>3017</v>
      </c>
      <c r="F1094" s="1" t="s">
        <v>6465</v>
      </c>
      <c r="G1094" s="1" t="s">
        <v>6466</v>
      </c>
    </row>
    <row r="1095" spans="1:7">
      <c r="A1095" s="1">
        <v>2480</v>
      </c>
      <c r="B1095" s="1" t="s">
        <v>7118</v>
      </c>
      <c r="D1095" s="1" t="s">
        <v>3031</v>
      </c>
      <c r="E1095" s="1" t="s">
        <v>3054</v>
      </c>
      <c r="F1095" s="1" t="s">
        <v>6419</v>
      </c>
      <c r="G1095" s="1" t="s">
        <v>6420</v>
      </c>
    </row>
    <row r="1096" spans="1:7">
      <c r="A1096" s="1">
        <v>2481</v>
      </c>
      <c r="B1096" s="1" t="s">
        <v>7119</v>
      </c>
      <c r="D1096" s="1" t="s">
        <v>3031</v>
      </c>
      <c r="E1096" s="1" t="s">
        <v>3056</v>
      </c>
      <c r="F1096" s="1" t="s">
        <v>6422</v>
      </c>
      <c r="G1096" s="1" t="s">
        <v>6423</v>
      </c>
    </row>
    <row r="1097" spans="1:7">
      <c r="A1097" s="1">
        <v>2482</v>
      </c>
      <c r="B1097" s="1" t="s">
        <v>7120</v>
      </c>
      <c r="D1097" s="1" t="s">
        <v>3031</v>
      </c>
      <c r="E1097" s="1" t="s">
        <v>3058</v>
      </c>
      <c r="F1097" s="1" t="s">
        <v>6425</v>
      </c>
      <c r="G1097" s="1" t="s">
        <v>6420</v>
      </c>
    </row>
    <row r="1098" spans="1:7">
      <c r="A1098" s="1">
        <v>2483</v>
      </c>
      <c r="B1098" s="1" t="s">
        <v>7121</v>
      </c>
      <c r="D1098" s="1" t="s">
        <v>3031</v>
      </c>
      <c r="E1098" s="1" t="s">
        <v>3060</v>
      </c>
      <c r="F1098" s="1" t="s">
        <v>6427</v>
      </c>
      <c r="G1098" s="1" t="s">
        <v>6423</v>
      </c>
    </row>
    <row r="1099" spans="1:7">
      <c r="A1099" s="1">
        <v>2484</v>
      </c>
      <c r="B1099" s="1" t="s">
        <v>7122</v>
      </c>
      <c r="D1099" s="1" t="s">
        <v>3031</v>
      </c>
      <c r="E1099" s="1" t="s">
        <v>3052</v>
      </c>
      <c r="F1099" s="1" t="s">
        <v>6429</v>
      </c>
      <c r="G1099" s="1" t="s">
        <v>6430</v>
      </c>
    </row>
    <row r="1100" spans="1:7">
      <c r="A1100" s="1">
        <v>2485</v>
      </c>
      <c r="B1100" s="1" t="s">
        <v>7123</v>
      </c>
      <c r="D1100" s="1" t="s">
        <v>3031</v>
      </c>
      <c r="E1100" s="1" t="s">
        <v>3050</v>
      </c>
      <c r="F1100" s="1" t="s">
        <v>6432</v>
      </c>
      <c r="G1100" s="1" t="s">
        <v>6433</v>
      </c>
    </row>
    <row r="1101" spans="1:7">
      <c r="A1101" s="1">
        <v>2488</v>
      </c>
      <c r="B1101" s="1" t="s">
        <v>7124</v>
      </c>
      <c r="D1101" s="1" t="s">
        <v>3031</v>
      </c>
      <c r="E1101" s="1" t="s">
        <v>7125</v>
      </c>
      <c r="F1101" s="1" t="s">
        <v>6436</v>
      </c>
      <c r="G1101" s="1" t="s">
        <v>6437</v>
      </c>
    </row>
    <row r="1102" spans="1:7">
      <c r="A1102" s="1">
        <v>2489</v>
      </c>
      <c r="B1102" s="1" t="s">
        <v>7126</v>
      </c>
      <c r="D1102" s="1" t="s">
        <v>3031</v>
      </c>
      <c r="E1102" s="1" t="s">
        <v>7127</v>
      </c>
      <c r="F1102" s="1" t="s">
        <v>6440</v>
      </c>
      <c r="G1102" s="1" t="s">
        <v>6441</v>
      </c>
    </row>
    <row r="1103" spans="1:7">
      <c r="A1103" s="1">
        <v>2490</v>
      </c>
      <c r="B1103" s="1" t="s">
        <v>7128</v>
      </c>
      <c r="D1103" s="1" t="s">
        <v>3031</v>
      </c>
      <c r="E1103" s="1" t="s">
        <v>7129</v>
      </c>
      <c r="F1103" s="1" t="s">
        <v>6444</v>
      </c>
      <c r="G1103" s="1" t="s">
        <v>6445</v>
      </c>
    </row>
    <row r="1104" spans="1:7">
      <c r="A1104" s="1">
        <v>2491</v>
      </c>
      <c r="B1104" s="1" t="s">
        <v>7130</v>
      </c>
      <c r="D1104" s="1" t="s">
        <v>3031</v>
      </c>
      <c r="E1104" s="1" t="s">
        <v>7131</v>
      </c>
      <c r="F1104" s="1" t="s">
        <v>6448</v>
      </c>
      <c r="G1104" s="1" t="s">
        <v>6449</v>
      </c>
    </row>
    <row r="1105" spans="1:7">
      <c r="A1105" s="1">
        <v>2492</v>
      </c>
      <c r="B1105" s="1" t="s">
        <v>7132</v>
      </c>
      <c r="D1105" s="1" t="s">
        <v>3031</v>
      </c>
      <c r="E1105" s="1" t="s">
        <v>7133</v>
      </c>
      <c r="F1105" s="1" t="s">
        <v>6452</v>
      </c>
      <c r="G1105" s="1" t="s">
        <v>6453</v>
      </c>
    </row>
    <row r="1106" spans="1:7">
      <c r="A1106" s="1">
        <v>2493</v>
      </c>
      <c r="B1106" s="1" t="s">
        <v>7134</v>
      </c>
      <c r="D1106" s="1" t="s">
        <v>3031</v>
      </c>
      <c r="E1106" s="1" t="s">
        <v>7135</v>
      </c>
      <c r="F1106" s="1" t="s">
        <v>6456</v>
      </c>
      <c r="G1106" s="1" t="s">
        <v>6457</v>
      </c>
    </row>
    <row r="1107" spans="1:7">
      <c r="A1107" s="1">
        <v>2495</v>
      </c>
      <c r="B1107" s="1" t="s">
        <v>7136</v>
      </c>
      <c r="D1107" s="1" t="s">
        <v>3031</v>
      </c>
      <c r="E1107" s="1" t="s">
        <v>3032</v>
      </c>
      <c r="F1107" s="1" t="s">
        <v>6459</v>
      </c>
      <c r="G1107" s="1" t="s">
        <v>6460</v>
      </c>
    </row>
    <row r="1108" spans="1:7">
      <c r="A1108" s="1">
        <v>2496</v>
      </c>
      <c r="B1108" s="1" t="s">
        <v>7137</v>
      </c>
      <c r="D1108" s="1" t="s">
        <v>3031</v>
      </c>
      <c r="E1108" s="1" t="s">
        <v>3046</v>
      </c>
      <c r="F1108" s="1" t="s">
        <v>6462</v>
      </c>
      <c r="G1108" s="1" t="s">
        <v>6463</v>
      </c>
    </row>
    <row r="1109" spans="1:7">
      <c r="A1109" s="1">
        <v>2497</v>
      </c>
      <c r="B1109" s="1" t="s">
        <v>7138</v>
      </c>
      <c r="D1109" s="1" t="s">
        <v>3031</v>
      </c>
      <c r="E1109" s="1" t="s">
        <v>3048</v>
      </c>
      <c r="F1109" s="1" t="s">
        <v>6465</v>
      </c>
      <c r="G1109" s="1" t="s">
        <v>6466</v>
      </c>
    </row>
    <row r="1110" spans="1:7">
      <c r="A1110" s="1">
        <v>2498</v>
      </c>
      <c r="B1110" s="1" t="s">
        <v>7139</v>
      </c>
      <c r="D1110" s="1" t="s">
        <v>3062</v>
      </c>
      <c r="E1110" s="1" t="s">
        <v>3085</v>
      </c>
      <c r="F1110" s="1" t="s">
        <v>6419</v>
      </c>
      <c r="G1110" s="1" t="s">
        <v>6420</v>
      </c>
    </row>
    <row r="1111" spans="1:7">
      <c r="A1111" s="1">
        <v>2499</v>
      </c>
      <c r="B1111" s="1" t="s">
        <v>7140</v>
      </c>
      <c r="D1111" s="1" t="s">
        <v>3062</v>
      </c>
      <c r="E1111" s="1" t="s">
        <v>3087</v>
      </c>
      <c r="F1111" s="1" t="s">
        <v>6422</v>
      </c>
      <c r="G1111" s="1" t="s">
        <v>6423</v>
      </c>
    </row>
    <row r="1112" spans="1:7">
      <c r="A1112" s="1">
        <v>2500</v>
      </c>
      <c r="B1112" s="1" t="s">
        <v>7141</v>
      </c>
      <c r="D1112" s="1" t="s">
        <v>3062</v>
      </c>
      <c r="E1112" s="1" t="s">
        <v>3089</v>
      </c>
      <c r="F1112" s="1" t="s">
        <v>6425</v>
      </c>
      <c r="G1112" s="1" t="s">
        <v>6420</v>
      </c>
    </row>
    <row r="1113" spans="1:7">
      <c r="A1113" s="1">
        <v>2501</v>
      </c>
      <c r="B1113" s="1" t="s">
        <v>7142</v>
      </c>
      <c r="D1113" s="1" t="s">
        <v>3062</v>
      </c>
      <c r="E1113" s="1" t="s">
        <v>3091</v>
      </c>
      <c r="F1113" s="1" t="s">
        <v>6427</v>
      </c>
      <c r="G1113" s="1" t="s">
        <v>6423</v>
      </c>
    </row>
    <row r="1114" spans="1:7">
      <c r="A1114" s="1">
        <v>2502</v>
      </c>
      <c r="B1114" s="1" t="s">
        <v>7143</v>
      </c>
      <c r="D1114" s="1" t="s">
        <v>3062</v>
      </c>
      <c r="E1114" s="1" t="s">
        <v>3083</v>
      </c>
      <c r="F1114" s="1" t="s">
        <v>6429</v>
      </c>
      <c r="G1114" s="1" t="s">
        <v>6430</v>
      </c>
    </row>
    <row r="1115" spans="1:7">
      <c r="A1115" s="1">
        <v>2503</v>
      </c>
      <c r="B1115" s="1" t="s">
        <v>7144</v>
      </c>
      <c r="D1115" s="1" t="s">
        <v>3062</v>
      </c>
      <c r="E1115" s="1" t="s">
        <v>3081</v>
      </c>
      <c r="F1115" s="1" t="s">
        <v>6432</v>
      </c>
      <c r="G1115" s="1" t="s">
        <v>6433</v>
      </c>
    </row>
    <row r="1116" spans="1:7">
      <c r="A1116" s="1">
        <v>2506</v>
      </c>
      <c r="B1116" s="1" t="s">
        <v>7145</v>
      </c>
      <c r="D1116" s="1" t="s">
        <v>3062</v>
      </c>
      <c r="E1116" s="1" t="s">
        <v>7146</v>
      </c>
      <c r="F1116" s="1" t="s">
        <v>6436</v>
      </c>
      <c r="G1116" s="1" t="s">
        <v>6437</v>
      </c>
    </row>
    <row r="1117" spans="1:7">
      <c r="A1117" s="1">
        <v>2507</v>
      </c>
      <c r="B1117" s="1" t="s">
        <v>7147</v>
      </c>
      <c r="D1117" s="1" t="s">
        <v>3062</v>
      </c>
      <c r="E1117" s="1" t="s">
        <v>7148</v>
      </c>
      <c r="F1117" s="1" t="s">
        <v>6440</v>
      </c>
      <c r="G1117" s="1" t="s">
        <v>6441</v>
      </c>
    </row>
    <row r="1118" spans="1:7">
      <c r="A1118" s="1">
        <v>2508</v>
      </c>
      <c r="B1118" s="1" t="s">
        <v>7149</v>
      </c>
      <c r="D1118" s="1" t="s">
        <v>3062</v>
      </c>
      <c r="E1118" s="1" t="s">
        <v>7150</v>
      </c>
      <c r="F1118" s="1" t="s">
        <v>6444</v>
      </c>
      <c r="G1118" s="1" t="s">
        <v>6445</v>
      </c>
    </row>
    <row r="1119" spans="1:7">
      <c r="A1119" s="1">
        <v>2509</v>
      </c>
      <c r="B1119" s="1" t="s">
        <v>7151</v>
      </c>
      <c r="D1119" s="1" t="s">
        <v>3062</v>
      </c>
      <c r="E1119" s="1" t="s">
        <v>7152</v>
      </c>
      <c r="F1119" s="1" t="s">
        <v>6448</v>
      </c>
      <c r="G1119" s="1" t="s">
        <v>6449</v>
      </c>
    </row>
    <row r="1120" spans="1:7">
      <c r="A1120" s="1">
        <v>2510</v>
      </c>
      <c r="B1120" s="1" t="s">
        <v>7153</v>
      </c>
      <c r="D1120" s="1" t="s">
        <v>3062</v>
      </c>
      <c r="E1120" s="1" t="s">
        <v>7154</v>
      </c>
      <c r="F1120" s="1" t="s">
        <v>6452</v>
      </c>
      <c r="G1120" s="1" t="s">
        <v>6453</v>
      </c>
    </row>
    <row r="1121" spans="1:7">
      <c r="A1121" s="1">
        <v>2511</v>
      </c>
      <c r="B1121" s="1" t="s">
        <v>7155</v>
      </c>
      <c r="D1121" s="1" t="s">
        <v>3062</v>
      </c>
      <c r="E1121" s="1" t="s">
        <v>7156</v>
      </c>
      <c r="F1121" s="1" t="s">
        <v>6456</v>
      </c>
      <c r="G1121" s="1" t="s">
        <v>6457</v>
      </c>
    </row>
    <row r="1122" spans="1:7">
      <c r="A1122" s="1">
        <v>2513</v>
      </c>
      <c r="B1122" s="1" t="s">
        <v>7157</v>
      </c>
      <c r="D1122" s="1" t="s">
        <v>3062</v>
      </c>
      <c r="E1122" s="1" t="s">
        <v>3063</v>
      </c>
      <c r="F1122" s="1" t="s">
        <v>6459</v>
      </c>
      <c r="G1122" s="1" t="s">
        <v>6460</v>
      </c>
    </row>
    <row r="1123" spans="1:7">
      <c r="A1123" s="1">
        <v>2514</v>
      </c>
      <c r="B1123" s="1" t="s">
        <v>7158</v>
      </c>
      <c r="D1123" s="1" t="s">
        <v>3062</v>
      </c>
      <c r="E1123" s="1" t="s">
        <v>3077</v>
      </c>
      <c r="F1123" s="1" t="s">
        <v>6462</v>
      </c>
      <c r="G1123" s="1" t="s">
        <v>6463</v>
      </c>
    </row>
    <row r="1124" spans="1:7">
      <c r="A1124" s="1">
        <v>2515</v>
      </c>
      <c r="B1124" s="1" t="s">
        <v>7159</v>
      </c>
      <c r="D1124" s="1" t="s">
        <v>3062</v>
      </c>
      <c r="E1124" s="1" t="s">
        <v>3079</v>
      </c>
      <c r="F1124" s="1" t="s">
        <v>6465</v>
      </c>
      <c r="G1124" s="1" t="s">
        <v>6466</v>
      </c>
    </row>
    <row r="1125" spans="1:7">
      <c r="A1125" s="1">
        <v>2516</v>
      </c>
      <c r="B1125" s="1" t="s">
        <v>7160</v>
      </c>
      <c r="D1125" s="1" t="s">
        <v>3093</v>
      </c>
      <c r="E1125" s="1" t="s">
        <v>3116</v>
      </c>
      <c r="F1125" s="1" t="s">
        <v>6419</v>
      </c>
      <c r="G1125" s="1" t="s">
        <v>6420</v>
      </c>
    </row>
    <row r="1126" spans="1:7">
      <c r="A1126" s="1">
        <v>2517</v>
      </c>
      <c r="B1126" s="1" t="s">
        <v>7161</v>
      </c>
      <c r="D1126" s="1" t="s">
        <v>3093</v>
      </c>
      <c r="E1126" s="1" t="s">
        <v>3118</v>
      </c>
      <c r="F1126" s="1" t="s">
        <v>6422</v>
      </c>
      <c r="G1126" s="1" t="s">
        <v>6423</v>
      </c>
    </row>
    <row r="1127" spans="1:7">
      <c r="A1127" s="1">
        <v>2518</v>
      </c>
      <c r="B1127" s="1" t="s">
        <v>7162</v>
      </c>
      <c r="D1127" s="1" t="s">
        <v>3093</v>
      </c>
      <c r="E1127" s="1" t="s">
        <v>3120</v>
      </c>
      <c r="F1127" s="1" t="s">
        <v>6425</v>
      </c>
      <c r="G1127" s="1" t="s">
        <v>6420</v>
      </c>
    </row>
    <row r="1128" spans="1:7">
      <c r="A1128" s="1">
        <v>2519</v>
      </c>
      <c r="B1128" s="1" t="s">
        <v>7163</v>
      </c>
      <c r="D1128" s="1" t="s">
        <v>3093</v>
      </c>
      <c r="E1128" s="1" t="s">
        <v>3122</v>
      </c>
      <c r="F1128" s="1" t="s">
        <v>6427</v>
      </c>
      <c r="G1128" s="1" t="s">
        <v>6423</v>
      </c>
    </row>
    <row r="1129" spans="1:7">
      <c r="A1129" s="1">
        <v>2520</v>
      </c>
      <c r="B1129" s="1" t="s">
        <v>7164</v>
      </c>
      <c r="D1129" s="1" t="s">
        <v>3093</v>
      </c>
      <c r="E1129" s="1" t="s">
        <v>3114</v>
      </c>
      <c r="F1129" s="1" t="s">
        <v>6429</v>
      </c>
      <c r="G1129" s="1" t="s">
        <v>6430</v>
      </c>
    </row>
    <row r="1130" spans="1:7">
      <c r="A1130" s="1">
        <v>2521</v>
      </c>
      <c r="B1130" s="1" t="s">
        <v>7165</v>
      </c>
      <c r="D1130" s="1" t="s">
        <v>3093</v>
      </c>
      <c r="E1130" s="1" t="s">
        <v>3112</v>
      </c>
      <c r="F1130" s="1" t="s">
        <v>6432</v>
      </c>
      <c r="G1130" s="1" t="s">
        <v>6433</v>
      </c>
    </row>
    <row r="1131" spans="1:7">
      <c r="A1131" s="1">
        <v>2524</v>
      </c>
      <c r="B1131" s="1" t="s">
        <v>7166</v>
      </c>
      <c r="D1131" s="1" t="s">
        <v>3093</v>
      </c>
      <c r="E1131" s="1" t="s">
        <v>7167</v>
      </c>
      <c r="F1131" s="1" t="s">
        <v>6436</v>
      </c>
      <c r="G1131" s="1" t="s">
        <v>6437</v>
      </c>
    </row>
    <row r="1132" spans="1:7">
      <c r="A1132" s="1">
        <v>2525</v>
      </c>
      <c r="B1132" s="1" t="s">
        <v>7168</v>
      </c>
      <c r="D1132" s="1" t="s">
        <v>3093</v>
      </c>
      <c r="E1132" s="1" t="s">
        <v>7169</v>
      </c>
      <c r="F1132" s="1" t="s">
        <v>6440</v>
      </c>
      <c r="G1132" s="1" t="s">
        <v>6441</v>
      </c>
    </row>
    <row r="1133" spans="1:7">
      <c r="A1133" s="1">
        <v>2526</v>
      </c>
      <c r="B1133" s="1" t="s">
        <v>7170</v>
      </c>
      <c r="D1133" s="1" t="s">
        <v>3093</v>
      </c>
      <c r="E1133" s="1" t="s">
        <v>7171</v>
      </c>
      <c r="F1133" s="1" t="s">
        <v>6444</v>
      </c>
      <c r="G1133" s="1" t="s">
        <v>6445</v>
      </c>
    </row>
    <row r="1134" spans="1:7">
      <c r="A1134" s="1">
        <v>2527</v>
      </c>
      <c r="B1134" s="1" t="s">
        <v>7172</v>
      </c>
      <c r="D1134" s="1" t="s">
        <v>3093</v>
      </c>
      <c r="E1134" s="1" t="s">
        <v>7173</v>
      </c>
      <c r="F1134" s="1" t="s">
        <v>6448</v>
      </c>
      <c r="G1134" s="1" t="s">
        <v>6449</v>
      </c>
    </row>
    <row r="1135" spans="1:7">
      <c r="A1135" s="1">
        <v>2528</v>
      </c>
      <c r="B1135" s="1" t="s">
        <v>7174</v>
      </c>
      <c r="D1135" s="1" t="s">
        <v>3093</v>
      </c>
      <c r="E1135" s="1" t="s">
        <v>7175</v>
      </c>
      <c r="F1135" s="1" t="s">
        <v>6452</v>
      </c>
      <c r="G1135" s="1" t="s">
        <v>6453</v>
      </c>
    </row>
    <row r="1136" spans="1:7">
      <c r="A1136" s="1">
        <v>2529</v>
      </c>
      <c r="B1136" s="1" t="s">
        <v>7176</v>
      </c>
      <c r="D1136" s="1" t="s">
        <v>3093</v>
      </c>
      <c r="E1136" s="1" t="s">
        <v>7177</v>
      </c>
      <c r="F1136" s="1" t="s">
        <v>6456</v>
      </c>
      <c r="G1136" s="1" t="s">
        <v>6457</v>
      </c>
    </row>
    <row r="1137" spans="1:7">
      <c r="A1137" s="1">
        <v>2531</v>
      </c>
      <c r="B1137" s="1" t="s">
        <v>7178</v>
      </c>
      <c r="D1137" s="1" t="s">
        <v>3093</v>
      </c>
      <c r="E1137" s="1" t="s">
        <v>3094</v>
      </c>
      <c r="F1137" s="1" t="s">
        <v>6459</v>
      </c>
      <c r="G1137" s="1" t="s">
        <v>6460</v>
      </c>
    </row>
    <row r="1138" spans="1:7">
      <c r="A1138" s="1">
        <v>2532</v>
      </c>
      <c r="B1138" s="1" t="s">
        <v>7179</v>
      </c>
      <c r="D1138" s="1" t="s">
        <v>3093</v>
      </c>
      <c r="E1138" s="1" t="s">
        <v>3108</v>
      </c>
      <c r="F1138" s="1" t="s">
        <v>6462</v>
      </c>
      <c r="G1138" s="1" t="s">
        <v>6463</v>
      </c>
    </row>
    <row r="1139" spans="1:7">
      <c r="A1139" s="1">
        <v>2533</v>
      </c>
      <c r="B1139" s="1" t="s">
        <v>7180</v>
      </c>
      <c r="D1139" s="1" t="s">
        <v>3093</v>
      </c>
      <c r="E1139" s="1" t="s">
        <v>3110</v>
      </c>
      <c r="F1139" s="1" t="s">
        <v>6465</v>
      </c>
      <c r="G1139" s="1" t="s">
        <v>6466</v>
      </c>
    </row>
    <row r="1140" spans="1:7">
      <c r="A1140" s="1">
        <v>2534</v>
      </c>
      <c r="B1140" s="1" t="s">
        <v>7181</v>
      </c>
      <c r="D1140" s="1" t="s">
        <v>3124</v>
      </c>
      <c r="E1140" s="1" t="s">
        <v>3147</v>
      </c>
      <c r="F1140" s="1" t="s">
        <v>6419</v>
      </c>
      <c r="G1140" s="1" t="s">
        <v>6420</v>
      </c>
    </row>
    <row r="1141" spans="1:7">
      <c r="A1141" s="1">
        <v>2535</v>
      </c>
      <c r="B1141" s="1" t="s">
        <v>7182</v>
      </c>
      <c r="D1141" s="1" t="s">
        <v>3124</v>
      </c>
      <c r="E1141" s="1" t="s">
        <v>3149</v>
      </c>
      <c r="F1141" s="1" t="s">
        <v>6422</v>
      </c>
      <c r="G1141" s="1" t="s">
        <v>6423</v>
      </c>
    </row>
    <row r="1142" spans="1:7">
      <c r="A1142" s="1">
        <v>2536</v>
      </c>
      <c r="B1142" s="1" t="s">
        <v>7183</v>
      </c>
      <c r="D1142" s="1" t="s">
        <v>3124</v>
      </c>
      <c r="E1142" s="1" t="s">
        <v>3151</v>
      </c>
      <c r="F1142" s="1" t="s">
        <v>6425</v>
      </c>
      <c r="G1142" s="1" t="s">
        <v>6420</v>
      </c>
    </row>
    <row r="1143" spans="1:7">
      <c r="A1143" s="1">
        <v>2537</v>
      </c>
      <c r="B1143" s="1" t="s">
        <v>7184</v>
      </c>
      <c r="D1143" s="1" t="s">
        <v>3124</v>
      </c>
      <c r="E1143" s="1" t="s">
        <v>3153</v>
      </c>
      <c r="F1143" s="1" t="s">
        <v>6427</v>
      </c>
      <c r="G1143" s="1" t="s">
        <v>6423</v>
      </c>
    </row>
    <row r="1144" spans="1:7">
      <c r="A1144" s="1">
        <v>2538</v>
      </c>
      <c r="B1144" s="1" t="s">
        <v>7185</v>
      </c>
      <c r="D1144" s="1" t="s">
        <v>3124</v>
      </c>
      <c r="E1144" s="1" t="s">
        <v>3145</v>
      </c>
      <c r="F1144" s="1" t="s">
        <v>6429</v>
      </c>
      <c r="G1144" s="1" t="s">
        <v>6430</v>
      </c>
    </row>
    <row r="1145" spans="1:7">
      <c r="A1145" s="1">
        <v>2539</v>
      </c>
      <c r="B1145" s="1" t="s">
        <v>7186</v>
      </c>
      <c r="D1145" s="1" t="s">
        <v>3124</v>
      </c>
      <c r="E1145" s="1" t="s">
        <v>3143</v>
      </c>
      <c r="F1145" s="1" t="s">
        <v>6432</v>
      </c>
      <c r="G1145" s="1" t="s">
        <v>6433</v>
      </c>
    </row>
    <row r="1146" spans="1:7">
      <c r="A1146" s="1">
        <v>2542</v>
      </c>
      <c r="B1146" s="1" t="s">
        <v>7187</v>
      </c>
      <c r="D1146" s="1" t="s">
        <v>3124</v>
      </c>
      <c r="E1146" s="1" t="s">
        <v>7188</v>
      </c>
      <c r="F1146" s="1" t="s">
        <v>6436</v>
      </c>
      <c r="G1146" s="1" t="s">
        <v>6437</v>
      </c>
    </row>
    <row r="1147" spans="1:7">
      <c r="A1147" s="1">
        <v>2543</v>
      </c>
      <c r="B1147" s="1" t="s">
        <v>7189</v>
      </c>
      <c r="D1147" s="1" t="s">
        <v>3124</v>
      </c>
      <c r="E1147" s="1" t="s">
        <v>7190</v>
      </c>
      <c r="F1147" s="1" t="s">
        <v>6440</v>
      </c>
      <c r="G1147" s="1" t="s">
        <v>6441</v>
      </c>
    </row>
    <row r="1148" spans="1:7">
      <c r="A1148" s="1">
        <v>2544</v>
      </c>
      <c r="B1148" s="1" t="s">
        <v>7191</v>
      </c>
      <c r="D1148" s="1" t="s">
        <v>3124</v>
      </c>
      <c r="E1148" s="1" t="s">
        <v>7192</v>
      </c>
      <c r="F1148" s="1" t="s">
        <v>6444</v>
      </c>
      <c r="G1148" s="1" t="s">
        <v>6445</v>
      </c>
    </row>
    <row r="1149" spans="1:7">
      <c r="A1149" s="1">
        <v>2545</v>
      </c>
      <c r="B1149" s="1" t="s">
        <v>7193</v>
      </c>
      <c r="D1149" s="1" t="s">
        <v>3124</v>
      </c>
      <c r="E1149" s="1" t="s">
        <v>7194</v>
      </c>
      <c r="F1149" s="1" t="s">
        <v>6448</v>
      </c>
      <c r="G1149" s="1" t="s">
        <v>6449</v>
      </c>
    </row>
    <row r="1150" spans="1:7">
      <c r="A1150" s="1">
        <v>2546</v>
      </c>
      <c r="B1150" s="1" t="s">
        <v>7195</v>
      </c>
      <c r="D1150" s="1" t="s">
        <v>3124</v>
      </c>
      <c r="E1150" s="1" t="s">
        <v>7196</v>
      </c>
      <c r="F1150" s="1" t="s">
        <v>6452</v>
      </c>
      <c r="G1150" s="1" t="s">
        <v>6453</v>
      </c>
    </row>
    <row r="1151" spans="1:7">
      <c r="A1151" s="1">
        <v>2547</v>
      </c>
      <c r="B1151" s="1" t="s">
        <v>7197</v>
      </c>
      <c r="D1151" s="1" t="s">
        <v>3124</v>
      </c>
      <c r="E1151" s="1" t="s">
        <v>7198</v>
      </c>
      <c r="F1151" s="1" t="s">
        <v>6456</v>
      </c>
      <c r="G1151" s="1" t="s">
        <v>6457</v>
      </c>
    </row>
    <row r="1152" spans="1:7">
      <c r="A1152" s="1">
        <v>2549</v>
      </c>
      <c r="B1152" s="1" t="s">
        <v>7199</v>
      </c>
      <c r="D1152" s="1" t="s">
        <v>3124</v>
      </c>
      <c r="E1152" s="1" t="s">
        <v>3125</v>
      </c>
      <c r="F1152" s="1" t="s">
        <v>6459</v>
      </c>
      <c r="G1152" s="1" t="s">
        <v>6460</v>
      </c>
    </row>
    <row r="1153" spans="1:7">
      <c r="A1153" s="1">
        <v>2550</v>
      </c>
      <c r="B1153" s="1" t="s">
        <v>7200</v>
      </c>
      <c r="D1153" s="1" t="s">
        <v>3124</v>
      </c>
      <c r="E1153" s="1" t="s">
        <v>3139</v>
      </c>
      <c r="F1153" s="1" t="s">
        <v>6462</v>
      </c>
      <c r="G1153" s="1" t="s">
        <v>6463</v>
      </c>
    </row>
    <row r="1154" spans="1:7">
      <c r="A1154" s="1">
        <v>2551</v>
      </c>
      <c r="B1154" s="1" t="s">
        <v>7201</v>
      </c>
      <c r="D1154" s="1" t="s">
        <v>3124</v>
      </c>
      <c r="E1154" s="1" t="s">
        <v>3141</v>
      </c>
      <c r="F1154" s="1" t="s">
        <v>6465</v>
      </c>
      <c r="G1154" s="1" t="s">
        <v>6466</v>
      </c>
    </row>
    <row r="1155" spans="1:7">
      <c r="A1155" s="1">
        <v>2552</v>
      </c>
      <c r="B1155" s="1" t="s">
        <v>7202</v>
      </c>
      <c r="D1155" s="1" t="s">
        <v>3155</v>
      </c>
      <c r="E1155" s="1" t="s">
        <v>3178</v>
      </c>
      <c r="F1155" s="1" t="s">
        <v>6419</v>
      </c>
      <c r="G1155" s="1" t="s">
        <v>6420</v>
      </c>
    </row>
    <row r="1156" spans="1:7">
      <c r="A1156" s="1">
        <v>2553</v>
      </c>
      <c r="B1156" s="1" t="s">
        <v>7203</v>
      </c>
      <c r="D1156" s="1" t="s">
        <v>3155</v>
      </c>
      <c r="E1156" s="1" t="s">
        <v>3180</v>
      </c>
      <c r="F1156" s="1" t="s">
        <v>6422</v>
      </c>
      <c r="G1156" s="1" t="s">
        <v>6423</v>
      </c>
    </row>
    <row r="1157" spans="1:7">
      <c r="A1157" s="1">
        <v>2554</v>
      </c>
      <c r="B1157" s="1" t="s">
        <v>7204</v>
      </c>
      <c r="D1157" s="1" t="s">
        <v>3155</v>
      </c>
      <c r="E1157" s="1" t="s">
        <v>3182</v>
      </c>
      <c r="F1157" s="1" t="s">
        <v>6425</v>
      </c>
      <c r="G1157" s="1" t="s">
        <v>6420</v>
      </c>
    </row>
    <row r="1158" spans="1:7">
      <c r="A1158" s="1">
        <v>2555</v>
      </c>
      <c r="B1158" s="1" t="s">
        <v>7205</v>
      </c>
      <c r="D1158" s="1" t="s">
        <v>3155</v>
      </c>
      <c r="E1158" s="1" t="s">
        <v>3184</v>
      </c>
      <c r="F1158" s="1" t="s">
        <v>6427</v>
      </c>
      <c r="G1158" s="1" t="s">
        <v>6423</v>
      </c>
    </row>
    <row r="1159" spans="1:7">
      <c r="A1159" s="1">
        <v>2556</v>
      </c>
      <c r="B1159" s="1" t="s">
        <v>7206</v>
      </c>
      <c r="D1159" s="1" t="s">
        <v>3155</v>
      </c>
      <c r="E1159" s="1" t="s">
        <v>3176</v>
      </c>
      <c r="F1159" s="1" t="s">
        <v>6429</v>
      </c>
      <c r="G1159" s="1" t="s">
        <v>6430</v>
      </c>
    </row>
    <row r="1160" spans="1:7">
      <c r="A1160" s="1">
        <v>2557</v>
      </c>
      <c r="B1160" s="1" t="s">
        <v>7207</v>
      </c>
      <c r="D1160" s="1" t="s">
        <v>3155</v>
      </c>
      <c r="E1160" s="1" t="s">
        <v>3174</v>
      </c>
      <c r="F1160" s="1" t="s">
        <v>6432</v>
      </c>
      <c r="G1160" s="1" t="s">
        <v>6433</v>
      </c>
    </row>
    <row r="1161" spans="1:7">
      <c r="A1161" s="1">
        <v>2560</v>
      </c>
      <c r="B1161" s="1" t="s">
        <v>7208</v>
      </c>
      <c r="D1161" s="1" t="s">
        <v>3155</v>
      </c>
      <c r="E1161" s="1" t="s">
        <v>7209</v>
      </c>
      <c r="F1161" s="1" t="s">
        <v>6436</v>
      </c>
      <c r="G1161" s="1" t="s">
        <v>6437</v>
      </c>
    </row>
    <row r="1162" spans="1:7">
      <c r="A1162" s="1">
        <v>2561</v>
      </c>
      <c r="B1162" s="1" t="s">
        <v>7210</v>
      </c>
      <c r="D1162" s="1" t="s">
        <v>3155</v>
      </c>
      <c r="E1162" s="1" t="s">
        <v>7211</v>
      </c>
      <c r="F1162" s="1" t="s">
        <v>6440</v>
      </c>
      <c r="G1162" s="1" t="s">
        <v>6441</v>
      </c>
    </row>
    <row r="1163" spans="1:7">
      <c r="A1163" s="1">
        <v>2562</v>
      </c>
      <c r="B1163" s="1" t="s">
        <v>7212</v>
      </c>
      <c r="D1163" s="1" t="s">
        <v>3155</v>
      </c>
      <c r="E1163" s="1" t="s">
        <v>7213</v>
      </c>
      <c r="F1163" s="1" t="s">
        <v>6444</v>
      </c>
      <c r="G1163" s="1" t="s">
        <v>6445</v>
      </c>
    </row>
    <row r="1164" spans="1:7">
      <c r="A1164" s="1">
        <v>2563</v>
      </c>
      <c r="B1164" s="1" t="s">
        <v>7214</v>
      </c>
      <c r="D1164" s="1" t="s">
        <v>3155</v>
      </c>
      <c r="E1164" s="1" t="s">
        <v>7215</v>
      </c>
      <c r="F1164" s="1" t="s">
        <v>6448</v>
      </c>
      <c r="G1164" s="1" t="s">
        <v>6449</v>
      </c>
    </row>
    <row r="1165" spans="1:7">
      <c r="A1165" s="1">
        <v>2564</v>
      </c>
      <c r="B1165" s="1" t="s">
        <v>7216</v>
      </c>
      <c r="D1165" s="1" t="s">
        <v>3155</v>
      </c>
      <c r="E1165" s="1" t="s">
        <v>7217</v>
      </c>
      <c r="F1165" s="1" t="s">
        <v>6452</v>
      </c>
      <c r="G1165" s="1" t="s">
        <v>6453</v>
      </c>
    </row>
    <row r="1166" spans="1:7">
      <c r="A1166" s="1">
        <v>2565</v>
      </c>
      <c r="B1166" s="1" t="s">
        <v>7218</v>
      </c>
      <c r="D1166" s="1" t="s">
        <v>3155</v>
      </c>
      <c r="E1166" s="1" t="s">
        <v>7219</v>
      </c>
      <c r="F1166" s="1" t="s">
        <v>6456</v>
      </c>
      <c r="G1166" s="1" t="s">
        <v>6457</v>
      </c>
    </row>
    <row r="1167" spans="1:7">
      <c r="A1167" s="1">
        <v>2567</v>
      </c>
      <c r="B1167" s="1" t="s">
        <v>7220</v>
      </c>
      <c r="D1167" s="1" t="s">
        <v>3155</v>
      </c>
      <c r="E1167" s="1" t="s">
        <v>3156</v>
      </c>
      <c r="F1167" s="1" t="s">
        <v>6459</v>
      </c>
      <c r="G1167" s="1" t="s">
        <v>6460</v>
      </c>
    </row>
    <row r="1168" spans="1:7">
      <c r="A1168" s="1">
        <v>2568</v>
      </c>
      <c r="B1168" s="1" t="s">
        <v>7221</v>
      </c>
      <c r="D1168" s="1" t="s">
        <v>3155</v>
      </c>
      <c r="E1168" s="1" t="s">
        <v>3170</v>
      </c>
      <c r="F1168" s="1" t="s">
        <v>6462</v>
      </c>
      <c r="G1168" s="1" t="s">
        <v>6463</v>
      </c>
    </row>
    <row r="1169" spans="1:7">
      <c r="A1169" s="1">
        <v>2569</v>
      </c>
      <c r="B1169" s="1" t="s">
        <v>7222</v>
      </c>
      <c r="D1169" s="1" t="s">
        <v>3155</v>
      </c>
      <c r="E1169" s="1" t="s">
        <v>3172</v>
      </c>
      <c r="F1169" s="1" t="s">
        <v>6465</v>
      </c>
      <c r="G1169" s="1" t="s">
        <v>6466</v>
      </c>
    </row>
    <row r="1170" spans="1:7">
      <c r="A1170" s="1">
        <v>2570</v>
      </c>
      <c r="B1170" s="1" t="s">
        <v>7223</v>
      </c>
      <c r="D1170" s="1" t="s">
        <v>3186</v>
      </c>
      <c r="E1170" s="1" t="s">
        <v>3209</v>
      </c>
      <c r="F1170" s="1" t="s">
        <v>6419</v>
      </c>
      <c r="G1170" s="1" t="s">
        <v>6420</v>
      </c>
    </row>
    <row r="1171" spans="1:7">
      <c r="A1171" s="1">
        <v>2571</v>
      </c>
      <c r="B1171" s="1" t="s">
        <v>7224</v>
      </c>
      <c r="D1171" s="1" t="s">
        <v>3186</v>
      </c>
      <c r="E1171" s="1" t="s">
        <v>3211</v>
      </c>
      <c r="F1171" s="1" t="s">
        <v>6422</v>
      </c>
      <c r="G1171" s="1" t="s">
        <v>6423</v>
      </c>
    </row>
    <row r="1172" spans="1:7">
      <c r="A1172" s="1">
        <v>2572</v>
      </c>
      <c r="B1172" s="1" t="s">
        <v>7225</v>
      </c>
      <c r="D1172" s="1" t="s">
        <v>3186</v>
      </c>
      <c r="E1172" s="1" t="s">
        <v>3213</v>
      </c>
      <c r="F1172" s="1" t="s">
        <v>6425</v>
      </c>
      <c r="G1172" s="1" t="s">
        <v>6420</v>
      </c>
    </row>
    <row r="1173" spans="1:7">
      <c r="A1173" s="1">
        <v>2573</v>
      </c>
      <c r="B1173" s="1" t="s">
        <v>7226</v>
      </c>
      <c r="D1173" s="1" t="s">
        <v>3186</v>
      </c>
      <c r="E1173" s="1" t="s">
        <v>3215</v>
      </c>
      <c r="F1173" s="1" t="s">
        <v>6427</v>
      </c>
      <c r="G1173" s="1" t="s">
        <v>6423</v>
      </c>
    </row>
    <row r="1174" spans="1:7">
      <c r="A1174" s="1">
        <v>2574</v>
      </c>
      <c r="B1174" s="1" t="s">
        <v>7227</v>
      </c>
      <c r="D1174" s="1" t="s">
        <v>3186</v>
      </c>
      <c r="E1174" s="1" t="s">
        <v>3207</v>
      </c>
      <c r="F1174" s="1" t="s">
        <v>6429</v>
      </c>
      <c r="G1174" s="1" t="s">
        <v>6430</v>
      </c>
    </row>
    <row r="1175" spans="1:7">
      <c r="A1175" s="1">
        <v>2575</v>
      </c>
      <c r="B1175" s="1" t="s">
        <v>7228</v>
      </c>
      <c r="D1175" s="1" t="s">
        <v>3186</v>
      </c>
      <c r="E1175" s="1" t="s">
        <v>3205</v>
      </c>
      <c r="F1175" s="1" t="s">
        <v>6432</v>
      </c>
      <c r="G1175" s="1" t="s">
        <v>6433</v>
      </c>
    </row>
    <row r="1176" spans="1:7">
      <c r="A1176" s="1">
        <v>2578</v>
      </c>
      <c r="B1176" s="1" t="s">
        <v>7229</v>
      </c>
      <c r="D1176" s="1" t="s">
        <v>3186</v>
      </c>
      <c r="E1176" s="1" t="s">
        <v>7230</v>
      </c>
      <c r="F1176" s="1" t="s">
        <v>6436</v>
      </c>
      <c r="G1176" s="1" t="s">
        <v>6437</v>
      </c>
    </row>
    <row r="1177" spans="1:7">
      <c r="A1177" s="1">
        <v>2579</v>
      </c>
      <c r="B1177" s="1" t="s">
        <v>7231</v>
      </c>
      <c r="D1177" s="1" t="s">
        <v>3186</v>
      </c>
      <c r="E1177" s="1" t="s">
        <v>7232</v>
      </c>
      <c r="F1177" s="1" t="s">
        <v>6440</v>
      </c>
      <c r="G1177" s="1" t="s">
        <v>6441</v>
      </c>
    </row>
    <row r="1178" spans="1:7">
      <c r="A1178" s="1">
        <v>2580</v>
      </c>
      <c r="B1178" s="1" t="s">
        <v>7233</v>
      </c>
      <c r="D1178" s="1" t="s">
        <v>3186</v>
      </c>
      <c r="E1178" s="1" t="s">
        <v>7234</v>
      </c>
      <c r="F1178" s="1" t="s">
        <v>6444</v>
      </c>
      <c r="G1178" s="1" t="s">
        <v>6445</v>
      </c>
    </row>
    <row r="1179" spans="1:7">
      <c r="A1179" s="1">
        <v>2581</v>
      </c>
      <c r="B1179" s="1" t="s">
        <v>7235</v>
      </c>
      <c r="D1179" s="1" t="s">
        <v>3186</v>
      </c>
      <c r="E1179" s="1" t="s">
        <v>7236</v>
      </c>
      <c r="F1179" s="1" t="s">
        <v>6448</v>
      </c>
      <c r="G1179" s="1" t="s">
        <v>6449</v>
      </c>
    </row>
    <row r="1180" spans="1:7">
      <c r="A1180" s="1">
        <v>2582</v>
      </c>
      <c r="B1180" s="1" t="s">
        <v>7237</v>
      </c>
      <c r="D1180" s="1" t="s">
        <v>3186</v>
      </c>
      <c r="E1180" s="1" t="s">
        <v>7238</v>
      </c>
      <c r="F1180" s="1" t="s">
        <v>6452</v>
      </c>
      <c r="G1180" s="1" t="s">
        <v>6453</v>
      </c>
    </row>
    <row r="1181" spans="1:7">
      <c r="A1181" s="1">
        <v>2583</v>
      </c>
      <c r="B1181" s="1" t="s">
        <v>7239</v>
      </c>
      <c r="D1181" s="1" t="s">
        <v>3186</v>
      </c>
      <c r="E1181" s="1" t="s">
        <v>7240</v>
      </c>
      <c r="F1181" s="1" t="s">
        <v>6456</v>
      </c>
      <c r="G1181" s="1" t="s">
        <v>6457</v>
      </c>
    </row>
    <row r="1182" spans="1:7">
      <c r="A1182" s="1">
        <v>2585</v>
      </c>
      <c r="B1182" s="1" t="s">
        <v>7241</v>
      </c>
      <c r="D1182" s="1" t="s">
        <v>3186</v>
      </c>
      <c r="E1182" s="1" t="s">
        <v>3187</v>
      </c>
      <c r="F1182" s="1" t="s">
        <v>6459</v>
      </c>
      <c r="G1182" s="1" t="s">
        <v>6460</v>
      </c>
    </row>
    <row r="1183" spans="1:7">
      <c r="A1183" s="1">
        <v>2586</v>
      </c>
      <c r="B1183" s="1" t="s">
        <v>7242</v>
      </c>
      <c r="D1183" s="1" t="s">
        <v>3186</v>
      </c>
      <c r="E1183" s="1" t="s">
        <v>3201</v>
      </c>
      <c r="F1183" s="1" t="s">
        <v>6462</v>
      </c>
      <c r="G1183" s="1" t="s">
        <v>6463</v>
      </c>
    </row>
    <row r="1184" spans="1:7">
      <c r="A1184" s="1">
        <v>2587</v>
      </c>
      <c r="B1184" s="1" t="s">
        <v>7243</v>
      </c>
      <c r="D1184" s="1" t="s">
        <v>3186</v>
      </c>
      <c r="E1184" s="1" t="s">
        <v>3203</v>
      </c>
      <c r="F1184" s="1" t="s">
        <v>6465</v>
      </c>
      <c r="G1184" s="1" t="s">
        <v>6466</v>
      </c>
    </row>
    <row r="1185" spans="1:7">
      <c r="A1185" s="1">
        <v>2588</v>
      </c>
      <c r="B1185" s="1" t="s">
        <v>7244</v>
      </c>
      <c r="D1185" s="1" t="s">
        <v>3217</v>
      </c>
      <c r="E1185" s="1" t="s">
        <v>3240</v>
      </c>
      <c r="F1185" s="1" t="s">
        <v>6419</v>
      </c>
      <c r="G1185" s="1" t="s">
        <v>6420</v>
      </c>
    </row>
    <row r="1186" spans="1:7">
      <c r="A1186" s="1">
        <v>2589</v>
      </c>
      <c r="B1186" s="1" t="s">
        <v>7245</v>
      </c>
      <c r="D1186" s="1" t="s">
        <v>3217</v>
      </c>
      <c r="E1186" s="1" t="s">
        <v>3242</v>
      </c>
      <c r="F1186" s="1" t="s">
        <v>6422</v>
      </c>
      <c r="G1186" s="1" t="s">
        <v>6423</v>
      </c>
    </row>
    <row r="1187" spans="1:7">
      <c r="A1187" s="1">
        <v>2590</v>
      </c>
      <c r="B1187" s="1" t="s">
        <v>7246</v>
      </c>
      <c r="D1187" s="1" t="s">
        <v>3217</v>
      </c>
      <c r="E1187" s="1" t="s">
        <v>3244</v>
      </c>
      <c r="F1187" s="1" t="s">
        <v>6425</v>
      </c>
      <c r="G1187" s="1" t="s">
        <v>6420</v>
      </c>
    </row>
    <row r="1188" spans="1:7">
      <c r="A1188" s="1">
        <v>2591</v>
      </c>
      <c r="B1188" s="1" t="s">
        <v>7247</v>
      </c>
      <c r="D1188" s="1" t="s">
        <v>3217</v>
      </c>
      <c r="E1188" s="1" t="s">
        <v>3246</v>
      </c>
      <c r="F1188" s="1" t="s">
        <v>6427</v>
      </c>
      <c r="G1188" s="1" t="s">
        <v>6423</v>
      </c>
    </row>
    <row r="1189" spans="1:7">
      <c r="A1189" s="1">
        <v>2592</v>
      </c>
      <c r="B1189" s="1" t="s">
        <v>7248</v>
      </c>
      <c r="D1189" s="1" t="s">
        <v>3217</v>
      </c>
      <c r="E1189" s="1" t="s">
        <v>3238</v>
      </c>
      <c r="F1189" s="1" t="s">
        <v>6429</v>
      </c>
      <c r="G1189" s="1" t="s">
        <v>6430</v>
      </c>
    </row>
    <row r="1190" spans="1:7">
      <c r="A1190" s="1">
        <v>2593</v>
      </c>
      <c r="B1190" s="1" t="s">
        <v>7249</v>
      </c>
      <c r="D1190" s="1" t="s">
        <v>3217</v>
      </c>
      <c r="E1190" s="1" t="s">
        <v>3236</v>
      </c>
      <c r="F1190" s="1" t="s">
        <v>6432</v>
      </c>
      <c r="G1190" s="1" t="s">
        <v>6433</v>
      </c>
    </row>
    <row r="1191" spans="1:7">
      <c r="A1191" s="1">
        <v>2596</v>
      </c>
      <c r="B1191" s="1" t="s">
        <v>7250</v>
      </c>
      <c r="D1191" s="1" t="s">
        <v>3217</v>
      </c>
      <c r="E1191" s="1" t="s">
        <v>7251</v>
      </c>
      <c r="F1191" s="1" t="s">
        <v>6436</v>
      </c>
      <c r="G1191" s="1" t="s">
        <v>6437</v>
      </c>
    </row>
    <row r="1192" spans="1:7">
      <c r="A1192" s="1">
        <v>2597</v>
      </c>
      <c r="B1192" s="1" t="s">
        <v>7252</v>
      </c>
      <c r="D1192" s="1" t="s">
        <v>3217</v>
      </c>
      <c r="E1192" s="1" t="s">
        <v>7253</v>
      </c>
      <c r="F1192" s="1" t="s">
        <v>6440</v>
      </c>
      <c r="G1192" s="1" t="s">
        <v>6441</v>
      </c>
    </row>
    <row r="1193" spans="1:7">
      <c r="A1193" s="1">
        <v>2598</v>
      </c>
      <c r="B1193" s="1" t="s">
        <v>7254</v>
      </c>
      <c r="D1193" s="1" t="s">
        <v>3217</v>
      </c>
      <c r="E1193" s="1" t="s">
        <v>7255</v>
      </c>
      <c r="F1193" s="1" t="s">
        <v>6444</v>
      </c>
      <c r="G1193" s="1" t="s">
        <v>6445</v>
      </c>
    </row>
    <row r="1194" spans="1:7">
      <c r="A1194" s="1">
        <v>2599</v>
      </c>
      <c r="B1194" s="1" t="s">
        <v>7256</v>
      </c>
      <c r="D1194" s="1" t="s">
        <v>3217</v>
      </c>
      <c r="E1194" s="1" t="s">
        <v>7257</v>
      </c>
      <c r="F1194" s="1" t="s">
        <v>6448</v>
      </c>
      <c r="G1194" s="1" t="s">
        <v>6449</v>
      </c>
    </row>
    <row r="1195" spans="1:7">
      <c r="A1195" s="1">
        <v>2600</v>
      </c>
      <c r="B1195" s="1" t="s">
        <v>7258</v>
      </c>
      <c r="D1195" s="1" t="s">
        <v>3217</v>
      </c>
      <c r="E1195" s="1" t="s">
        <v>7259</v>
      </c>
      <c r="F1195" s="1" t="s">
        <v>6452</v>
      </c>
      <c r="G1195" s="1" t="s">
        <v>6453</v>
      </c>
    </row>
    <row r="1196" spans="1:7">
      <c r="A1196" s="1">
        <v>2601</v>
      </c>
      <c r="B1196" s="1" t="s">
        <v>7260</v>
      </c>
      <c r="D1196" s="1" t="s">
        <v>3217</v>
      </c>
      <c r="E1196" s="1" t="s">
        <v>7261</v>
      </c>
      <c r="F1196" s="1" t="s">
        <v>6456</v>
      </c>
      <c r="G1196" s="1" t="s">
        <v>6457</v>
      </c>
    </row>
    <row r="1197" spans="1:7">
      <c r="A1197" s="1">
        <v>2603</v>
      </c>
      <c r="B1197" s="1" t="s">
        <v>7262</v>
      </c>
      <c r="D1197" s="1" t="s">
        <v>3217</v>
      </c>
      <c r="E1197" s="1" t="s">
        <v>3218</v>
      </c>
      <c r="F1197" s="1" t="s">
        <v>6459</v>
      </c>
      <c r="G1197" s="1" t="s">
        <v>6460</v>
      </c>
    </row>
    <row r="1198" spans="1:7">
      <c r="A1198" s="1">
        <v>2604</v>
      </c>
      <c r="B1198" s="1" t="s">
        <v>7263</v>
      </c>
      <c r="D1198" s="1" t="s">
        <v>3217</v>
      </c>
      <c r="E1198" s="1" t="s">
        <v>3232</v>
      </c>
      <c r="F1198" s="1" t="s">
        <v>6462</v>
      </c>
      <c r="G1198" s="1" t="s">
        <v>6463</v>
      </c>
    </row>
    <row r="1199" spans="1:7">
      <c r="A1199" s="1">
        <v>2605</v>
      </c>
      <c r="B1199" s="1" t="s">
        <v>7264</v>
      </c>
      <c r="D1199" s="1" t="s">
        <v>3217</v>
      </c>
      <c r="E1199" s="1" t="s">
        <v>3234</v>
      </c>
      <c r="F1199" s="1" t="s">
        <v>6465</v>
      </c>
      <c r="G1199" s="1" t="s">
        <v>6466</v>
      </c>
    </row>
    <row r="1200" spans="1:7">
      <c r="A1200" s="1">
        <v>2606</v>
      </c>
      <c r="B1200" s="1" t="s">
        <v>7265</v>
      </c>
      <c r="D1200" s="1" t="s">
        <v>3248</v>
      </c>
      <c r="E1200" s="1" t="s">
        <v>3271</v>
      </c>
      <c r="F1200" s="1" t="s">
        <v>6419</v>
      </c>
      <c r="G1200" s="1" t="s">
        <v>6420</v>
      </c>
    </row>
    <row r="1201" spans="1:7">
      <c r="A1201" s="1">
        <v>2607</v>
      </c>
      <c r="B1201" s="1" t="s">
        <v>7266</v>
      </c>
      <c r="D1201" s="1" t="s">
        <v>3248</v>
      </c>
      <c r="E1201" s="1" t="s">
        <v>3273</v>
      </c>
      <c r="F1201" s="1" t="s">
        <v>6422</v>
      </c>
      <c r="G1201" s="1" t="s">
        <v>6423</v>
      </c>
    </row>
    <row r="1202" spans="1:7">
      <c r="A1202" s="1">
        <v>2608</v>
      </c>
      <c r="B1202" s="1" t="s">
        <v>7267</v>
      </c>
      <c r="D1202" s="1" t="s">
        <v>3248</v>
      </c>
      <c r="E1202" s="1" t="s">
        <v>3275</v>
      </c>
      <c r="F1202" s="1" t="s">
        <v>6425</v>
      </c>
      <c r="G1202" s="1" t="s">
        <v>6420</v>
      </c>
    </row>
    <row r="1203" spans="1:7">
      <c r="A1203" s="1">
        <v>2609</v>
      </c>
      <c r="B1203" s="1" t="s">
        <v>7268</v>
      </c>
      <c r="D1203" s="1" t="s">
        <v>3248</v>
      </c>
      <c r="E1203" s="1" t="s">
        <v>3277</v>
      </c>
      <c r="F1203" s="1" t="s">
        <v>6427</v>
      </c>
      <c r="G1203" s="1" t="s">
        <v>6423</v>
      </c>
    </row>
    <row r="1204" spans="1:7">
      <c r="A1204" s="1">
        <v>2610</v>
      </c>
      <c r="B1204" s="1" t="s">
        <v>7269</v>
      </c>
      <c r="D1204" s="1" t="s">
        <v>3248</v>
      </c>
      <c r="E1204" s="1" t="s">
        <v>3269</v>
      </c>
      <c r="F1204" s="1" t="s">
        <v>6429</v>
      </c>
      <c r="G1204" s="1" t="s">
        <v>6430</v>
      </c>
    </row>
    <row r="1205" spans="1:7">
      <c r="A1205" s="1">
        <v>2611</v>
      </c>
      <c r="B1205" s="1" t="s">
        <v>7270</v>
      </c>
      <c r="D1205" s="1" t="s">
        <v>3248</v>
      </c>
      <c r="E1205" s="1" t="s">
        <v>3267</v>
      </c>
      <c r="F1205" s="1" t="s">
        <v>6432</v>
      </c>
      <c r="G1205" s="1" t="s">
        <v>6433</v>
      </c>
    </row>
    <row r="1206" spans="1:7">
      <c r="A1206" s="1">
        <v>2614</v>
      </c>
      <c r="B1206" s="1" t="s">
        <v>7271</v>
      </c>
      <c r="D1206" s="1" t="s">
        <v>3248</v>
      </c>
      <c r="E1206" s="1" t="s">
        <v>7272</v>
      </c>
      <c r="F1206" s="1" t="s">
        <v>6436</v>
      </c>
      <c r="G1206" s="1" t="s">
        <v>6437</v>
      </c>
    </row>
    <row r="1207" spans="1:7">
      <c r="A1207" s="1">
        <v>2615</v>
      </c>
      <c r="B1207" s="1" t="s">
        <v>7273</v>
      </c>
      <c r="D1207" s="1" t="s">
        <v>3248</v>
      </c>
      <c r="E1207" s="1" t="s">
        <v>7274</v>
      </c>
      <c r="F1207" s="1" t="s">
        <v>6440</v>
      </c>
      <c r="G1207" s="1" t="s">
        <v>6441</v>
      </c>
    </row>
    <row r="1208" spans="1:7">
      <c r="A1208" s="1">
        <v>2616</v>
      </c>
      <c r="B1208" s="1" t="s">
        <v>7275</v>
      </c>
      <c r="D1208" s="1" t="s">
        <v>3248</v>
      </c>
      <c r="E1208" s="1" t="s">
        <v>7276</v>
      </c>
      <c r="F1208" s="1" t="s">
        <v>6444</v>
      </c>
      <c r="G1208" s="1" t="s">
        <v>6445</v>
      </c>
    </row>
    <row r="1209" spans="1:7">
      <c r="A1209" s="1">
        <v>2617</v>
      </c>
      <c r="B1209" s="1" t="s">
        <v>7277</v>
      </c>
      <c r="D1209" s="1" t="s">
        <v>3248</v>
      </c>
      <c r="E1209" s="1" t="s">
        <v>7278</v>
      </c>
      <c r="F1209" s="1" t="s">
        <v>6448</v>
      </c>
      <c r="G1209" s="1" t="s">
        <v>6449</v>
      </c>
    </row>
    <row r="1210" spans="1:7">
      <c r="A1210" s="1">
        <v>2618</v>
      </c>
      <c r="B1210" s="1" t="s">
        <v>7279</v>
      </c>
      <c r="D1210" s="1" t="s">
        <v>3248</v>
      </c>
      <c r="E1210" s="1" t="s">
        <v>7280</v>
      </c>
      <c r="F1210" s="1" t="s">
        <v>6452</v>
      </c>
      <c r="G1210" s="1" t="s">
        <v>6453</v>
      </c>
    </row>
    <row r="1211" spans="1:7">
      <c r="A1211" s="1">
        <v>2619</v>
      </c>
      <c r="B1211" s="1" t="s">
        <v>7281</v>
      </c>
      <c r="D1211" s="1" t="s">
        <v>3248</v>
      </c>
      <c r="E1211" s="1" t="s">
        <v>7282</v>
      </c>
      <c r="F1211" s="1" t="s">
        <v>6456</v>
      </c>
      <c r="G1211" s="1" t="s">
        <v>6457</v>
      </c>
    </row>
    <row r="1212" spans="1:7">
      <c r="A1212" s="1">
        <v>2621</v>
      </c>
      <c r="B1212" s="1" t="s">
        <v>7283</v>
      </c>
      <c r="D1212" s="1" t="s">
        <v>3248</v>
      </c>
      <c r="E1212" s="1" t="s">
        <v>3249</v>
      </c>
      <c r="F1212" s="1" t="s">
        <v>6459</v>
      </c>
      <c r="G1212" s="1" t="s">
        <v>6460</v>
      </c>
    </row>
    <row r="1213" spans="1:7">
      <c r="A1213" s="1">
        <v>2622</v>
      </c>
      <c r="B1213" s="1" t="s">
        <v>7284</v>
      </c>
      <c r="D1213" s="1" t="s">
        <v>3248</v>
      </c>
      <c r="E1213" s="1" t="s">
        <v>3263</v>
      </c>
      <c r="F1213" s="1" t="s">
        <v>6462</v>
      </c>
      <c r="G1213" s="1" t="s">
        <v>6463</v>
      </c>
    </row>
    <row r="1214" spans="1:7">
      <c r="A1214" s="1">
        <v>2623</v>
      </c>
      <c r="B1214" s="1" t="s">
        <v>7285</v>
      </c>
      <c r="D1214" s="1" t="s">
        <v>3248</v>
      </c>
      <c r="E1214" s="1" t="s">
        <v>3265</v>
      </c>
      <c r="F1214" s="1" t="s">
        <v>6465</v>
      </c>
      <c r="G1214" s="1" t="s">
        <v>6466</v>
      </c>
    </row>
    <row r="1215" spans="1:7">
      <c r="A1215" s="1">
        <v>2624</v>
      </c>
      <c r="B1215" s="1" t="s">
        <v>7286</v>
      </c>
      <c r="D1215" s="1" t="s">
        <v>3279</v>
      </c>
      <c r="E1215" s="1" t="s">
        <v>3302</v>
      </c>
      <c r="F1215" s="1" t="s">
        <v>6419</v>
      </c>
      <c r="G1215" s="1" t="s">
        <v>6420</v>
      </c>
    </row>
    <row r="1216" spans="1:7">
      <c r="A1216" s="1">
        <v>2625</v>
      </c>
      <c r="B1216" s="1" t="s">
        <v>7287</v>
      </c>
      <c r="D1216" s="1" t="s">
        <v>3279</v>
      </c>
      <c r="E1216" s="1" t="s">
        <v>3304</v>
      </c>
      <c r="F1216" s="1" t="s">
        <v>6422</v>
      </c>
      <c r="G1216" s="1" t="s">
        <v>6423</v>
      </c>
    </row>
    <row r="1217" spans="1:7">
      <c r="A1217" s="1">
        <v>2626</v>
      </c>
      <c r="B1217" s="1" t="s">
        <v>7288</v>
      </c>
      <c r="D1217" s="1" t="s">
        <v>3279</v>
      </c>
      <c r="E1217" s="1" t="s">
        <v>3306</v>
      </c>
      <c r="F1217" s="1" t="s">
        <v>6425</v>
      </c>
      <c r="G1217" s="1" t="s">
        <v>6420</v>
      </c>
    </row>
    <row r="1218" spans="1:7">
      <c r="A1218" s="1">
        <v>2627</v>
      </c>
      <c r="B1218" s="1" t="s">
        <v>7289</v>
      </c>
      <c r="D1218" s="1" t="s">
        <v>3279</v>
      </c>
      <c r="E1218" s="1" t="s">
        <v>3308</v>
      </c>
      <c r="F1218" s="1" t="s">
        <v>6427</v>
      </c>
      <c r="G1218" s="1" t="s">
        <v>6423</v>
      </c>
    </row>
    <row r="1219" spans="1:7">
      <c r="A1219" s="1">
        <v>2628</v>
      </c>
      <c r="B1219" s="1" t="s">
        <v>7290</v>
      </c>
      <c r="D1219" s="1" t="s">
        <v>3279</v>
      </c>
      <c r="E1219" s="1" t="s">
        <v>3300</v>
      </c>
      <c r="F1219" s="1" t="s">
        <v>6429</v>
      </c>
      <c r="G1219" s="1" t="s">
        <v>6430</v>
      </c>
    </row>
    <row r="1220" spans="1:7">
      <c r="A1220" s="1">
        <v>2629</v>
      </c>
      <c r="B1220" s="1" t="s">
        <v>7291</v>
      </c>
      <c r="D1220" s="1" t="s">
        <v>3279</v>
      </c>
      <c r="E1220" s="1" t="s">
        <v>3298</v>
      </c>
      <c r="F1220" s="1" t="s">
        <v>6432</v>
      </c>
      <c r="G1220" s="1" t="s">
        <v>6433</v>
      </c>
    </row>
    <row r="1221" spans="1:7">
      <c r="A1221" s="1">
        <v>2632</v>
      </c>
      <c r="B1221" s="1" t="s">
        <v>7292</v>
      </c>
      <c r="D1221" s="1" t="s">
        <v>3279</v>
      </c>
      <c r="E1221" s="1" t="s">
        <v>7293</v>
      </c>
      <c r="F1221" s="1" t="s">
        <v>6436</v>
      </c>
      <c r="G1221" s="1" t="s">
        <v>6437</v>
      </c>
    </row>
    <row r="1222" spans="1:7">
      <c r="A1222" s="1">
        <v>2633</v>
      </c>
      <c r="B1222" s="1" t="s">
        <v>7294</v>
      </c>
      <c r="D1222" s="1" t="s">
        <v>3279</v>
      </c>
      <c r="E1222" s="1" t="s">
        <v>7295</v>
      </c>
      <c r="F1222" s="1" t="s">
        <v>6440</v>
      </c>
      <c r="G1222" s="1" t="s">
        <v>6441</v>
      </c>
    </row>
    <row r="1223" spans="1:7">
      <c r="A1223" s="1">
        <v>2634</v>
      </c>
      <c r="B1223" s="1" t="s">
        <v>7296</v>
      </c>
      <c r="D1223" s="1" t="s">
        <v>3279</v>
      </c>
      <c r="E1223" s="1" t="s">
        <v>7297</v>
      </c>
      <c r="F1223" s="1" t="s">
        <v>6444</v>
      </c>
      <c r="G1223" s="1" t="s">
        <v>6445</v>
      </c>
    </row>
    <row r="1224" spans="1:7">
      <c r="A1224" s="1">
        <v>2635</v>
      </c>
      <c r="B1224" s="1" t="s">
        <v>7298</v>
      </c>
      <c r="D1224" s="1" t="s">
        <v>3279</v>
      </c>
      <c r="E1224" s="1" t="s">
        <v>7299</v>
      </c>
      <c r="F1224" s="1" t="s">
        <v>6448</v>
      </c>
      <c r="G1224" s="1" t="s">
        <v>6449</v>
      </c>
    </row>
    <row r="1225" spans="1:7">
      <c r="A1225" s="1">
        <v>2636</v>
      </c>
      <c r="B1225" s="1" t="s">
        <v>7300</v>
      </c>
      <c r="D1225" s="1" t="s">
        <v>3279</v>
      </c>
      <c r="E1225" s="1" t="s">
        <v>7301</v>
      </c>
      <c r="F1225" s="1" t="s">
        <v>6452</v>
      </c>
      <c r="G1225" s="1" t="s">
        <v>6453</v>
      </c>
    </row>
    <row r="1226" spans="1:7">
      <c r="A1226" s="1">
        <v>2637</v>
      </c>
      <c r="B1226" s="1" t="s">
        <v>7302</v>
      </c>
      <c r="D1226" s="1" t="s">
        <v>3279</v>
      </c>
      <c r="E1226" s="1" t="s">
        <v>7303</v>
      </c>
      <c r="F1226" s="1" t="s">
        <v>6456</v>
      </c>
      <c r="G1226" s="1" t="s">
        <v>6457</v>
      </c>
    </row>
    <row r="1227" spans="1:7">
      <c r="A1227" s="1">
        <v>2639</v>
      </c>
      <c r="B1227" s="1" t="s">
        <v>7304</v>
      </c>
      <c r="D1227" s="1" t="s">
        <v>3279</v>
      </c>
      <c r="E1227" s="1" t="s">
        <v>3280</v>
      </c>
      <c r="F1227" s="1" t="s">
        <v>6459</v>
      </c>
      <c r="G1227" s="1" t="s">
        <v>6460</v>
      </c>
    </row>
    <row r="1228" spans="1:7">
      <c r="A1228" s="1">
        <v>2640</v>
      </c>
      <c r="B1228" s="1" t="s">
        <v>7305</v>
      </c>
      <c r="D1228" s="1" t="s">
        <v>3279</v>
      </c>
      <c r="E1228" s="1" t="s">
        <v>3294</v>
      </c>
      <c r="F1228" s="1" t="s">
        <v>6462</v>
      </c>
      <c r="G1228" s="1" t="s">
        <v>6463</v>
      </c>
    </row>
    <row r="1229" spans="1:7">
      <c r="A1229" s="1">
        <v>2641</v>
      </c>
      <c r="B1229" s="1" t="s">
        <v>7306</v>
      </c>
      <c r="D1229" s="1" t="s">
        <v>3279</v>
      </c>
      <c r="E1229" s="1" t="s">
        <v>3296</v>
      </c>
      <c r="F1229" s="1" t="s">
        <v>6465</v>
      </c>
      <c r="G1229" s="1" t="s">
        <v>6466</v>
      </c>
    </row>
    <row r="1230" spans="1:7">
      <c r="A1230" s="1">
        <v>2642</v>
      </c>
      <c r="B1230" s="1" t="s">
        <v>7307</v>
      </c>
      <c r="D1230" s="1" t="s">
        <v>3310</v>
      </c>
      <c r="E1230" s="1" t="s">
        <v>3333</v>
      </c>
      <c r="F1230" s="1" t="s">
        <v>6419</v>
      </c>
      <c r="G1230" s="1" t="s">
        <v>6420</v>
      </c>
    </row>
    <row r="1231" spans="1:7">
      <c r="A1231" s="1">
        <v>2643</v>
      </c>
      <c r="B1231" s="1" t="s">
        <v>7308</v>
      </c>
      <c r="D1231" s="1" t="s">
        <v>3310</v>
      </c>
      <c r="E1231" s="1" t="s">
        <v>3335</v>
      </c>
      <c r="F1231" s="1" t="s">
        <v>6422</v>
      </c>
      <c r="G1231" s="1" t="s">
        <v>6423</v>
      </c>
    </row>
    <row r="1232" spans="1:7">
      <c r="A1232" s="1">
        <v>2644</v>
      </c>
      <c r="B1232" s="1" t="s">
        <v>7309</v>
      </c>
      <c r="D1232" s="1" t="s">
        <v>3310</v>
      </c>
      <c r="E1232" s="1" t="s">
        <v>3337</v>
      </c>
      <c r="F1232" s="1" t="s">
        <v>6425</v>
      </c>
      <c r="G1232" s="1" t="s">
        <v>6420</v>
      </c>
    </row>
    <row r="1233" spans="1:7">
      <c r="A1233" s="1">
        <v>2645</v>
      </c>
      <c r="B1233" s="1" t="s">
        <v>7310</v>
      </c>
      <c r="D1233" s="1" t="s">
        <v>3310</v>
      </c>
      <c r="E1233" s="1" t="s">
        <v>3339</v>
      </c>
      <c r="F1233" s="1" t="s">
        <v>6427</v>
      </c>
      <c r="G1233" s="1" t="s">
        <v>6423</v>
      </c>
    </row>
    <row r="1234" spans="1:7">
      <c r="A1234" s="1">
        <v>2646</v>
      </c>
      <c r="B1234" s="1" t="s">
        <v>7311</v>
      </c>
      <c r="D1234" s="1" t="s">
        <v>3310</v>
      </c>
      <c r="E1234" s="1" t="s">
        <v>3331</v>
      </c>
      <c r="F1234" s="1" t="s">
        <v>6429</v>
      </c>
      <c r="G1234" s="1" t="s">
        <v>6430</v>
      </c>
    </row>
    <row r="1235" spans="1:7">
      <c r="A1235" s="1">
        <v>2647</v>
      </c>
      <c r="B1235" s="1" t="s">
        <v>7312</v>
      </c>
      <c r="D1235" s="1" t="s">
        <v>3310</v>
      </c>
      <c r="E1235" s="1" t="s">
        <v>3329</v>
      </c>
      <c r="F1235" s="1" t="s">
        <v>6432</v>
      </c>
      <c r="G1235" s="1" t="s">
        <v>6433</v>
      </c>
    </row>
    <row r="1236" spans="1:7">
      <c r="A1236" s="1">
        <v>2650</v>
      </c>
      <c r="B1236" s="1" t="s">
        <v>7313</v>
      </c>
      <c r="D1236" s="1" t="s">
        <v>3310</v>
      </c>
      <c r="E1236" s="1" t="s">
        <v>7314</v>
      </c>
      <c r="F1236" s="1" t="s">
        <v>6436</v>
      </c>
      <c r="G1236" s="1" t="s">
        <v>6437</v>
      </c>
    </row>
    <row r="1237" spans="1:7">
      <c r="A1237" s="1">
        <v>2651</v>
      </c>
      <c r="B1237" s="1" t="s">
        <v>7315</v>
      </c>
      <c r="D1237" s="1" t="s">
        <v>3310</v>
      </c>
      <c r="E1237" s="1" t="s">
        <v>7316</v>
      </c>
      <c r="F1237" s="1" t="s">
        <v>6440</v>
      </c>
      <c r="G1237" s="1" t="s">
        <v>6441</v>
      </c>
    </row>
    <row r="1238" spans="1:7">
      <c r="A1238" s="1">
        <v>2652</v>
      </c>
      <c r="B1238" s="1" t="s">
        <v>7317</v>
      </c>
      <c r="D1238" s="1" t="s">
        <v>3310</v>
      </c>
      <c r="E1238" s="1" t="s">
        <v>7318</v>
      </c>
      <c r="F1238" s="1" t="s">
        <v>6444</v>
      </c>
      <c r="G1238" s="1" t="s">
        <v>6445</v>
      </c>
    </row>
    <row r="1239" spans="1:7">
      <c r="A1239" s="1">
        <v>2653</v>
      </c>
      <c r="B1239" s="1" t="s">
        <v>7319</v>
      </c>
      <c r="D1239" s="1" t="s">
        <v>3310</v>
      </c>
      <c r="E1239" s="1" t="s">
        <v>7320</v>
      </c>
      <c r="F1239" s="1" t="s">
        <v>6448</v>
      </c>
      <c r="G1239" s="1" t="s">
        <v>6449</v>
      </c>
    </row>
    <row r="1240" spans="1:7">
      <c r="A1240" s="1">
        <v>2654</v>
      </c>
      <c r="B1240" s="1" t="s">
        <v>7321</v>
      </c>
      <c r="D1240" s="1" t="s">
        <v>3310</v>
      </c>
      <c r="E1240" s="1" t="s">
        <v>7322</v>
      </c>
      <c r="F1240" s="1" t="s">
        <v>6452</v>
      </c>
      <c r="G1240" s="1" t="s">
        <v>6453</v>
      </c>
    </row>
    <row r="1241" spans="1:7">
      <c r="A1241" s="1">
        <v>2655</v>
      </c>
      <c r="B1241" s="1" t="s">
        <v>7323</v>
      </c>
      <c r="D1241" s="1" t="s">
        <v>3310</v>
      </c>
      <c r="E1241" s="1" t="s">
        <v>7324</v>
      </c>
      <c r="F1241" s="1" t="s">
        <v>6456</v>
      </c>
      <c r="G1241" s="1" t="s">
        <v>6457</v>
      </c>
    </row>
    <row r="1242" spans="1:7">
      <c r="A1242" s="1">
        <v>2657</v>
      </c>
      <c r="B1242" s="1" t="s">
        <v>7325</v>
      </c>
      <c r="D1242" s="1" t="s">
        <v>3310</v>
      </c>
      <c r="E1242" s="1" t="s">
        <v>3311</v>
      </c>
      <c r="F1242" s="1" t="s">
        <v>6459</v>
      </c>
      <c r="G1242" s="1" t="s">
        <v>6460</v>
      </c>
    </row>
    <row r="1243" spans="1:7">
      <c r="A1243" s="1">
        <v>2658</v>
      </c>
      <c r="B1243" s="1" t="s">
        <v>7326</v>
      </c>
      <c r="D1243" s="1" t="s">
        <v>3310</v>
      </c>
      <c r="E1243" s="1" t="s">
        <v>3325</v>
      </c>
      <c r="F1243" s="1" t="s">
        <v>6462</v>
      </c>
      <c r="G1243" s="1" t="s">
        <v>6463</v>
      </c>
    </row>
    <row r="1244" spans="1:7">
      <c r="A1244" s="1">
        <v>2659</v>
      </c>
      <c r="B1244" s="1" t="s">
        <v>7327</v>
      </c>
      <c r="D1244" s="1" t="s">
        <v>3310</v>
      </c>
      <c r="E1244" s="1" t="s">
        <v>3327</v>
      </c>
      <c r="F1244" s="1" t="s">
        <v>6465</v>
      </c>
      <c r="G1244" s="1" t="s">
        <v>6466</v>
      </c>
    </row>
    <row r="1245" spans="1:7">
      <c r="A1245" s="1">
        <v>2660</v>
      </c>
      <c r="B1245" s="1" t="s">
        <v>7328</v>
      </c>
      <c r="D1245" s="1" t="s">
        <v>3341</v>
      </c>
      <c r="E1245" s="1" t="s">
        <v>3364</v>
      </c>
      <c r="F1245" s="1" t="s">
        <v>6419</v>
      </c>
      <c r="G1245" s="1" t="s">
        <v>6420</v>
      </c>
    </row>
    <row r="1246" spans="1:7">
      <c r="A1246" s="1">
        <v>2661</v>
      </c>
      <c r="B1246" s="1" t="s">
        <v>7329</v>
      </c>
      <c r="D1246" s="1" t="s">
        <v>3341</v>
      </c>
      <c r="E1246" s="1" t="s">
        <v>3366</v>
      </c>
      <c r="F1246" s="1" t="s">
        <v>6422</v>
      </c>
      <c r="G1246" s="1" t="s">
        <v>6423</v>
      </c>
    </row>
    <row r="1247" spans="1:7">
      <c r="A1247" s="1">
        <v>2662</v>
      </c>
      <c r="B1247" s="1" t="s">
        <v>7330</v>
      </c>
      <c r="D1247" s="1" t="s">
        <v>3341</v>
      </c>
      <c r="E1247" s="1" t="s">
        <v>3368</v>
      </c>
      <c r="F1247" s="1" t="s">
        <v>6425</v>
      </c>
      <c r="G1247" s="1" t="s">
        <v>6420</v>
      </c>
    </row>
    <row r="1248" spans="1:7">
      <c r="A1248" s="1">
        <v>2663</v>
      </c>
      <c r="B1248" s="1" t="s">
        <v>7331</v>
      </c>
      <c r="D1248" s="1" t="s">
        <v>3341</v>
      </c>
      <c r="E1248" s="1" t="s">
        <v>3370</v>
      </c>
      <c r="F1248" s="1" t="s">
        <v>6427</v>
      </c>
      <c r="G1248" s="1" t="s">
        <v>6423</v>
      </c>
    </row>
    <row r="1249" spans="1:7">
      <c r="A1249" s="1">
        <v>2664</v>
      </c>
      <c r="B1249" s="1" t="s">
        <v>7332</v>
      </c>
      <c r="D1249" s="1" t="s">
        <v>3341</v>
      </c>
      <c r="E1249" s="1" t="s">
        <v>3362</v>
      </c>
      <c r="F1249" s="1" t="s">
        <v>6429</v>
      </c>
      <c r="G1249" s="1" t="s">
        <v>6430</v>
      </c>
    </row>
    <row r="1250" spans="1:7">
      <c r="A1250" s="1">
        <v>2665</v>
      </c>
      <c r="B1250" s="1" t="s">
        <v>7333</v>
      </c>
      <c r="D1250" s="1" t="s">
        <v>3341</v>
      </c>
      <c r="E1250" s="1" t="s">
        <v>3360</v>
      </c>
      <c r="F1250" s="1" t="s">
        <v>6432</v>
      </c>
      <c r="G1250" s="1" t="s">
        <v>6433</v>
      </c>
    </row>
    <row r="1251" spans="1:7">
      <c r="A1251" s="1">
        <v>2668</v>
      </c>
      <c r="B1251" s="1" t="s">
        <v>7334</v>
      </c>
      <c r="D1251" s="1" t="s">
        <v>3341</v>
      </c>
      <c r="E1251" s="1" t="s">
        <v>7335</v>
      </c>
      <c r="F1251" s="1" t="s">
        <v>6436</v>
      </c>
      <c r="G1251" s="1" t="s">
        <v>6437</v>
      </c>
    </row>
    <row r="1252" spans="1:7">
      <c r="A1252" s="1">
        <v>2669</v>
      </c>
      <c r="B1252" s="1" t="s">
        <v>7336</v>
      </c>
      <c r="D1252" s="1" t="s">
        <v>3341</v>
      </c>
      <c r="E1252" s="1" t="s">
        <v>7337</v>
      </c>
      <c r="F1252" s="1" t="s">
        <v>6440</v>
      </c>
      <c r="G1252" s="1" t="s">
        <v>6441</v>
      </c>
    </row>
    <row r="1253" spans="1:7">
      <c r="A1253" s="1">
        <v>2670</v>
      </c>
      <c r="B1253" s="1" t="s">
        <v>7338</v>
      </c>
      <c r="D1253" s="1" t="s">
        <v>3341</v>
      </c>
      <c r="E1253" s="1" t="s">
        <v>7339</v>
      </c>
      <c r="F1253" s="1" t="s">
        <v>6444</v>
      </c>
      <c r="G1253" s="1" t="s">
        <v>6445</v>
      </c>
    </row>
    <row r="1254" spans="1:7">
      <c r="A1254" s="1">
        <v>2671</v>
      </c>
      <c r="B1254" s="1" t="s">
        <v>7340</v>
      </c>
      <c r="D1254" s="1" t="s">
        <v>3341</v>
      </c>
      <c r="E1254" s="1" t="s">
        <v>7341</v>
      </c>
      <c r="F1254" s="1" t="s">
        <v>6448</v>
      </c>
      <c r="G1254" s="1" t="s">
        <v>6449</v>
      </c>
    </row>
    <row r="1255" spans="1:7">
      <c r="A1255" s="1">
        <v>2672</v>
      </c>
      <c r="B1255" s="1" t="s">
        <v>7342</v>
      </c>
      <c r="D1255" s="1" t="s">
        <v>3341</v>
      </c>
      <c r="E1255" s="1" t="s">
        <v>7343</v>
      </c>
      <c r="F1255" s="1" t="s">
        <v>6452</v>
      </c>
      <c r="G1255" s="1" t="s">
        <v>6453</v>
      </c>
    </row>
    <row r="1256" spans="1:7">
      <c r="A1256" s="1">
        <v>2673</v>
      </c>
      <c r="B1256" s="1" t="s">
        <v>7344</v>
      </c>
      <c r="D1256" s="1" t="s">
        <v>3341</v>
      </c>
      <c r="E1256" s="1" t="s">
        <v>7345</v>
      </c>
      <c r="F1256" s="1" t="s">
        <v>6456</v>
      </c>
      <c r="G1256" s="1" t="s">
        <v>6457</v>
      </c>
    </row>
    <row r="1257" spans="1:7">
      <c r="A1257" s="1">
        <v>2675</v>
      </c>
      <c r="B1257" s="1" t="s">
        <v>7346</v>
      </c>
      <c r="D1257" s="1" t="s">
        <v>3341</v>
      </c>
      <c r="E1257" s="1" t="s">
        <v>3342</v>
      </c>
      <c r="F1257" s="1" t="s">
        <v>6459</v>
      </c>
      <c r="G1257" s="1" t="s">
        <v>6460</v>
      </c>
    </row>
    <row r="1258" spans="1:7">
      <c r="A1258" s="1">
        <v>2676</v>
      </c>
      <c r="B1258" s="1" t="s">
        <v>7347</v>
      </c>
      <c r="D1258" s="1" t="s">
        <v>3341</v>
      </c>
      <c r="E1258" s="1" t="s">
        <v>3356</v>
      </c>
      <c r="F1258" s="1" t="s">
        <v>6462</v>
      </c>
      <c r="G1258" s="1" t="s">
        <v>6463</v>
      </c>
    </row>
    <row r="1259" spans="1:7">
      <c r="A1259" s="1">
        <v>2677</v>
      </c>
      <c r="B1259" s="1" t="s">
        <v>7348</v>
      </c>
      <c r="D1259" s="1" t="s">
        <v>3341</v>
      </c>
      <c r="E1259" s="1" t="s">
        <v>3358</v>
      </c>
      <c r="F1259" s="1" t="s">
        <v>6465</v>
      </c>
      <c r="G1259" s="1" t="s">
        <v>6466</v>
      </c>
    </row>
    <row r="1260" spans="1:7">
      <c r="A1260" s="1">
        <v>2678</v>
      </c>
      <c r="B1260" s="1" t="s">
        <v>7349</v>
      </c>
      <c r="D1260" s="1" t="s">
        <v>3372</v>
      </c>
      <c r="E1260" s="1" t="s">
        <v>3395</v>
      </c>
      <c r="F1260" s="1" t="s">
        <v>6419</v>
      </c>
      <c r="G1260" s="1" t="s">
        <v>6420</v>
      </c>
    </row>
    <row r="1261" spans="1:7">
      <c r="A1261" s="1">
        <v>2679</v>
      </c>
      <c r="B1261" s="1" t="s">
        <v>7350</v>
      </c>
      <c r="D1261" s="1" t="s">
        <v>3372</v>
      </c>
      <c r="E1261" s="1" t="s">
        <v>3397</v>
      </c>
      <c r="F1261" s="1" t="s">
        <v>6422</v>
      </c>
      <c r="G1261" s="1" t="s">
        <v>6423</v>
      </c>
    </row>
    <row r="1262" spans="1:7">
      <c r="A1262" s="1">
        <v>2680</v>
      </c>
      <c r="B1262" s="1" t="s">
        <v>7351</v>
      </c>
      <c r="D1262" s="1" t="s">
        <v>3372</v>
      </c>
      <c r="E1262" s="1" t="s">
        <v>3399</v>
      </c>
      <c r="F1262" s="1" t="s">
        <v>6425</v>
      </c>
      <c r="G1262" s="1" t="s">
        <v>6420</v>
      </c>
    </row>
    <row r="1263" spans="1:7">
      <c r="A1263" s="1">
        <v>2681</v>
      </c>
      <c r="B1263" s="1" t="s">
        <v>7352</v>
      </c>
      <c r="D1263" s="1" t="s">
        <v>3372</v>
      </c>
      <c r="E1263" s="1" t="s">
        <v>3401</v>
      </c>
      <c r="F1263" s="1" t="s">
        <v>6427</v>
      </c>
      <c r="G1263" s="1" t="s">
        <v>6423</v>
      </c>
    </row>
    <row r="1264" spans="1:7">
      <c r="A1264" s="1">
        <v>2682</v>
      </c>
      <c r="B1264" s="1" t="s">
        <v>7353</v>
      </c>
      <c r="D1264" s="1" t="s">
        <v>3372</v>
      </c>
      <c r="E1264" s="1" t="s">
        <v>3393</v>
      </c>
      <c r="F1264" s="1" t="s">
        <v>6429</v>
      </c>
      <c r="G1264" s="1" t="s">
        <v>6430</v>
      </c>
    </row>
    <row r="1265" spans="1:7">
      <c r="A1265" s="1">
        <v>2683</v>
      </c>
      <c r="B1265" s="1" t="s">
        <v>7354</v>
      </c>
      <c r="D1265" s="1" t="s">
        <v>3372</v>
      </c>
      <c r="E1265" s="1" t="s">
        <v>3391</v>
      </c>
      <c r="F1265" s="1" t="s">
        <v>6432</v>
      </c>
      <c r="G1265" s="1" t="s">
        <v>6433</v>
      </c>
    </row>
    <row r="1266" spans="1:7">
      <c r="A1266" s="1">
        <v>2686</v>
      </c>
      <c r="B1266" s="1" t="s">
        <v>7355</v>
      </c>
      <c r="D1266" s="1" t="s">
        <v>3372</v>
      </c>
      <c r="E1266" s="1" t="s">
        <v>7356</v>
      </c>
      <c r="F1266" s="1" t="s">
        <v>6436</v>
      </c>
      <c r="G1266" s="1" t="s">
        <v>6437</v>
      </c>
    </row>
    <row r="1267" spans="1:7">
      <c r="A1267" s="1">
        <v>2687</v>
      </c>
      <c r="B1267" s="1" t="s">
        <v>7357</v>
      </c>
      <c r="D1267" s="1" t="s">
        <v>3372</v>
      </c>
      <c r="E1267" s="1" t="s">
        <v>7358</v>
      </c>
      <c r="F1267" s="1" t="s">
        <v>6440</v>
      </c>
      <c r="G1267" s="1" t="s">
        <v>6441</v>
      </c>
    </row>
    <row r="1268" spans="1:7">
      <c r="A1268" s="1">
        <v>2688</v>
      </c>
      <c r="B1268" s="1" t="s">
        <v>7359</v>
      </c>
      <c r="D1268" s="1" t="s">
        <v>3372</v>
      </c>
      <c r="E1268" s="1" t="s">
        <v>7360</v>
      </c>
      <c r="F1268" s="1" t="s">
        <v>6444</v>
      </c>
      <c r="G1268" s="1" t="s">
        <v>6445</v>
      </c>
    </row>
    <row r="1269" spans="1:7">
      <c r="A1269" s="1">
        <v>2689</v>
      </c>
      <c r="B1269" s="1" t="s">
        <v>7361</v>
      </c>
      <c r="D1269" s="1" t="s">
        <v>3372</v>
      </c>
      <c r="E1269" s="1" t="s">
        <v>7362</v>
      </c>
      <c r="F1269" s="1" t="s">
        <v>6448</v>
      </c>
      <c r="G1269" s="1" t="s">
        <v>6449</v>
      </c>
    </row>
    <row r="1270" spans="1:7">
      <c r="A1270" s="1">
        <v>2690</v>
      </c>
      <c r="B1270" s="1" t="s">
        <v>7363</v>
      </c>
      <c r="D1270" s="1" t="s">
        <v>3372</v>
      </c>
      <c r="E1270" s="1" t="s">
        <v>7364</v>
      </c>
      <c r="F1270" s="1" t="s">
        <v>6452</v>
      </c>
      <c r="G1270" s="1" t="s">
        <v>6453</v>
      </c>
    </row>
    <row r="1271" spans="1:7">
      <c r="A1271" s="1">
        <v>2691</v>
      </c>
      <c r="B1271" s="1" t="s">
        <v>7365</v>
      </c>
      <c r="D1271" s="1" t="s">
        <v>3372</v>
      </c>
      <c r="E1271" s="1" t="s">
        <v>7366</v>
      </c>
      <c r="F1271" s="1" t="s">
        <v>6456</v>
      </c>
      <c r="G1271" s="1" t="s">
        <v>6457</v>
      </c>
    </row>
    <row r="1272" spans="1:7">
      <c r="A1272" s="1">
        <v>2693</v>
      </c>
      <c r="B1272" s="1" t="s">
        <v>7367</v>
      </c>
      <c r="D1272" s="1" t="s">
        <v>3372</v>
      </c>
      <c r="E1272" s="1" t="s">
        <v>3373</v>
      </c>
      <c r="F1272" s="1" t="s">
        <v>6459</v>
      </c>
      <c r="G1272" s="1" t="s">
        <v>6460</v>
      </c>
    </row>
    <row r="1273" spans="1:7">
      <c r="A1273" s="1">
        <v>2694</v>
      </c>
      <c r="B1273" s="1" t="s">
        <v>7368</v>
      </c>
      <c r="D1273" s="1" t="s">
        <v>3372</v>
      </c>
      <c r="E1273" s="1" t="s">
        <v>3387</v>
      </c>
      <c r="F1273" s="1" t="s">
        <v>6462</v>
      </c>
      <c r="G1273" s="1" t="s">
        <v>6463</v>
      </c>
    </row>
    <row r="1274" spans="1:7">
      <c r="A1274" s="1">
        <v>2695</v>
      </c>
      <c r="B1274" s="1" t="s">
        <v>7369</v>
      </c>
      <c r="D1274" s="1" t="s">
        <v>3372</v>
      </c>
      <c r="E1274" s="1" t="s">
        <v>3389</v>
      </c>
      <c r="F1274" s="1" t="s">
        <v>6465</v>
      </c>
      <c r="G1274" s="1" t="s">
        <v>6466</v>
      </c>
    </row>
    <row r="1275" spans="1:7">
      <c r="A1275" s="1">
        <v>2696</v>
      </c>
      <c r="B1275" s="1" t="s">
        <v>7370</v>
      </c>
      <c r="D1275" s="1" t="s">
        <v>3403</v>
      </c>
      <c r="E1275" s="1" t="s">
        <v>3426</v>
      </c>
      <c r="F1275" s="1" t="s">
        <v>6419</v>
      </c>
      <c r="G1275" s="1" t="s">
        <v>6420</v>
      </c>
    </row>
    <row r="1276" spans="1:7">
      <c r="A1276" s="1">
        <v>2697</v>
      </c>
      <c r="B1276" s="1" t="s">
        <v>7371</v>
      </c>
      <c r="D1276" s="1" t="s">
        <v>3403</v>
      </c>
      <c r="E1276" s="1" t="s">
        <v>3428</v>
      </c>
      <c r="F1276" s="1" t="s">
        <v>6422</v>
      </c>
      <c r="G1276" s="1" t="s">
        <v>6423</v>
      </c>
    </row>
    <row r="1277" spans="1:7">
      <c r="A1277" s="1">
        <v>2698</v>
      </c>
      <c r="B1277" s="1" t="s">
        <v>7372</v>
      </c>
      <c r="D1277" s="1" t="s">
        <v>3403</v>
      </c>
      <c r="E1277" s="1" t="s">
        <v>3430</v>
      </c>
      <c r="F1277" s="1" t="s">
        <v>6425</v>
      </c>
      <c r="G1277" s="1" t="s">
        <v>6420</v>
      </c>
    </row>
    <row r="1278" spans="1:7">
      <c r="A1278" s="1">
        <v>2699</v>
      </c>
      <c r="B1278" s="1" t="s">
        <v>7373</v>
      </c>
      <c r="D1278" s="1" t="s">
        <v>3403</v>
      </c>
      <c r="E1278" s="1" t="s">
        <v>3432</v>
      </c>
      <c r="F1278" s="1" t="s">
        <v>6427</v>
      </c>
      <c r="G1278" s="1" t="s">
        <v>6423</v>
      </c>
    </row>
    <row r="1279" spans="1:7">
      <c r="A1279" s="1">
        <v>2700</v>
      </c>
      <c r="B1279" s="1" t="s">
        <v>7374</v>
      </c>
      <c r="D1279" s="1" t="s">
        <v>3403</v>
      </c>
      <c r="E1279" s="1" t="s">
        <v>3424</v>
      </c>
      <c r="F1279" s="1" t="s">
        <v>6429</v>
      </c>
      <c r="G1279" s="1" t="s">
        <v>6430</v>
      </c>
    </row>
    <row r="1280" spans="1:7">
      <c r="A1280" s="1">
        <v>2701</v>
      </c>
      <c r="B1280" s="1" t="s">
        <v>7375</v>
      </c>
      <c r="D1280" s="1" t="s">
        <v>3403</v>
      </c>
      <c r="E1280" s="1" t="s">
        <v>3422</v>
      </c>
      <c r="F1280" s="1" t="s">
        <v>6432</v>
      </c>
      <c r="G1280" s="1" t="s">
        <v>6433</v>
      </c>
    </row>
    <row r="1281" spans="1:7">
      <c r="A1281" s="1">
        <v>2704</v>
      </c>
      <c r="B1281" s="1" t="s">
        <v>7376</v>
      </c>
      <c r="D1281" s="1" t="s">
        <v>3403</v>
      </c>
      <c r="E1281" s="1" t="s">
        <v>7377</v>
      </c>
      <c r="F1281" s="1" t="s">
        <v>6436</v>
      </c>
      <c r="G1281" s="1" t="s">
        <v>6437</v>
      </c>
    </row>
    <row r="1282" spans="1:7">
      <c r="A1282" s="1">
        <v>2705</v>
      </c>
      <c r="B1282" s="1" t="s">
        <v>7378</v>
      </c>
      <c r="D1282" s="1" t="s">
        <v>3403</v>
      </c>
      <c r="E1282" s="1" t="s">
        <v>7379</v>
      </c>
      <c r="F1282" s="1" t="s">
        <v>6440</v>
      </c>
      <c r="G1282" s="1" t="s">
        <v>6441</v>
      </c>
    </row>
    <row r="1283" spans="1:7">
      <c r="A1283" s="1">
        <v>2706</v>
      </c>
      <c r="B1283" s="1" t="s">
        <v>7380</v>
      </c>
      <c r="D1283" s="1" t="s">
        <v>3403</v>
      </c>
      <c r="E1283" s="1" t="s">
        <v>7381</v>
      </c>
      <c r="F1283" s="1" t="s">
        <v>6444</v>
      </c>
      <c r="G1283" s="1" t="s">
        <v>6445</v>
      </c>
    </row>
    <row r="1284" spans="1:7">
      <c r="A1284" s="1">
        <v>2707</v>
      </c>
      <c r="B1284" s="1" t="s">
        <v>7382</v>
      </c>
      <c r="D1284" s="1" t="s">
        <v>3403</v>
      </c>
      <c r="E1284" s="1" t="s">
        <v>7383</v>
      </c>
      <c r="F1284" s="1" t="s">
        <v>6448</v>
      </c>
      <c r="G1284" s="1" t="s">
        <v>6449</v>
      </c>
    </row>
    <row r="1285" spans="1:7">
      <c r="A1285" s="1">
        <v>2708</v>
      </c>
      <c r="B1285" s="1" t="s">
        <v>7384</v>
      </c>
      <c r="D1285" s="1" t="s">
        <v>3403</v>
      </c>
      <c r="E1285" s="1" t="s">
        <v>7385</v>
      </c>
      <c r="F1285" s="1" t="s">
        <v>6452</v>
      </c>
      <c r="G1285" s="1" t="s">
        <v>6453</v>
      </c>
    </row>
    <row r="1286" spans="1:7">
      <c r="A1286" s="1">
        <v>2709</v>
      </c>
      <c r="B1286" s="1" t="s">
        <v>7386</v>
      </c>
      <c r="D1286" s="1" t="s">
        <v>3403</v>
      </c>
      <c r="E1286" s="1" t="s">
        <v>7387</v>
      </c>
      <c r="F1286" s="1" t="s">
        <v>6456</v>
      </c>
      <c r="G1286" s="1" t="s">
        <v>6457</v>
      </c>
    </row>
    <row r="1287" spans="1:7">
      <c r="A1287" s="1">
        <v>2711</v>
      </c>
      <c r="B1287" s="1" t="s">
        <v>7388</v>
      </c>
      <c r="D1287" s="1" t="s">
        <v>3403</v>
      </c>
      <c r="E1287" s="1" t="s">
        <v>3404</v>
      </c>
      <c r="F1287" s="1" t="s">
        <v>6459</v>
      </c>
      <c r="G1287" s="1" t="s">
        <v>6460</v>
      </c>
    </row>
    <row r="1288" spans="1:7">
      <c r="A1288" s="1">
        <v>2712</v>
      </c>
      <c r="B1288" s="1" t="s">
        <v>7389</v>
      </c>
      <c r="D1288" s="1" t="s">
        <v>3403</v>
      </c>
      <c r="E1288" s="1" t="s">
        <v>3418</v>
      </c>
      <c r="F1288" s="1" t="s">
        <v>6462</v>
      </c>
      <c r="G1288" s="1" t="s">
        <v>6463</v>
      </c>
    </row>
    <row r="1289" spans="1:7">
      <c r="A1289" s="1">
        <v>2713</v>
      </c>
      <c r="B1289" s="1" t="s">
        <v>7390</v>
      </c>
      <c r="D1289" s="1" t="s">
        <v>3403</v>
      </c>
      <c r="E1289" s="1" t="s">
        <v>3420</v>
      </c>
      <c r="F1289" s="1" t="s">
        <v>6465</v>
      </c>
      <c r="G1289" s="1" t="s">
        <v>6466</v>
      </c>
    </row>
    <row r="1290" spans="1:7">
      <c r="A1290" s="1">
        <v>2714</v>
      </c>
      <c r="B1290" s="1" t="s">
        <v>7391</v>
      </c>
      <c r="D1290" s="1" t="s">
        <v>3434</v>
      </c>
      <c r="E1290" s="1" t="s">
        <v>3457</v>
      </c>
      <c r="F1290" s="1" t="s">
        <v>6419</v>
      </c>
      <c r="G1290" s="1" t="s">
        <v>6420</v>
      </c>
    </row>
    <row r="1291" spans="1:7">
      <c r="A1291" s="1">
        <v>2715</v>
      </c>
      <c r="B1291" s="1" t="s">
        <v>7392</v>
      </c>
      <c r="D1291" s="1" t="s">
        <v>3434</v>
      </c>
      <c r="E1291" s="1" t="s">
        <v>3459</v>
      </c>
      <c r="F1291" s="1" t="s">
        <v>6422</v>
      </c>
      <c r="G1291" s="1" t="s">
        <v>6423</v>
      </c>
    </row>
    <row r="1292" spans="1:7">
      <c r="A1292" s="1">
        <v>2716</v>
      </c>
      <c r="B1292" s="1" t="s">
        <v>7393</v>
      </c>
      <c r="D1292" s="1" t="s">
        <v>3434</v>
      </c>
      <c r="E1292" s="1" t="s">
        <v>3461</v>
      </c>
      <c r="F1292" s="1" t="s">
        <v>6425</v>
      </c>
      <c r="G1292" s="1" t="s">
        <v>6420</v>
      </c>
    </row>
    <row r="1293" spans="1:7">
      <c r="A1293" s="1">
        <v>2717</v>
      </c>
      <c r="B1293" s="1" t="s">
        <v>7394</v>
      </c>
      <c r="D1293" s="1" t="s">
        <v>3434</v>
      </c>
      <c r="E1293" s="1" t="s">
        <v>3463</v>
      </c>
      <c r="F1293" s="1" t="s">
        <v>6427</v>
      </c>
      <c r="G1293" s="1" t="s">
        <v>6423</v>
      </c>
    </row>
    <row r="1294" spans="1:7">
      <c r="A1294" s="1">
        <v>2718</v>
      </c>
      <c r="B1294" s="1" t="s">
        <v>7395</v>
      </c>
      <c r="D1294" s="1" t="s">
        <v>3434</v>
      </c>
      <c r="E1294" s="1" t="s">
        <v>3455</v>
      </c>
      <c r="F1294" s="1" t="s">
        <v>6429</v>
      </c>
      <c r="G1294" s="1" t="s">
        <v>6430</v>
      </c>
    </row>
    <row r="1295" spans="1:7">
      <c r="A1295" s="1">
        <v>2719</v>
      </c>
      <c r="B1295" s="1" t="s">
        <v>7396</v>
      </c>
      <c r="D1295" s="1" t="s">
        <v>3434</v>
      </c>
      <c r="E1295" s="1" t="s">
        <v>3453</v>
      </c>
      <c r="F1295" s="1" t="s">
        <v>6432</v>
      </c>
      <c r="G1295" s="1" t="s">
        <v>6433</v>
      </c>
    </row>
    <row r="1296" spans="1:7">
      <c r="A1296" s="1">
        <v>2722</v>
      </c>
      <c r="B1296" s="1" t="s">
        <v>7397</v>
      </c>
      <c r="D1296" s="1" t="s">
        <v>3434</v>
      </c>
      <c r="E1296" s="1" t="s">
        <v>7398</v>
      </c>
      <c r="F1296" s="1" t="s">
        <v>6436</v>
      </c>
      <c r="G1296" s="1" t="s">
        <v>6437</v>
      </c>
    </row>
    <row r="1297" spans="1:7">
      <c r="A1297" s="1">
        <v>2723</v>
      </c>
      <c r="B1297" s="1" t="s">
        <v>7399</v>
      </c>
      <c r="D1297" s="1" t="s">
        <v>3434</v>
      </c>
      <c r="E1297" s="1" t="s">
        <v>7400</v>
      </c>
      <c r="F1297" s="1" t="s">
        <v>6440</v>
      </c>
      <c r="G1297" s="1" t="s">
        <v>6441</v>
      </c>
    </row>
    <row r="1298" spans="1:7">
      <c r="A1298" s="1">
        <v>2724</v>
      </c>
      <c r="B1298" s="1" t="s">
        <v>7401</v>
      </c>
      <c r="D1298" s="1" t="s">
        <v>3434</v>
      </c>
      <c r="E1298" s="1" t="s">
        <v>7402</v>
      </c>
      <c r="F1298" s="1" t="s">
        <v>6444</v>
      </c>
      <c r="G1298" s="1" t="s">
        <v>6445</v>
      </c>
    </row>
    <row r="1299" spans="1:7">
      <c r="A1299" s="1">
        <v>2725</v>
      </c>
      <c r="B1299" s="1" t="s">
        <v>7403</v>
      </c>
      <c r="D1299" s="1" t="s">
        <v>3434</v>
      </c>
      <c r="E1299" s="1" t="s">
        <v>7404</v>
      </c>
      <c r="F1299" s="1" t="s">
        <v>6448</v>
      </c>
      <c r="G1299" s="1" t="s">
        <v>6449</v>
      </c>
    </row>
    <row r="1300" spans="1:7">
      <c r="A1300" s="1">
        <v>2726</v>
      </c>
      <c r="B1300" s="1" t="s">
        <v>7405</v>
      </c>
      <c r="D1300" s="1" t="s">
        <v>3434</v>
      </c>
      <c r="E1300" s="1" t="s">
        <v>7406</v>
      </c>
      <c r="F1300" s="1" t="s">
        <v>6452</v>
      </c>
      <c r="G1300" s="1" t="s">
        <v>6453</v>
      </c>
    </row>
    <row r="1301" spans="1:7">
      <c r="A1301" s="1">
        <v>2727</v>
      </c>
      <c r="B1301" s="1" t="s">
        <v>7407</v>
      </c>
      <c r="D1301" s="1" t="s">
        <v>3434</v>
      </c>
      <c r="E1301" s="1" t="s">
        <v>7408</v>
      </c>
      <c r="F1301" s="1" t="s">
        <v>6456</v>
      </c>
      <c r="G1301" s="1" t="s">
        <v>6457</v>
      </c>
    </row>
    <row r="1302" spans="1:7">
      <c r="A1302" s="1">
        <v>2729</v>
      </c>
      <c r="B1302" s="1" t="s">
        <v>7409</v>
      </c>
      <c r="D1302" s="1" t="s">
        <v>3434</v>
      </c>
      <c r="E1302" s="1" t="s">
        <v>3435</v>
      </c>
      <c r="F1302" s="1" t="s">
        <v>6459</v>
      </c>
      <c r="G1302" s="1" t="s">
        <v>6460</v>
      </c>
    </row>
    <row r="1303" spans="1:7">
      <c r="A1303" s="1">
        <v>2730</v>
      </c>
      <c r="B1303" s="1" t="s">
        <v>7410</v>
      </c>
      <c r="D1303" s="1" t="s">
        <v>3434</v>
      </c>
      <c r="E1303" s="1" t="s">
        <v>3449</v>
      </c>
      <c r="F1303" s="1" t="s">
        <v>6462</v>
      </c>
      <c r="G1303" s="1" t="s">
        <v>6463</v>
      </c>
    </row>
    <row r="1304" spans="1:7">
      <c r="A1304" s="1">
        <v>2731</v>
      </c>
      <c r="B1304" s="1" t="s">
        <v>7411</v>
      </c>
      <c r="D1304" s="1" t="s">
        <v>3434</v>
      </c>
      <c r="E1304" s="1" t="s">
        <v>3451</v>
      </c>
      <c r="F1304" s="1" t="s">
        <v>6465</v>
      </c>
      <c r="G1304" s="1" t="s">
        <v>6466</v>
      </c>
    </row>
    <row r="1305" spans="1:7">
      <c r="A1305" s="1">
        <v>2732</v>
      </c>
      <c r="B1305" s="1" t="s">
        <v>7412</v>
      </c>
      <c r="D1305" s="1" t="s">
        <v>3465</v>
      </c>
      <c r="E1305" s="1" t="s">
        <v>3488</v>
      </c>
      <c r="F1305" s="1" t="s">
        <v>6419</v>
      </c>
      <c r="G1305" s="1" t="s">
        <v>6420</v>
      </c>
    </row>
    <row r="1306" spans="1:7">
      <c r="A1306" s="1">
        <v>2733</v>
      </c>
      <c r="B1306" s="1" t="s">
        <v>7413</v>
      </c>
      <c r="D1306" s="1" t="s">
        <v>3465</v>
      </c>
      <c r="E1306" s="1" t="s">
        <v>3490</v>
      </c>
      <c r="F1306" s="1" t="s">
        <v>6422</v>
      </c>
      <c r="G1306" s="1" t="s">
        <v>6423</v>
      </c>
    </row>
    <row r="1307" spans="1:7">
      <c r="A1307" s="1">
        <v>2734</v>
      </c>
      <c r="B1307" s="1" t="s">
        <v>7414</v>
      </c>
      <c r="D1307" s="1" t="s">
        <v>3465</v>
      </c>
      <c r="E1307" s="1" t="s">
        <v>3492</v>
      </c>
      <c r="F1307" s="1" t="s">
        <v>6425</v>
      </c>
      <c r="G1307" s="1" t="s">
        <v>6420</v>
      </c>
    </row>
    <row r="1308" spans="1:7">
      <c r="A1308" s="1">
        <v>2735</v>
      </c>
      <c r="B1308" s="1" t="s">
        <v>7415</v>
      </c>
      <c r="D1308" s="1" t="s">
        <v>3465</v>
      </c>
      <c r="E1308" s="1" t="s">
        <v>3494</v>
      </c>
      <c r="F1308" s="1" t="s">
        <v>6427</v>
      </c>
      <c r="G1308" s="1" t="s">
        <v>6423</v>
      </c>
    </row>
    <row r="1309" spans="1:7">
      <c r="A1309" s="1">
        <v>2736</v>
      </c>
      <c r="B1309" s="1" t="s">
        <v>7416</v>
      </c>
      <c r="D1309" s="1" t="s">
        <v>3465</v>
      </c>
      <c r="E1309" s="1" t="s">
        <v>3486</v>
      </c>
      <c r="F1309" s="1" t="s">
        <v>6429</v>
      </c>
      <c r="G1309" s="1" t="s">
        <v>6430</v>
      </c>
    </row>
    <row r="1310" spans="1:7">
      <c r="A1310" s="1">
        <v>2737</v>
      </c>
      <c r="B1310" s="1" t="s">
        <v>7417</v>
      </c>
      <c r="D1310" s="1" t="s">
        <v>3465</v>
      </c>
      <c r="E1310" s="1" t="s">
        <v>3484</v>
      </c>
      <c r="F1310" s="1" t="s">
        <v>6432</v>
      </c>
      <c r="G1310" s="1" t="s">
        <v>6433</v>
      </c>
    </row>
    <row r="1311" spans="1:7">
      <c r="A1311" s="1">
        <v>2740</v>
      </c>
      <c r="B1311" s="1" t="s">
        <v>7418</v>
      </c>
      <c r="D1311" s="1" t="s">
        <v>3465</v>
      </c>
      <c r="E1311" s="1" t="s">
        <v>7419</v>
      </c>
      <c r="F1311" s="1" t="s">
        <v>6436</v>
      </c>
      <c r="G1311" s="1" t="s">
        <v>6437</v>
      </c>
    </row>
    <row r="1312" spans="1:7">
      <c r="A1312" s="1">
        <v>2741</v>
      </c>
      <c r="B1312" s="1" t="s">
        <v>7420</v>
      </c>
      <c r="D1312" s="1" t="s">
        <v>3465</v>
      </c>
      <c r="E1312" s="1" t="s">
        <v>7421</v>
      </c>
      <c r="F1312" s="1" t="s">
        <v>6440</v>
      </c>
      <c r="G1312" s="1" t="s">
        <v>6441</v>
      </c>
    </row>
    <row r="1313" spans="1:7">
      <c r="A1313" s="1">
        <v>2742</v>
      </c>
      <c r="B1313" s="1" t="s">
        <v>7422</v>
      </c>
      <c r="D1313" s="1" t="s">
        <v>3465</v>
      </c>
      <c r="E1313" s="1" t="s">
        <v>7423</v>
      </c>
      <c r="F1313" s="1" t="s">
        <v>6444</v>
      </c>
      <c r="G1313" s="1" t="s">
        <v>6445</v>
      </c>
    </row>
    <row r="1314" spans="1:7">
      <c r="A1314" s="1">
        <v>2743</v>
      </c>
      <c r="B1314" s="1" t="s">
        <v>7424</v>
      </c>
      <c r="D1314" s="1" t="s">
        <v>3465</v>
      </c>
      <c r="E1314" s="1" t="s">
        <v>7425</v>
      </c>
      <c r="F1314" s="1" t="s">
        <v>6448</v>
      </c>
      <c r="G1314" s="1" t="s">
        <v>6449</v>
      </c>
    </row>
    <row r="1315" spans="1:7">
      <c r="A1315" s="1">
        <v>2744</v>
      </c>
      <c r="B1315" s="1" t="s">
        <v>7426</v>
      </c>
      <c r="D1315" s="1" t="s">
        <v>3465</v>
      </c>
      <c r="E1315" s="1" t="s">
        <v>7427</v>
      </c>
      <c r="F1315" s="1" t="s">
        <v>6452</v>
      </c>
      <c r="G1315" s="1" t="s">
        <v>6453</v>
      </c>
    </row>
    <row r="1316" spans="1:7">
      <c r="A1316" s="1">
        <v>2745</v>
      </c>
      <c r="B1316" s="1" t="s">
        <v>7428</v>
      </c>
      <c r="D1316" s="1" t="s">
        <v>3465</v>
      </c>
      <c r="E1316" s="1" t="s">
        <v>7429</v>
      </c>
      <c r="F1316" s="1" t="s">
        <v>6456</v>
      </c>
      <c r="G1316" s="1" t="s">
        <v>6457</v>
      </c>
    </row>
    <row r="1317" spans="1:7">
      <c r="A1317" s="1">
        <v>2747</v>
      </c>
      <c r="B1317" s="1" t="s">
        <v>7430</v>
      </c>
      <c r="D1317" s="1" t="s">
        <v>3465</v>
      </c>
      <c r="E1317" s="1" t="s">
        <v>3466</v>
      </c>
      <c r="F1317" s="1" t="s">
        <v>6459</v>
      </c>
      <c r="G1317" s="1" t="s">
        <v>6460</v>
      </c>
    </row>
    <row r="1318" spans="1:7">
      <c r="A1318" s="1">
        <v>2748</v>
      </c>
      <c r="B1318" s="1" t="s">
        <v>7431</v>
      </c>
      <c r="D1318" s="1" t="s">
        <v>3465</v>
      </c>
      <c r="E1318" s="1" t="s">
        <v>3480</v>
      </c>
      <c r="F1318" s="1" t="s">
        <v>6462</v>
      </c>
      <c r="G1318" s="1" t="s">
        <v>6463</v>
      </c>
    </row>
    <row r="1319" spans="1:7">
      <c r="A1319" s="1">
        <v>2749</v>
      </c>
      <c r="B1319" s="1" t="s">
        <v>7432</v>
      </c>
      <c r="D1319" s="1" t="s">
        <v>3465</v>
      </c>
      <c r="E1319" s="1" t="s">
        <v>3482</v>
      </c>
      <c r="F1319" s="1" t="s">
        <v>6465</v>
      </c>
      <c r="G1319" s="1" t="s">
        <v>6466</v>
      </c>
    </row>
    <row r="1320" spans="1:7">
      <c r="A1320" s="1">
        <v>2750</v>
      </c>
      <c r="B1320" s="1" t="s">
        <v>7433</v>
      </c>
      <c r="D1320" s="1" t="s">
        <v>3496</v>
      </c>
      <c r="E1320" s="1" t="s">
        <v>3519</v>
      </c>
      <c r="F1320" s="1" t="s">
        <v>6419</v>
      </c>
      <c r="G1320" s="1" t="s">
        <v>6420</v>
      </c>
    </row>
    <row r="1321" spans="1:7">
      <c r="A1321" s="1">
        <v>2751</v>
      </c>
      <c r="B1321" s="1" t="s">
        <v>7434</v>
      </c>
      <c r="D1321" s="1" t="s">
        <v>3496</v>
      </c>
      <c r="E1321" s="1" t="s">
        <v>3521</v>
      </c>
      <c r="F1321" s="1" t="s">
        <v>6422</v>
      </c>
      <c r="G1321" s="1" t="s">
        <v>6423</v>
      </c>
    </row>
    <row r="1322" spans="1:7">
      <c r="A1322" s="1">
        <v>2752</v>
      </c>
      <c r="B1322" s="1" t="s">
        <v>7435</v>
      </c>
      <c r="D1322" s="1" t="s">
        <v>3496</v>
      </c>
      <c r="E1322" s="1" t="s">
        <v>3523</v>
      </c>
      <c r="F1322" s="1" t="s">
        <v>6425</v>
      </c>
      <c r="G1322" s="1" t="s">
        <v>6420</v>
      </c>
    </row>
    <row r="1323" spans="1:7">
      <c r="A1323" s="1">
        <v>2753</v>
      </c>
      <c r="B1323" s="1" t="s">
        <v>7436</v>
      </c>
      <c r="D1323" s="1" t="s">
        <v>3496</v>
      </c>
      <c r="E1323" s="1" t="s">
        <v>3525</v>
      </c>
      <c r="F1323" s="1" t="s">
        <v>6427</v>
      </c>
      <c r="G1323" s="1" t="s">
        <v>6423</v>
      </c>
    </row>
    <row r="1324" spans="1:7">
      <c r="A1324" s="1">
        <v>2754</v>
      </c>
      <c r="B1324" s="1" t="s">
        <v>7437</v>
      </c>
      <c r="D1324" s="1" t="s">
        <v>3496</v>
      </c>
      <c r="E1324" s="1" t="s">
        <v>3517</v>
      </c>
      <c r="F1324" s="1" t="s">
        <v>6429</v>
      </c>
      <c r="G1324" s="1" t="s">
        <v>6430</v>
      </c>
    </row>
    <row r="1325" spans="1:7">
      <c r="A1325" s="1">
        <v>2755</v>
      </c>
      <c r="B1325" s="1" t="s">
        <v>7438</v>
      </c>
      <c r="D1325" s="1" t="s">
        <v>3496</v>
      </c>
      <c r="E1325" s="1" t="s">
        <v>3515</v>
      </c>
      <c r="F1325" s="1" t="s">
        <v>6432</v>
      </c>
      <c r="G1325" s="1" t="s">
        <v>6433</v>
      </c>
    </row>
    <row r="1326" spans="1:7">
      <c r="A1326" s="1">
        <v>2758</v>
      </c>
      <c r="B1326" s="1" t="s">
        <v>7439</v>
      </c>
      <c r="D1326" s="1" t="s">
        <v>3496</v>
      </c>
      <c r="E1326" s="1" t="s">
        <v>7440</v>
      </c>
      <c r="F1326" s="1" t="s">
        <v>6436</v>
      </c>
      <c r="G1326" s="1" t="s">
        <v>6437</v>
      </c>
    </row>
    <row r="1327" spans="1:7">
      <c r="A1327" s="1">
        <v>2759</v>
      </c>
      <c r="B1327" s="1" t="s">
        <v>7441</v>
      </c>
      <c r="D1327" s="1" t="s">
        <v>3496</v>
      </c>
      <c r="E1327" s="1" t="s">
        <v>7442</v>
      </c>
      <c r="F1327" s="1" t="s">
        <v>6440</v>
      </c>
      <c r="G1327" s="1" t="s">
        <v>6441</v>
      </c>
    </row>
    <row r="1328" spans="1:7">
      <c r="A1328" s="1">
        <v>2760</v>
      </c>
      <c r="B1328" s="1" t="s">
        <v>7443</v>
      </c>
      <c r="D1328" s="1" t="s">
        <v>3496</v>
      </c>
      <c r="E1328" s="1" t="s">
        <v>7444</v>
      </c>
      <c r="F1328" s="1" t="s">
        <v>6444</v>
      </c>
      <c r="G1328" s="1" t="s">
        <v>6445</v>
      </c>
    </row>
    <row r="1329" spans="1:7">
      <c r="A1329" s="1">
        <v>2761</v>
      </c>
      <c r="B1329" s="1" t="s">
        <v>7445</v>
      </c>
      <c r="D1329" s="1" t="s">
        <v>3496</v>
      </c>
      <c r="E1329" s="1" t="s">
        <v>7446</v>
      </c>
      <c r="F1329" s="1" t="s">
        <v>6448</v>
      </c>
      <c r="G1329" s="1" t="s">
        <v>6449</v>
      </c>
    </row>
    <row r="1330" spans="1:7">
      <c r="A1330" s="1">
        <v>2762</v>
      </c>
      <c r="B1330" s="1" t="s">
        <v>7447</v>
      </c>
      <c r="D1330" s="1" t="s">
        <v>3496</v>
      </c>
      <c r="E1330" s="1" t="s">
        <v>7448</v>
      </c>
      <c r="F1330" s="1" t="s">
        <v>6452</v>
      </c>
      <c r="G1330" s="1" t="s">
        <v>6453</v>
      </c>
    </row>
    <row r="1331" spans="1:7">
      <c r="A1331" s="1">
        <v>2763</v>
      </c>
      <c r="B1331" s="1" t="s">
        <v>7449</v>
      </c>
      <c r="D1331" s="1" t="s">
        <v>3496</v>
      </c>
      <c r="E1331" s="1" t="s">
        <v>7450</v>
      </c>
      <c r="F1331" s="1" t="s">
        <v>6456</v>
      </c>
      <c r="G1331" s="1" t="s">
        <v>6457</v>
      </c>
    </row>
    <row r="1332" spans="1:7">
      <c r="A1332" s="1">
        <v>2765</v>
      </c>
      <c r="B1332" s="1" t="s">
        <v>7451</v>
      </c>
      <c r="D1332" s="1" t="s">
        <v>3496</v>
      </c>
      <c r="E1332" s="1" t="s">
        <v>3497</v>
      </c>
      <c r="F1332" s="1" t="s">
        <v>6459</v>
      </c>
      <c r="G1332" s="1" t="s">
        <v>6460</v>
      </c>
    </row>
    <row r="1333" spans="1:7">
      <c r="A1333" s="1">
        <v>2766</v>
      </c>
      <c r="B1333" s="1" t="s">
        <v>7452</v>
      </c>
      <c r="D1333" s="1" t="s">
        <v>3496</v>
      </c>
      <c r="E1333" s="1" t="s">
        <v>3511</v>
      </c>
      <c r="F1333" s="1" t="s">
        <v>6462</v>
      </c>
      <c r="G1333" s="1" t="s">
        <v>6463</v>
      </c>
    </row>
    <row r="1334" spans="1:7">
      <c r="A1334" s="1">
        <v>2767</v>
      </c>
      <c r="B1334" s="1" t="s">
        <v>7453</v>
      </c>
      <c r="D1334" s="1" t="s">
        <v>3496</v>
      </c>
      <c r="E1334" s="1" t="s">
        <v>3513</v>
      </c>
      <c r="F1334" s="1" t="s">
        <v>6465</v>
      </c>
      <c r="G1334" s="1" t="s">
        <v>6466</v>
      </c>
    </row>
    <row r="1335" spans="1:7">
      <c r="A1335" s="1">
        <v>2768</v>
      </c>
      <c r="B1335" s="1" t="s">
        <v>7454</v>
      </c>
      <c r="D1335" s="1" t="s">
        <v>3527</v>
      </c>
      <c r="E1335" s="1" t="s">
        <v>3550</v>
      </c>
      <c r="F1335" s="1" t="s">
        <v>6419</v>
      </c>
      <c r="G1335" s="1" t="s">
        <v>6420</v>
      </c>
    </row>
    <row r="1336" spans="1:7">
      <c r="A1336" s="1">
        <v>2769</v>
      </c>
      <c r="B1336" s="1" t="s">
        <v>7455</v>
      </c>
      <c r="D1336" s="1" t="s">
        <v>3527</v>
      </c>
      <c r="E1336" s="1" t="s">
        <v>3552</v>
      </c>
      <c r="F1336" s="1" t="s">
        <v>6422</v>
      </c>
      <c r="G1336" s="1" t="s">
        <v>6423</v>
      </c>
    </row>
    <row r="1337" spans="1:7">
      <c r="A1337" s="1">
        <v>2770</v>
      </c>
      <c r="B1337" s="1" t="s">
        <v>7456</v>
      </c>
      <c r="D1337" s="1" t="s">
        <v>3527</v>
      </c>
      <c r="E1337" s="1" t="s">
        <v>3554</v>
      </c>
      <c r="F1337" s="1" t="s">
        <v>6425</v>
      </c>
      <c r="G1337" s="1" t="s">
        <v>6420</v>
      </c>
    </row>
    <row r="1338" spans="1:7">
      <c r="A1338" s="1">
        <v>2771</v>
      </c>
      <c r="B1338" s="1" t="s">
        <v>7457</v>
      </c>
      <c r="D1338" s="1" t="s">
        <v>3527</v>
      </c>
      <c r="E1338" s="1" t="s">
        <v>3556</v>
      </c>
      <c r="F1338" s="1" t="s">
        <v>6427</v>
      </c>
      <c r="G1338" s="1" t="s">
        <v>6423</v>
      </c>
    </row>
    <row r="1339" spans="1:7">
      <c r="A1339" s="1">
        <v>2772</v>
      </c>
      <c r="B1339" s="1" t="s">
        <v>7458</v>
      </c>
      <c r="D1339" s="1" t="s">
        <v>3527</v>
      </c>
      <c r="E1339" s="1" t="s">
        <v>3548</v>
      </c>
      <c r="F1339" s="1" t="s">
        <v>6429</v>
      </c>
      <c r="G1339" s="1" t="s">
        <v>6430</v>
      </c>
    </row>
    <row r="1340" spans="1:7">
      <c r="A1340" s="1">
        <v>2773</v>
      </c>
      <c r="B1340" s="1" t="s">
        <v>7459</v>
      </c>
      <c r="D1340" s="1" t="s">
        <v>3527</v>
      </c>
      <c r="E1340" s="1" t="s">
        <v>3546</v>
      </c>
      <c r="F1340" s="1" t="s">
        <v>6432</v>
      </c>
      <c r="G1340" s="1" t="s">
        <v>6433</v>
      </c>
    </row>
    <row r="1341" spans="1:7">
      <c r="A1341" s="1">
        <v>2776</v>
      </c>
      <c r="B1341" s="1" t="s">
        <v>7460</v>
      </c>
      <c r="D1341" s="1" t="s">
        <v>3527</v>
      </c>
      <c r="E1341" s="1" t="s">
        <v>7461</v>
      </c>
      <c r="F1341" s="1" t="s">
        <v>6436</v>
      </c>
      <c r="G1341" s="1" t="s">
        <v>6437</v>
      </c>
    </row>
    <row r="1342" spans="1:7">
      <c r="A1342" s="1">
        <v>2777</v>
      </c>
      <c r="B1342" s="1" t="s">
        <v>7462</v>
      </c>
      <c r="D1342" s="1" t="s">
        <v>3527</v>
      </c>
      <c r="E1342" s="1" t="s">
        <v>7463</v>
      </c>
      <c r="F1342" s="1" t="s">
        <v>6440</v>
      </c>
      <c r="G1342" s="1" t="s">
        <v>6441</v>
      </c>
    </row>
    <row r="1343" spans="1:7">
      <c r="A1343" s="1">
        <v>2778</v>
      </c>
      <c r="B1343" s="1" t="s">
        <v>7464</v>
      </c>
      <c r="D1343" s="1" t="s">
        <v>3527</v>
      </c>
      <c r="E1343" s="1" t="s">
        <v>7465</v>
      </c>
      <c r="F1343" s="1" t="s">
        <v>6444</v>
      </c>
      <c r="G1343" s="1" t="s">
        <v>6445</v>
      </c>
    </row>
    <row r="1344" spans="1:7">
      <c r="A1344" s="1">
        <v>2779</v>
      </c>
      <c r="B1344" s="1" t="s">
        <v>7466</v>
      </c>
      <c r="D1344" s="1" t="s">
        <v>3527</v>
      </c>
      <c r="E1344" s="1" t="s">
        <v>7467</v>
      </c>
      <c r="F1344" s="1" t="s">
        <v>6448</v>
      </c>
      <c r="G1344" s="1" t="s">
        <v>6449</v>
      </c>
    </row>
    <row r="1345" spans="1:7">
      <c r="A1345" s="1">
        <v>2780</v>
      </c>
      <c r="B1345" s="1" t="s">
        <v>7468</v>
      </c>
      <c r="D1345" s="1" t="s">
        <v>3527</v>
      </c>
      <c r="E1345" s="1" t="s">
        <v>7469</v>
      </c>
      <c r="F1345" s="1" t="s">
        <v>6452</v>
      </c>
      <c r="G1345" s="1" t="s">
        <v>6453</v>
      </c>
    </row>
    <row r="1346" spans="1:7">
      <c r="A1346" s="1">
        <v>2781</v>
      </c>
      <c r="B1346" s="1" t="s">
        <v>7470</v>
      </c>
      <c r="D1346" s="1" t="s">
        <v>3527</v>
      </c>
      <c r="E1346" s="1" t="s">
        <v>7471</v>
      </c>
      <c r="F1346" s="1" t="s">
        <v>6456</v>
      </c>
      <c r="G1346" s="1" t="s">
        <v>6457</v>
      </c>
    </row>
    <row r="1347" spans="1:7">
      <c r="A1347" s="1">
        <v>2783</v>
      </c>
      <c r="B1347" s="1" t="s">
        <v>7472</v>
      </c>
      <c r="D1347" s="1" t="s">
        <v>3527</v>
      </c>
      <c r="E1347" s="1" t="s">
        <v>3528</v>
      </c>
      <c r="F1347" s="1" t="s">
        <v>6459</v>
      </c>
      <c r="G1347" s="1" t="s">
        <v>6460</v>
      </c>
    </row>
    <row r="1348" spans="1:7">
      <c r="A1348" s="1">
        <v>2784</v>
      </c>
      <c r="B1348" s="1" t="s">
        <v>7473</v>
      </c>
      <c r="D1348" s="1" t="s">
        <v>3527</v>
      </c>
      <c r="E1348" s="1" t="s">
        <v>3542</v>
      </c>
      <c r="F1348" s="1" t="s">
        <v>6462</v>
      </c>
      <c r="G1348" s="1" t="s">
        <v>6463</v>
      </c>
    </row>
    <row r="1349" spans="1:7">
      <c r="A1349" s="1">
        <v>2785</v>
      </c>
      <c r="B1349" s="1" t="s">
        <v>7474</v>
      </c>
      <c r="D1349" s="1" t="s">
        <v>3527</v>
      </c>
      <c r="E1349" s="1" t="s">
        <v>3544</v>
      </c>
      <c r="F1349" s="1" t="s">
        <v>6465</v>
      </c>
      <c r="G1349" s="1" t="s">
        <v>6466</v>
      </c>
    </row>
    <row r="1350" spans="1:7">
      <c r="A1350" s="1">
        <v>2786</v>
      </c>
      <c r="B1350" s="1" t="s">
        <v>7475</v>
      </c>
      <c r="D1350" s="1" t="s">
        <v>3558</v>
      </c>
      <c r="E1350" s="1" t="s">
        <v>3581</v>
      </c>
      <c r="F1350" s="1" t="s">
        <v>6419</v>
      </c>
      <c r="G1350" s="1" t="s">
        <v>6420</v>
      </c>
    </row>
    <row r="1351" spans="1:7">
      <c r="A1351" s="1">
        <v>2787</v>
      </c>
      <c r="B1351" s="1" t="s">
        <v>7476</v>
      </c>
      <c r="D1351" s="1" t="s">
        <v>3558</v>
      </c>
      <c r="E1351" s="1" t="s">
        <v>3583</v>
      </c>
      <c r="F1351" s="1" t="s">
        <v>6422</v>
      </c>
      <c r="G1351" s="1" t="s">
        <v>6423</v>
      </c>
    </row>
    <row r="1352" spans="1:7">
      <c r="A1352" s="1">
        <v>2788</v>
      </c>
      <c r="B1352" s="1" t="s">
        <v>7477</v>
      </c>
      <c r="D1352" s="1" t="s">
        <v>3558</v>
      </c>
      <c r="E1352" s="1" t="s">
        <v>3585</v>
      </c>
      <c r="F1352" s="1" t="s">
        <v>6425</v>
      </c>
      <c r="G1352" s="1" t="s">
        <v>6420</v>
      </c>
    </row>
    <row r="1353" spans="1:7">
      <c r="A1353" s="1">
        <v>2789</v>
      </c>
      <c r="B1353" s="1" t="s">
        <v>7478</v>
      </c>
      <c r="D1353" s="1" t="s">
        <v>3558</v>
      </c>
      <c r="E1353" s="1" t="s">
        <v>3587</v>
      </c>
      <c r="F1353" s="1" t="s">
        <v>6427</v>
      </c>
      <c r="G1353" s="1" t="s">
        <v>6423</v>
      </c>
    </row>
    <row r="1354" spans="1:7">
      <c r="A1354" s="1">
        <v>2790</v>
      </c>
      <c r="B1354" s="1" t="s">
        <v>7479</v>
      </c>
      <c r="D1354" s="1" t="s">
        <v>3558</v>
      </c>
      <c r="E1354" s="1" t="s">
        <v>3579</v>
      </c>
      <c r="F1354" s="1" t="s">
        <v>6429</v>
      </c>
      <c r="G1354" s="1" t="s">
        <v>6430</v>
      </c>
    </row>
    <row r="1355" spans="1:7">
      <c r="A1355" s="1">
        <v>2791</v>
      </c>
      <c r="B1355" s="1" t="s">
        <v>7480</v>
      </c>
      <c r="D1355" s="1" t="s">
        <v>3558</v>
      </c>
      <c r="E1355" s="1" t="s">
        <v>3577</v>
      </c>
      <c r="F1355" s="1" t="s">
        <v>6432</v>
      </c>
      <c r="G1355" s="1" t="s">
        <v>6433</v>
      </c>
    </row>
    <row r="1356" spans="1:7">
      <c r="A1356" s="1">
        <v>2794</v>
      </c>
      <c r="B1356" s="1" t="s">
        <v>7481</v>
      </c>
      <c r="D1356" s="1" t="s">
        <v>3558</v>
      </c>
      <c r="E1356" s="1" t="s">
        <v>7482</v>
      </c>
      <c r="F1356" s="1" t="s">
        <v>6436</v>
      </c>
      <c r="G1356" s="1" t="s">
        <v>6437</v>
      </c>
    </row>
    <row r="1357" spans="1:7">
      <c r="A1357" s="1">
        <v>2795</v>
      </c>
      <c r="B1357" s="1" t="s">
        <v>7483</v>
      </c>
      <c r="D1357" s="1" t="s">
        <v>3558</v>
      </c>
      <c r="E1357" s="1" t="s">
        <v>7484</v>
      </c>
      <c r="F1357" s="1" t="s">
        <v>6440</v>
      </c>
      <c r="G1357" s="1" t="s">
        <v>6441</v>
      </c>
    </row>
    <row r="1358" spans="1:7">
      <c r="A1358" s="1">
        <v>2796</v>
      </c>
      <c r="B1358" s="1" t="s">
        <v>7485</v>
      </c>
      <c r="D1358" s="1" t="s">
        <v>3558</v>
      </c>
      <c r="E1358" s="1" t="s">
        <v>7486</v>
      </c>
      <c r="F1358" s="1" t="s">
        <v>6444</v>
      </c>
      <c r="G1358" s="1" t="s">
        <v>6445</v>
      </c>
    </row>
    <row r="1359" spans="1:7">
      <c r="A1359" s="1">
        <v>2797</v>
      </c>
      <c r="B1359" s="1" t="s">
        <v>7487</v>
      </c>
      <c r="D1359" s="1" t="s">
        <v>3558</v>
      </c>
      <c r="E1359" s="1" t="s">
        <v>7488</v>
      </c>
      <c r="F1359" s="1" t="s">
        <v>6448</v>
      </c>
      <c r="G1359" s="1" t="s">
        <v>6449</v>
      </c>
    </row>
    <row r="1360" spans="1:7">
      <c r="A1360" s="1">
        <v>2798</v>
      </c>
      <c r="B1360" s="1" t="s">
        <v>7489</v>
      </c>
      <c r="D1360" s="1" t="s">
        <v>3558</v>
      </c>
      <c r="E1360" s="1" t="s">
        <v>7490</v>
      </c>
      <c r="F1360" s="1" t="s">
        <v>6452</v>
      </c>
      <c r="G1360" s="1" t="s">
        <v>6453</v>
      </c>
    </row>
    <row r="1361" spans="1:7">
      <c r="A1361" s="1">
        <v>2799</v>
      </c>
      <c r="B1361" s="1" t="s">
        <v>7491</v>
      </c>
      <c r="D1361" s="1" t="s">
        <v>3558</v>
      </c>
      <c r="E1361" s="1" t="s">
        <v>7492</v>
      </c>
      <c r="F1361" s="1" t="s">
        <v>6456</v>
      </c>
      <c r="G1361" s="1" t="s">
        <v>6457</v>
      </c>
    </row>
    <row r="1362" spans="1:7">
      <c r="A1362" s="1">
        <v>2801</v>
      </c>
      <c r="B1362" s="1" t="s">
        <v>7493</v>
      </c>
      <c r="D1362" s="1" t="s">
        <v>3558</v>
      </c>
      <c r="E1362" s="1" t="s">
        <v>3559</v>
      </c>
      <c r="F1362" s="1" t="s">
        <v>6459</v>
      </c>
      <c r="G1362" s="1" t="s">
        <v>6460</v>
      </c>
    </row>
    <row r="1363" spans="1:7">
      <c r="A1363" s="1">
        <v>2802</v>
      </c>
      <c r="B1363" s="1" t="s">
        <v>7494</v>
      </c>
      <c r="D1363" s="1" t="s">
        <v>3558</v>
      </c>
      <c r="E1363" s="1" t="s">
        <v>3573</v>
      </c>
      <c r="F1363" s="1" t="s">
        <v>6462</v>
      </c>
      <c r="G1363" s="1" t="s">
        <v>6463</v>
      </c>
    </row>
    <row r="1364" spans="1:7">
      <c r="A1364" s="1">
        <v>2803</v>
      </c>
      <c r="B1364" s="1" t="s">
        <v>7495</v>
      </c>
      <c r="D1364" s="1" t="s">
        <v>3558</v>
      </c>
      <c r="E1364" s="1" t="s">
        <v>3575</v>
      </c>
      <c r="F1364" s="1" t="s">
        <v>6465</v>
      </c>
      <c r="G1364" s="1" t="s">
        <v>6466</v>
      </c>
    </row>
    <row r="1365" spans="1:7">
      <c r="A1365" s="1">
        <v>2804</v>
      </c>
      <c r="B1365" s="1" t="s">
        <v>7496</v>
      </c>
      <c r="D1365" s="1" t="s">
        <v>3589</v>
      </c>
      <c r="E1365" s="1" t="s">
        <v>3612</v>
      </c>
      <c r="F1365" s="1" t="s">
        <v>6419</v>
      </c>
      <c r="G1365" s="1" t="s">
        <v>6420</v>
      </c>
    </row>
    <row r="1366" spans="1:7">
      <c r="A1366" s="1">
        <v>2805</v>
      </c>
      <c r="B1366" s="1" t="s">
        <v>7497</v>
      </c>
      <c r="D1366" s="1" t="s">
        <v>3589</v>
      </c>
      <c r="E1366" s="1" t="s">
        <v>3614</v>
      </c>
      <c r="F1366" s="1" t="s">
        <v>6422</v>
      </c>
      <c r="G1366" s="1" t="s">
        <v>6423</v>
      </c>
    </row>
    <row r="1367" spans="1:7">
      <c r="A1367" s="1">
        <v>2806</v>
      </c>
      <c r="B1367" s="1" t="s">
        <v>7498</v>
      </c>
      <c r="D1367" s="1" t="s">
        <v>3589</v>
      </c>
      <c r="E1367" s="1" t="s">
        <v>3616</v>
      </c>
      <c r="F1367" s="1" t="s">
        <v>6425</v>
      </c>
      <c r="G1367" s="1" t="s">
        <v>6420</v>
      </c>
    </row>
    <row r="1368" spans="1:7">
      <c r="A1368" s="1">
        <v>2807</v>
      </c>
      <c r="B1368" s="1" t="s">
        <v>7499</v>
      </c>
      <c r="D1368" s="1" t="s">
        <v>3589</v>
      </c>
      <c r="E1368" s="1" t="s">
        <v>3618</v>
      </c>
      <c r="F1368" s="1" t="s">
        <v>6427</v>
      </c>
      <c r="G1368" s="1" t="s">
        <v>6423</v>
      </c>
    </row>
    <row r="1369" spans="1:7">
      <c r="A1369" s="1">
        <v>2808</v>
      </c>
      <c r="B1369" s="1" t="s">
        <v>7500</v>
      </c>
      <c r="D1369" s="1" t="s">
        <v>3589</v>
      </c>
      <c r="E1369" s="1" t="s">
        <v>3610</v>
      </c>
      <c r="F1369" s="1" t="s">
        <v>6429</v>
      </c>
      <c r="G1369" s="1" t="s">
        <v>6430</v>
      </c>
    </row>
    <row r="1370" spans="1:7">
      <c r="A1370" s="1">
        <v>2809</v>
      </c>
      <c r="B1370" s="1" t="s">
        <v>7501</v>
      </c>
      <c r="D1370" s="1" t="s">
        <v>3589</v>
      </c>
      <c r="E1370" s="1" t="s">
        <v>3608</v>
      </c>
      <c r="F1370" s="1" t="s">
        <v>6432</v>
      </c>
      <c r="G1370" s="1" t="s">
        <v>6433</v>
      </c>
    </row>
    <row r="1371" spans="1:7">
      <c r="A1371" s="1">
        <v>2812</v>
      </c>
      <c r="B1371" s="1" t="s">
        <v>7502</v>
      </c>
      <c r="D1371" s="1" t="s">
        <v>3589</v>
      </c>
      <c r="E1371" s="1" t="s">
        <v>7503</v>
      </c>
      <c r="F1371" s="1" t="s">
        <v>6436</v>
      </c>
      <c r="G1371" s="1" t="s">
        <v>6437</v>
      </c>
    </row>
    <row r="1372" spans="1:7">
      <c r="A1372" s="1">
        <v>2813</v>
      </c>
      <c r="B1372" s="1" t="s">
        <v>7504</v>
      </c>
      <c r="D1372" s="1" t="s">
        <v>3589</v>
      </c>
      <c r="E1372" s="1" t="s">
        <v>7505</v>
      </c>
      <c r="F1372" s="1" t="s">
        <v>6440</v>
      </c>
      <c r="G1372" s="1" t="s">
        <v>6441</v>
      </c>
    </row>
    <row r="1373" spans="1:7">
      <c r="A1373" s="1">
        <v>2814</v>
      </c>
      <c r="B1373" s="1" t="s">
        <v>7506</v>
      </c>
      <c r="D1373" s="1" t="s">
        <v>3589</v>
      </c>
      <c r="E1373" s="1" t="s">
        <v>7507</v>
      </c>
      <c r="F1373" s="1" t="s">
        <v>6444</v>
      </c>
      <c r="G1373" s="1" t="s">
        <v>6445</v>
      </c>
    </row>
    <row r="1374" spans="1:7">
      <c r="A1374" s="1">
        <v>2815</v>
      </c>
      <c r="B1374" s="1" t="s">
        <v>7508</v>
      </c>
      <c r="D1374" s="1" t="s">
        <v>3589</v>
      </c>
      <c r="E1374" s="1" t="s">
        <v>7509</v>
      </c>
      <c r="F1374" s="1" t="s">
        <v>6448</v>
      </c>
      <c r="G1374" s="1" t="s">
        <v>6449</v>
      </c>
    </row>
    <row r="1375" spans="1:7">
      <c r="A1375" s="1">
        <v>2816</v>
      </c>
      <c r="B1375" s="1" t="s">
        <v>7510</v>
      </c>
      <c r="D1375" s="1" t="s">
        <v>3589</v>
      </c>
      <c r="E1375" s="1" t="s">
        <v>7511</v>
      </c>
      <c r="F1375" s="1" t="s">
        <v>6452</v>
      </c>
      <c r="G1375" s="1" t="s">
        <v>6453</v>
      </c>
    </row>
    <row r="1376" spans="1:7">
      <c r="A1376" s="1">
        <v>2817</v>
      </c>
      <c r="B1376" s="1" t="s">
        <v>7512</v>
      </c>
      <c r="D1376" s="1" t="s">
        <v>3589</v>
      </c>
      <c r="E1376" s="1" t="s">
        <v>7513</v>
      </c>
      <c r="F1376" s="1" t="s">
        <v>6456</v>
      </c>
      <c r="G1376" s="1" t="s">
        <v>6457</v>
      </c>
    </row>
    <row r="1377" spans="1:7">
      <c r="A1377" s="1">
        <v>2819</v>
      </c>
      <c r="B1377" s="1" t="s">
        <v>7514</v>
      </c>
      <c r="D1377" s="1" t="s">
        <v>3589</v>
      </c>
      <c r="E1377" s="1" t="s">
        <v>3590</v>
      </c>
      <c r="F1377" s="1" t="s">
        <v>6459</v>
      </c>
      <c r="G1377" s="1" t="s">
        <v>6460</v>
      </c>
    </row>
    <row r="1378" spans="1:7">
      <c r="A1378" s="1">
        <v>2820</v>
      </c>
      <c r="B1378" s="1" t="s">
        <v>7515</v>
      </c>
      <c r="D1378" s="1" t="s">
        <v>3589</v>
      </c>
      <c r="E1378" s="1" t="s">
        <v>3604</v>
      </c>
      <c r="F1378" s="1" t="s">
        <v>6462</v>
      </c>
      <c r="G1378" s="1" t="s">
        <v>6463</v>
      </c>
    </row>
    <row r="1379" spans="1:7">
      <c r="A1379" s="1">
        <v>2821</v>
      </c>
      <c r="B1379" s="1" t="s">
        <v>7516</v>
      </c>
      <c r="D1379" s="1" t="s">
        <v>3589</v>
      </c>
      <c r="E1379" s="1" t="s">
        <v>3606</v>
      </c>
      <c r="F1379" s="1" t="s">
        <v>6465</v>
      </c>
      <c r="G1379" s="1" t="s">
        <v>6466</v>
      </c>
    </row>
    <row r="1380" spans="1:7">
      <c r="A1380" s="1">
        <v>2822</v>
      </c>
      <c r="B1380" s="1" t="s">
        <v>7517</v>
      </c>
      <c r="D1380" s="1" t="s">
        <v>3620</v>
      </c>
      <c r="E1380" s="1" t="s">
        <v>3643</v>
      </c>
      <c r="F1380" s="1" t="s">
        <v>6419</v>
      </c>
      <c r="G1380" s="1" t="s">
        <v>6420</v>
      </c>
    </row>
    <row r="1381" spans="1:7">
      <c r="A1381" s="1">
        <v>2823</v>
      </c>
      <c r="B1381" s="1" t="s">
        <v>7518</v>
      </c>
      <c r="D1381" s="1" t="s">
        <v>3620</v>
      </c>
      <c r="E1381" s="1" t="s">
        <v>3645</v>
      </c>
      <c r="F1381" s="1" t="s">
        <v>6422</v>
      </c>
      <c r="G1381" s="1" t="s">
        <v>6423</v>
      </c>
    </row>
    <row r="1382" spans="1:7">
      <c r="A1382" s="1">
        <v>2824</v>
      </c>
      <c r="B1382" s="1" t="s">
        <v>7519</v>
      </c>
      <c r="D1382" s="1" t="s">
        <v>3620</v>
      </c>
      <c r="E1382" s="1" t="s">
        <v>3647</v>
      </c>
      <c r="F1382" s="1" t="s">
        <v>6425</v>
      </c>
      <c r="G1382" s="1" t="s">
        <v>6420</v>
      </c>
    </row>
    <row r="1383" spans="1:7">
      <c r="A1383" s="1">
        <v>2825</v>
      </c>
      <c r="B1383" s="1" t="s">
        <v>7520</v>
      </c>
      <c r="D1383" s="1" t="s">
        <v>3620</v>
      </c>
      <c r="E1383" s="1" t="s">
        <v>3649</v>
      </c>
      <c r="F1383" s="1" t="s">
        <v>6427</v>
      </c>
      <c r="G1383" s="1" t="s">
        <v>6423</v>
      </c>
    </row>
    <row r="1384" spans="1:7">
      <c r="A1384" s="1">
        <v>2826</v>
      </c>
      <c r="B1384" s="1" t="s">
        <v>7521</v>
      </c>
      <c r="D1384" s="1" t="s">
        <v>3620</v>
      </c>
      <c r="E1384" s="1" t="s">
        <v>3641</v>
      </c>
      <c r="F1384" s="1" t="s">
        <v>6429</v>
      </c>
      <c r="G1384" s="1" t="s">
        <v>6430</v>
      </c>
    </row>
    <row r="1385" spans="1:7">
      <c r="A1385" s="1">
        <v>2827</v>
      </c>
      <c r="B1385" s="1" t="s">
        <v>7522</v>
      </c>
      <c r="D1385" s="1" t="s">
        <v>3620</v>
      </c>
      <c r="E1385" s="1" t="s">
        <v>3639</v>
      </c>
      <c r="F1385" s="1" t="s">
        <v>6432</v>
      </c>
      <c r="G1385" s="1" t="s">
        <v>6433</v>
      </c>
    </row>
    <row r="1386" spans="1:7">
      <c r="A1386" s="1">
        <v>2830</v>
      </c>
      <c r="B1386" s="1" t="s">
        <v>7523</v>
      </c>
      <c r="D1386" s="1" t="s">
        <v>3620</v>
      </c>
      <c r="E1386" s="1" t="s">
        <v>7524</v>
      </c>
      <c r="F1386" s="1" t="s">
        <v>6436</v>
      </c>
      <c r="G1386" s="1" t="s">
        <v>6437</v>
      </c>
    </row>
    <row r="1387" spans="1:7">
      <c r="A1387" s="1">
        <v>2831</v>
      </c>
      <c r="B1387" s="1" t="s">
        <v>7525</v>
      </c>
      <c r="D1387" s="1" t="s">
        <v>3620</v>
      </c>
      <c r="E1387" s="1" t="s">
        <v>7526</v>
      </c>
      <c r="F1387" s="1" t="s">
        <v>6440</v>
      </c>
      <c r="G1387" s="1" t="s">
        <v>6441</v>
      </c>
    </row>
    <row r="1388" spans="1:7">
      <c r="A1388" s="1">
        <v>2832</v>
      </c>
      <c r="B1388" s="1" t="s">
        <v>7527</v>
      </c>
      <c r="D1388" s="1" t="s">
        <v>3620</v>
      </c>
      <c r="E1388" s="1" t="s">
        <v>7528</v>
      </c>
      <c r="F1388" s="1" t="s">
        <v>6444</v>
      </c>
      <c r="G1388" s="1" t="s">
        <v>6445</v>
      </c>
    </row>
    <row r="1389" spans="1:7">
      <c r="A1389" s="1">
        <v>2833</v>
      </c>
      <c r="B1389" s="1" t="s">
        <v>7529</v>
      </c>
      <c r="D1389" s="1" t="s">
        <v>3620</v>
      </c>
      <c r="E1389" s="1" t="s">
        <v>7530</v>
      </c>
      <c r="F1389" s="1" t="s">
        <v>6448</v>
      </c>
      <c r="G1389" s="1" t="s">
        <v>6449</v>
      </c>
    </row>
    <row r="1390" spans="1:7">
      <c r="A1390" s="1">
        <v>2834</v>
      </c>
      <c r="B1390" s="1" t="s">
        <v>7531</v>
      </c>
      <c r="D1390" s="1" t="s">
        <v>3620</v>
      </c>
      <c r="E1390" s="1" t="s">
        <v>7532</v>
      </c>
      <c r="F1390" s="1" t="s">
        <v>6452</v>
      </c>
      <c r="G1390" s="1" t="s">
        <v>6453</v>
      </c>
    </row>
    <row r="1391" spans="1:7">
      <c r="A1391" s="1">
        <v>2835</v>
      </c>
      <c r="B1391" s="1" t="s">
        <v>7533</v>
      </c>
      <c r="D1391" s="1" t="s">
        <v>3620</v>
      </c>
      <c r="E1391" s="1" t="s">
        <v>7534</v>
      </c>
      <c r="F1391" s="1" t="s">
        <v>6456</v>
      </c>
      <c r="G1391" s="1" t="s">
        <v>6457</v>
      </c>
    </row>
    <row r="1392" spans="1:7">
      <c r="A1392" s="1">
        <v>2837</v>
      </c>
      <c r="B1392" s="1" t="s">
        <v>7535</v>
      </c>
      <c r="D1392" s="1" t="s">
        <v>3620</v>
      </c>
      <c r="E1392" s="1" t="s">
        <v>3621</v>
      </c>
      <c r="F1392" s="1" t="s">
        <v>6459</v>
      </c>
      <c r="G1392" s="1" t="s">
        <v>6460</v>
      </c>
    </row>
    <row r="1393" spans="1:7">
      <c r="A1393" s="1">
        <v>2838</v>
      </c>
      <c r="B1393" s="1" t="s">
        <v>7536</v>
      </c>
      <c r="D1393" s="1" t="s">
        <v>3620</v>
      </c>
      <c r="E1393" s="1" t="s">
        <v>3635</v>
      </c>
      <c r="F1393" s="1" t="s">
        <v>6462</v>
      </c>
      <c r="G1393" s="1" t="s">
        <v>6463</v>
      </c>
    </row>
    <row r="1394" spans="1:7">
      <c r="A1394" s="1">
        <v>2839</v>
      </c>
      <c r="B1394" s="1" t="s">
        <v>7537</v>
      </c>
      <c r="D1394" s="1" t="s">
        <v>3620</v>
      </c>
      <c r="E1394" s="1" t="s">
        <v>3637</v>
      </c>
      <c r="F1394" s="1" t="s">
        <v>6465</v>
      </c>
      <c r="G1394" s="1" t="s">
        <v>6466</v>
      </c>
    </row>
    <row r="1395" spans="1:7">
      <c r="A1395" s="1">
        <v>2840</v>
      </c>
      <c r="B1395" s="1" t="s">
        <v>7538</v>
      </c>
      <c r="D1395" s="1" t="s">
        <v>3651</v>
      </c>
      <c r="E1395" s="1" t="s">
        <v>3674</v>
      </c>
      <c r="F1395" s="1" t="s">
        <v>6419</v>
      </c>
      <c r="G1395" s="1" t="s">
        <v>6420</v>
      </c>
    </row>
    <row r="1396" spans="1:7">
      <c r="A1396" s="1">
        <v>2841</v>
      </c>
      <c r="B1396" s="1" t="s">
        <v>7539</v>
      </c>
      <c r="D1396" s="1" t="s">
        <v>3651</v>
      </c>
      <c r="E1396" s="1" t="s">
        <v>3676</v>
      </c>
      <c r="F1396" s="1" t="s">
        <v>6422</v>
      </c>
      <c r="G1396" s="1" t="s">
        <v>6423</v>
      </c>
    </row>
    <row r="1397" spans="1:7">
      <c r="A1397" s="1">
        <v>2842</v>
      </c>
      <c r="B1397" s="1" t="s">
        <v>7540</v>
      </c>
      <c r="D1397" s="1" t="s">
        <v>3651</v>
      </c>
      <c r="E1397" s="1" t="s">
        <v>3678</v>
      </c>
      <c r="F1397" s="1" t="s">
        <v>6425</v>
      </c>
      <c r="G1397" s="1" t="s">
        <v>6420</v>
      </c>
    </row>
    <row r="1398" spans="1:7">
      <c r="A1398" s="1">
        <v>2843</v>
      </c>
      <c r="B1398" s="1" t="s">
        <v>7541</v>
      </c>
      <c r="D1398" s="1" t="s">
        <v>3651</v>
      </c>
      <c r="E1398" s="1" t="s">
        <v>3680</v>
      </c>
      <c r="F1398" s="1" t="s">
        <v>6427</v>
      </c>
      <c r="G1398" s="1" t="s">
        <v>6423</v>
      </c>
    </row>
    <row r="1399" spans="1:7">
      <c r="A1399" s="1">
        <v>2844</v>
      </c>
      <c r="B1399" s="1" t="s">
        <v>7542</v>
      </c>
      <c r="D1399" s="1" t="s">
        <v>3651</v>
      </c>
      <c r="E1399" s="1" t="s">
        <v>3672</v>
      </c>
      <c r="F1399" s="1" t="s">
        <v>6429</v>
      </c>
      <c r="G1399" s="1" t="s">
        <v>6430</v>
      </c>
    </row>
    <row r="1400" spans="1:7">
      <c r="A1400" s="1">
        <v>2845</v>
      </c>
      <c r="B1400" s="1" t="s">
        <v>7543</v>
      </c>
      <c r="D1400" s="1" t="s">
        <v>3651</v>
      </c>
      <c r="E1400" s="1" t="s">
        <v>3670</v>
      </c>
      <c r="F1400" s="1" t="s">
        <v>6432</v>
      </c>
      <c r="G1400" s="1" t="s">
        <v>6433</v>
      </c>
    </row>
    <row r="1401" spans="1:7">
      <c r="A1401" s="1">
        <v>2848</v>
      </c>
      <c r="B1401" s="1" t="s">
        <v>7544</v>
      </c>
      <c r="D1401" s="1" t="s">
        <v>3651</v>
      </c>
      <c r="E1401" s="1" t="s">
        <v>7545</v>
      </c>
      <c r="F1401" s="1" t="s">
        <v>6436</v>
      </c>
      <c r="G1401" s="1" t="s">
        <v>6437</v>
      </c>
    </row>
    <row r="1402" spans="1:7">
      <c r="A1402" s="1">
        <v>2849</v>
      </c>
      <c r="B1402" s="1" t="s">
        <v>7546</v>
      </c>
      <c r="D1402" s="1" t="s">
        <v>3651</v>
      </c>
      <c r="E1402" s="1" t="s">
        <v>7547</v>
      </c>
      <c r="F1402" s="1" t="s">
        <v>6440</v>
      </c>
      <c r="G1402" s="1" t="s">
        <v>6441</v>
      </c>
    </row>
    <row r="1403" spans="1:7">
      <c r="A1403" s="1">
        <v>2850</v>
      </c>
      <c r="B1403" s="1" t="s">
        <v>7548</v>
      </c>
      <c r="D1403" s="1" t="s">
        <v>3651</v>
      </c>
      <c r="E1403" s="1" t="s">
        <v>7549</v>
      </c>
      <c r="F1403" s="1" t="s">
        <v>6444</v>
      </c>
      <c r="G1403" s="1" t="s">
        <v>6445</v>
      </c>
    </row>
    <row r="1404" spans="1:7">
      <c r="A1404" s="1">
        <v>2851</v>
      </c>
      <c r="B1404" s="1" t="s">
        <v>7550</v>
      </c>
      <c r="D1404" s="1" t="s">
        <v>3651</v>
      </c>
      <c r="E1404" s="1" t="s">
        <v>7551</v>
      </c>
      <c r="F1404" s="1" t="s">
        <v>6448</v>
      </c>
      <c r="G1404" s="1" t="s">
        <v>6449</v>
      </c>
    </row>
    <row r="1405" spans="1:7">
      <c r="A1405" s="1">
        <v>2852</v>
      </c>
      <c r="B1405" s="1" t="s">
        <v>7552</v>
      </c>
      <c r="D1405" s="1" t="s">
        <v>3651</v>
      </c>
      <c r="E1405" s="1" t="s">
        <v>7553</v>
      </c>
      <c r="F1405" s="1" t="s">
        <v>6452</v>
      </c>
      <c r="G1405" s="1" t="s">
        <v>6453</v>
      </c>
    </row>
    <row r="1406" spans="1:7">
      <c r="A1406" s="1">
        <v>2853</v>
      </c>
      <c r="B1406" s="1" t="s">
        <v>7554</v>
      </c>
      <c r="D1406" s="1" t="s">
        <v>3651</v>
      </c>
      <c r="E1406" s="1" t="s">
        <v>7555</v>
      </c>
      <c r="F1406" s="1" t="s">
        <v>6456</v>
      </c>
      <c r="G1406" s="1" t="s">
        <v>6457</v>
      </c>
    </row>
    <row r="1407" spans="1:7">
      <c r="A1407" s="1">
        <v>2855</v>
      </c>
      <c r="B1407" s="1" t="s">
        <v>7556</v>
      </c>
      <c r="D1407" s="1" t="s">
        <v>3651</v>
      </c>
      <c r="E1407" s="1" t="s">
        <v>3652</v>
      </c>
      <c r="F1407" s="1" t="s">
        <v>6459</v>
      </c>
      <c r="G1407" s="1" t="s">
        <v>6460</v>
      </c>
    </row>
    <row r="1408" spans="1:7">
      <c r="A1408" s="1">
        <v>2856</v>
      </c>
      <c r="B1408" s="1" t="s">
        <v>7557</v>
      </c>
      <c r="D1408" s="1" t="s">
        <v>3651</v>
      </c>
      <c r="E1408" s="1" t="s">
        <v>3666</v>
      </c>
      <c r="F1408" s="1" t="s">
        <v>6462</v>
      </c>
      <c r="G1408" s="1" t="s">
        <v>6463</v>
      </c>
    </row>
    <row r="1409" spans="1:7">
      <c r="A1409" s="1">
        <v>2857</v>
      </c>
      <c r="B1409" s="1" t="s">
        <v>7558</v>
      </c>
      <c r="D1409" s="1" t="s">
        <v>3651</v>
      </c>
      <c r="E1409" s="1" t="s">
        <v>3668</v>
      </c>
      <c r="F1409" s="1" t="s">
        <v>6465</v>
      </c>
      <c r="G1409" s="1" t="s">
        <v>6466</v>
      </c>
    </row>
    <row r="1410" spans="1:7">
      <c r="A1410" s="1">
        <v>2858</v>
      </c>
      <c r="B1410" s="1" t="s">
        <v>7559</v>
      </c>
      <c r="D1410" s="1" t="s">
        <v>3682</v>
      </c>
      <c r="E1410" s="1" t="s">
        <v>3705</v>
      </c>
      <c r="F1410" s="1" t="s">
        <v>6419</v>
      </c>
      <c r="G1410" s="1" t="s">
        <v>6420</v>
      </c>
    </row>
    <row r="1411" spans="1:7">
      <c r="A1411" s="1">
        <v>2859</v>
      </c>
      <c r="B1411" s="1" t="s">
        <v>7560</v>
      </c>
      <c r="D1411" s="1" t="s">
        <v>3682</v>
      </c>
      <c r="E1411" s="1" t="s">
        <v>3707</v>
      </c>
      <c r="F1411" s="1" t="s">
        <v>6422</v>
      </c>
      <c r="G1411" s="1" t="s">
        <v>6423</v>
      </c>
    </row>
    <row r="1412" spans="1:7">
      <c r="A1412" s="1">
        <v>2860</v>
      </c>
      <c r="B1412" s="1" t="s">
        <v>7561</v>
      </c>
      <c r="D1412" s="1" t="s">
        <v>3682</v>
      </c>
      <c r="E1412" s="1" t="s">
        <v>3709</v>
      </c>
      <c r="F1412" s="1" t="s">
        <v>6425</v>
      </c>
      <c r="G1412" s="1" t="s">
        <v>6420</v>
      </c>
    </row>
    <row r="1413" spans="1:7">
      <c r="A1413" s="1">
        <v>2861</v>
      </c>
      <c r="B1413" s="1" t="s">
        <v>7562</v>
      </c>
      <c r="D1413" s="1" t="s">
        <v>3682</v>
      </c>
      <c r="E1413" s="1" t="s">
        <v>3711</v>
      </c>
      <c r="F1413" s="1" t="s">
        <v>6427</v>
      </c>
      <c r="G1413" s="1" t="s">
        <v>6423</v>
      </c>
    </row>
    <row r="1414" spans="1:7">
      <c r="A1414" s="1">
        <v>2862</v>
      </c>
      <c r="B1414" s="1" t="s">
        <v>7563</v>
      </c>
      <c r="D1414" s="1" t="s">
        <v>3682</v>
      </c>
      <c r="E1414" s="1" t="s">
        <v>3703</v>
      </c>
      <c r="F1414" s="1" t="s">
        <v>6429</v>
      </c>
      <c r="G1414" s="1" t="s">
        <v>6430</v>
      </c>
    </row>
    <row r="1415" spans="1:7">
      <c r="A1415" s="1">
        <v>2863</v>
      </c>
      <c r="B1415" s="1" t="s">
        <v>7564</v>
      </c>
      <c r="D1415" s="1" t="s">
        <v>3682</v>
      </c>
      <c r="E1415" s="1" t="s">
        <v>3701</v>
      </c>
      <c r="F1415" s="1" t="s">
        <v>6432</v>
      </c>
      <c r="G1415" s="1" t="s">
        <v>6433</v>
      </c>
    </row>
    <row r="1416" spans="1:7">
      <c r="A1416" s="1">
        <v>2866</v>
      </c>
      <c r="B1416" s="1" t="s">
        <v>7565</v>
      </c>
      <c r="D1416" s="1" t="s">
        <v>3682</v>
      </c>
      <c r="E1416" s="1" t="s">
        <v>7566</v>
      </c>
      <c r="F1416" s="1" t="s">
        <v>6436</v>
      </c>
      <c r="G1416" s="1" t="s">
        <v>6437</v>
      </c>
    </row>
    <row r="1417" spans="1:7">
      <c r="A1417" s="1">
        <v>2867</v>
      </c>
      <c r="B1417" s="1" t="s">
        <v>7567</v>
      </c>
      <c r="D1417" s="1" t="s">
        <v>3682</v>
      </c>
      <c r="E1417" s="1" t="s">
        <v>7568</v>
      </c>
      <c r="F1417" s="1" t="s">
        <v>6440</v>
      </c>
      <c r="G1417" s="1" t="s">
        <v>6441</v>
      </c>
    </row>
    <row r="1418" spans="1:7">
      <c r="A1418" s="1">
        <v>2868</v>
      </c>
      <c r="B1418" s="1" t="s">
        <v>7569</v>
      </c>
      <c r="D1418" s="1" t="s">
        <v>3682</v>
      </c>
      <c r="E1418" s="1" t="s">
        <v>7570</v>
      </c>
      <c r="F1418" s="1" t="s">
        <v>6444</v>
      </c>
      <c r="G1418" s="1" t="s">
        <v>6445</v>
      </c>
    </row>
    <row r="1419" spans="1:7">
      <c r="A1419" s="1">
        <v>2869</v>
      </c>
      <c r="B1419" s="1" t="s">
        <v>7571</v>
      </c>
      <c r="D1419" s="1" t="s">
        <v>3682</v>
      </c>
      <c r="E1419" s="1" t="s">
        <v>7572</v>
      </c>
      <c r="F1419" s="1" t="s">
        <v>6448</v>
      </c>
      <c r="G1419" s="1" t="s">
        <v>6449</v>
      </c>
    </row>
    <row r="1420" spans="1:7">
      <c r="A1420" s="1">
        <v>2870</v>
      </c>
      <c r="B1420" s="1" t="s">
        <v>7573</v>
      </c>
      <c r="D1420" s="1" t="s">
        <v>3682</v>
      </c>
      <c r="E1420" s="1" t="s">
        <v>7574</v>
      </c>
      <c r="F1420" s="1" t="s">
        <v>6452</v>
      </c>
      <c r="G1420" s="1" t="s">
        <v>6453</v>
      </c>
    </row>
    <row r="1421" spans="1:7">
      <c r="A1421" s="1">
        <v>2871</v>
      </c>
      <c r="B1421" s="1" t="s">
        <v>7575</v>
      </c>
      <c r="D1421" s="1" t="s">
        <v>3682</v>
      </c>
      <c r="E1421" s="1" t="s">
        <v>7576</v>
      </c>
      <c r="F1421" s="1" t="s">
        <v>6456</v>
      </c>
      <c r="G1421" s="1" t="s">
        <v>6457</v>
      </c>
    </row>
    <row r="1422" spans="1:7">
      <c r="A1422" s="1">
        <v>2873</v>
      </c>
      <c r="B1422" s="1" t="s">
        <v>7577</v>
      </c>
      <c r="D1422" s="1" t="s">
        <v>3682</v>
      </c>
      <c r="E1422" s="1" t="s">
        <v>3683</v>
      </c>
      <c r="F1422" s="1" t="s">
        <v>6459</v>
      </c>
      <c r="G1422" s="1" t="s">
        <v>6460</v>
      </c>
    </row>
    <row r="1423" spans="1:7">
      <c r="A1423" s="1">
        <v>2874</v>
      </c>
      <c r="B1423" s="1" t="s">
        <v>7578</v>
      </c>
      <c r="D1423" s="1" t="s">
        <v>3682</v>
      </c>
      <c r="E1423" s="1" t="s">
        <v>3697</v>
      </c>
      <c r="F1423" s="1" t="s">
        <v>6462</v>
      </c>
      <c r="G1423" s="1" t="s">
        <v>6463</v>
      </c>
    </row>
    <row r="1424" spans="1:7">
      <c r="A1424" s="1">
        <v>2875</v>
      </c>
      <c r="B1424" s="1" t="s">
        <v>7579</v>
      </c>
      <c r="D1424" s="1" t="s">
        <v>3682</v>
      </c>
      <c r="E1424" s="1" t="s">
        <v>3699</v>
      </c>
      <c r="F1424" s="1" t="s">
        <v>6465</v>
      </c>
      <c r="G1424" s="1" t="s">
        <v>6466</v>
      </c>
    </row>
    <row r="1425" spans="1:7">
      <c r="A1425" s="1">
        <v>2876</v>
      </c>
      <c r="B1425" s="1" t="s">
        <v>7580</v>
      </c>
      <c r="D1425" s="1" t="s">
        <v>3713</v>
      </c>
      <c r="E1425" s="1" t="s">
        <v>3736</v>
      </c>
      <c r="F1425" s="1" t="s">
        <v>6419</v>
      </c>
      <c r="G1425" s="1" t="s">
        <v>6420</v>
      </c>
    </row>
    <row r="1426" spans="1:7">
      <c r="A1426" s="1">
        <v>2877</v>
      </c>
      <c r="B1426" s="1" t="s">
        <v>7581</v>
      </c>
      <c r="D1426" s="1" t="s">
        <v>3713</v>
      </c>
      <c r="E1426" s="1" t="s">
        <v>3738</v>
      </c>
      <c r="F1426" s="1" t="s">
        <v>6422</v>
      </c>
      <c r="G1426" s="1" t="s">
        <v>6423</v>
      </c>
    </row>
    <row r="1427" spans="1:7">
      <c r="A1427" s="1">
        <v>2878</v>
      </c>
      <c r="B1427" s="1" t="s">
        <v>7582</v>
      </c>
      <c r="D1427" s="1" t="s">
        <v>3713</v>
      </c>
      <c r="E1427" s="1" t="s">
        <v>3740</v>
      </c>
      <c r="F1427" s="1" t="s">
        <v>6425</v>
      </c>
      <c r="G1427" s="1" t="s">
        <v>6420</v>
      </c>
    </row>
    <row r="1428" spans="1:7">
      <c r="A1428" s="1">
        <v>2879</v>
      </c>
      <c r="B1428" s="1" t="s">
        <v>7583</v>
      </c>
      <c r="D1428" s="1" t="s">
        <v>3713</v>
      </c>
      <c r="E1428" s="1" t="s">
        <v>3742</v>
      </c>
      <c r="F1428" s="1" t="s">
        <v>6427</v>
      </c>
      <c r="G1428" s="1" t="s">
        <v>6423</v>
      </c>
    </row>
    <row r="1429" spans="1:7">
      <c r="A1429" s="1">
        <v>2880</v>
      </c>
      <c r="B1429" s="1" t="s">
        <v>7584</v>
      </c>
      <c r="D1429" s="1" t="s">
        <v>3713</v>
      </c>
      <c r="E1429" s="1" t="s">
        <v>3734</v>
      </c>
      <c r="F1429" s="1" t="s">
        <v>6429</v>
      </c>
      <c r="G1429" s="1" t="s">
        <v>6430</v>
      </c>
    </row>
    <row r="1430" spans="1:7">
      <c r="A1430" s="1">
        <v>2881</v>
      </c>
      <c r="B1430" s="1" t="s">
        <v>7585</v>
      </c>
      <c r="D1430" s="1" t="s">
        <v>3713</v>
      </c>
      <c r="E1430" s="1" t="s">
        <v>3732</v>
      </c>
      <c r="F1430" s="1" t="s">
        <v>6432</v>
      </c>
      <c r="G1430" s="1" t="s">
        <v>6433</v>
      </c>
    </row>
    <row r="1431" spans="1:7">
      <c r="A1431" s="1">
        <v>2884</v>
      </c>
      <c r="B1431" s="1" t="s">
        <v>7586</v>
      </c>
      <c r="D1431" s="1" t="s">
        <v>3713</v>
      </c>
      <c r="E1431" s="1" t="s">
        <v>7587</v>
      </c>
      <c r="F1431" s="1" t="s">
        <v>6436</v>
      </c>
      <c r="G1431" s="1" t="s">
        <v>6437</v>
      </c>
    </row>
    <row r="1432" spans="1:7">
      <c r="A1432" s="1">
        <v>2885</v>
      </c>
      <c r="B1432" s="1" t="s">
        <v>7588</v>
      </c>
      <c r="D1432" s="1" t="s">
        <v>3713</v>
      </c>
      <c r="E1432" s="1" t="s">
        <v>7589</v>
      </c>
      <c r="F1432" s="1" t="s">
        <v>6440</v>
      </c>
      <c r="G1432" s="1" t="s">
        <v>6441</v>
      </c>
    </row>
    <row r="1433" spans="1:7">
      <c r="A1433" s="1">
        <v>2886</v>
      </c>
      <c r="B1433" s="1" t="s">
        <v>7590</v>
      </c>
      <c r="D1433" s="1" t="s">
        <v>3713</v>
      </c>
      <c r="E1433" s="1" t="s">
        <v>7591</v>
      </c>
      <c r="F1433" s="1" t="s">
        <v>6444</v>
      </c>
      <c r="G1433" s="1" t="s">
        <v>6445</v>
      </c>
    </row>
    <row r="1434" spans="1:7">
      <c r="A1434" s="1">
        <v>2887</v>
      </c>
      <c r="B1434" s="1" t="s">
        <v>7592</v>
      </c>
      <c r="D1434" s="1" t="s">
        <v>3713</v>
      </c>
      <c r="E1434" s="1" t="s">
        <v>7593</v>
      </c>
      <c r="F1434" s="1" t="s">
        <v>6448</v>
      </c>
      <c r="G1434" s="1" t="s">
        <v>6449</v>
      </c>
    </row>
    <row r="1435" spans="1:7">
      <c r="A1435" s="1">
        <v>2888</v>
      </c>
      <c r="B1435" s="1" t="s">
        <v>7594</v>
      </c>
      <c r="D1435" s="1" t="s">
        <v>3713</v>
      </c>
      <c r="E1435" s="1" t="s">
        <v>7595</v>
      </c>
      <c r="F1435" s="1" t="s">
        <v>6452</v>
      </c>
      <c r="G1435" s="1" t="s">
        <v>6453</v>
      </c>
    </row>
    <row r="1436" spans="1:7">
      <c r="A1436" s="1">
        <v>2889</v>
      </c>
      <c r="B1436" s="1" t="s">
        <v>7596</v>
      </c>
      <c r="D1436" s="1" t="s">
        <v>3713</v>
      </c>
      <c r="E1436" s="1" t="s">
        <v>7597</v>
      </c>
      <c r="F1436" s="1" t="s">
        <v>6456</v>
      </c>
      <c r="G1436" s="1" t="s">
        <v>6457</v>
      </c>
    </row>
    <row r="1437" spans="1:7">
      <c r="A1437" s="1">
        <v>2891</v>
      </c>
      <c r="B1437" s="1" t="s">
        <v>7598</v>
      </c>
      <c r="D1437" s="1" t="s">
        <v>3713</v>
      </c>
      <c r="E1437" s="1" t="s">
        <v>3714</v>
      </c>
      <c r="F1437" s="1" t="s">
        <v>6459</v>
      </c>
      <c r="G1437" s="1" t="s">
        <v>6460</v>
      </c>
    </row>
    <row r="1438" spans="1:7">
      <c r="A1438" s="1">
        <v>2892</v>
      </c>
      <c r="B1438" s="1" t="s">
        <v>7599</v>
      </c>
      <c r="D1438" s="1" t="s">
        <v>3713</v>
      </c>
      <c r="E1438" s="1" t="s">
        <v>3728</v>
      </c>
      <c r="F1438" s="1" t="s">
        <v>6462</v>
      </c>
      <c r="G1438" s="1" t="s">
        <v>6463</v>
      </c>
    </row>
    <row r="1439" spans="1:7">
      <c r="A1439" s="1">
        <v>2893</v>
      </c>
      <c r="B1439" s="1" t="s">
        <v>7600</v>
      </c>
      <c r="D1439" s="1" t="s">
        <v>3713</v>
      </c>
      <c r="E1439" s="1" t="s">
        <v>3730</v>
      </c>
      <c r="F1439" s="1" t="s">
        <v>6465</v>
      </c>
      <c r="G1439" s="1" t="s">
        <v>6466</v>
      </c>
    </row>
    <row r="1440" spans="1:7">
      <c r="A1440" s="1">
        <v>2894</v>
      </c>
      <c r="B1440" s="1" t="s">
        <v>7601</v>
      </c>
      <c r="D1440" s="1" t="s">
        <v>3744</v>
      </c>
      <c r="E1440" s="1" t="s">
        <v>3749</v>
      </c>
      <c r="F1440" s="1" t="s">
        <v>7602</v>
      </c>
      <c r="G1440" s="1" t="s">
        <v>7603</v>
      </c>
    </row>
    <row r="1441" spans="1:7">
      <c r="A1441" s="1">
        <v>2895</v>
      </c>
      <c r="B1441" s="1" t="s">
        <v>7604</v>
      </c>
      <c r="D1441" s="1" t="s">
        <v>3744</v>
      </c>
      <c r="E1441" s="1" t="s">
        <v>3745</v>
      </c>
      <c r="F1441" s="1" t="s">
        <v>7605</v>
      </c>
      <c r="G1441" s="1" t="s">
        <v>7606</v>
      </c>
    </row>
    <row r="1442" spans="1:7">
      <c r="A1442" s="1">
        <v>2897</v>
      </c>
      <c r="B1442" s="1" t="s">
        <v>7607</v>
      </c>
      <c r="D1442" s="1" t="s">
        <v>3744</v>
      </c>
      <c r="E1442" s="1" t="s">
        <v>3753</v>
      </c>
      <c r="F1442" s="1" t="s">
        <v>7608</v>
      </c>
      <c r="G1442" s="1" t="s">
        <v>7609</v>
      </c>
    </row>
    <row r="1443" spans="1:7">
      <c r="A1443" s="1">
        <v>2898</v>
      </c>
      <c r="B1443" s="1" t="s">
        <v>7610</v>
      </c>
      <c r="D1443" s="1" t="s">
        <v>3744</v>
      </c>
      <c r="E1443" s="1" t="s">
        <v>3757</v>
      </c>
      <c r="F1443" s="1" t="s">
        <v>7611</v>
      </c>
      <c r="G1443" s="1" t="s">
        <v>7612</v>
      </c>
    </row>
    <row r="1444" spans="1:7">
      <c r="A1444" s="1">
        <v>2899</v>
      </c>
      <c r="B1444" s="1" t="s">
        <v>7613</v>
      </c>
      <c r="D1444" s="1" t="s">
        <v>3761</v>
      </c>
      <c r="E1444" s="1" t="s">
        <v>3762</v>
      </c>
      <c r="F1444" s="1" t="s">
        <v>7614</v>
      </c>
      <c r="G1444" s="1" t="s">
        <v>7615</v>
      </c>
    </row>
    <row r="1445" spans="1:7">
      <c r="A1445" s="1">
        <v>2900</v>
      </c>
      <c r="B1445" s="1" t="s">
        <v>7616</v>
      </c>
      <c r="D1445" s="1" t="s">
        <v>3761</v>
      </c>
      <c r="E1445" s="1" t="s">
        <v>3766</v>
      </c>
      <c r="F1445" s="1" t="s">
        <v>7617</v>
      </c>
      <c r="G1445" s="1" t="s">
        <v>7618</v>
      </c>
    </row>
    <row r="1446" spans="1:7">
      <c r="A1446" s="1">
        <v>2901</v>
      </c>
      <c r="B1446" s="1" t="s">
        <v>7619</v>
      </c>
      <c r="D1446" s="1" t="s">
        <v>3761</v>
      </c>
      <c r="E1446" s="1" t="s">
        <v>3770</v>
      </c>
      <c r="F1446" s="1" t="s">
        <v>7620</v>
      </c>
      <c r="G1446" s="1" t="s">
        <v>7621</v>
      </c>
    </row>
    <row r="1447" spans="1:7">
      <c r="A1447" s="1">
        <v>2902</v>
      </c>
      <c r="B1447" s="1" t="s">
        <v>7622</v>
      </c>
      <c r="D1447" s="1" t="s">
        <v>3761</v>
      </c>
      <c r="E1447" s="1" t="s">
        <v>3774</v>
      </c>
      <c r="F1447" s="1" t="s">
        <v>7623</v>
      </c>
      <c r="G1447" s="1" t="s">
        <v>7624</v>
      </c>
    </row>
    <row r="1448" spans="1:7">
      <c r="A1448" s="1">
        <v>2903</v>
      </c>
      <c r="B1448" s="1" t="s">
        <v>7625</v>
      </c>
      <c r="D1448" s="1" t="s">
        <v>3778</v>
      </c>
      <c r="E1448" s="1" t="s">
        <v>3779</v>
      </c>
      <c r="F1448" s="1" t="s">
        <v>7626</v>
      </c>
      <c r="G1448" s="1" t="s">
        <v>7627</v>
      </c>
    </row>
    <row r="1449" spans="1:7">
      <c r="A1449" s="1">
        <v>2904</v>
      </c>
      <c r="B1449" s="1" t="s">
        <v>7628</v>
      </c>
      <c r="D1449" s="1" t="s">
        <v>3778</v>
      </c>
      <c r="E1449" s="1" t="s">
        <v>3781</v>
      </c>
      <c r="F1449" s="1" t="s">
        <v>7629</v>
      </c>
      <c r="G1449" s="1" t="s">
        <v>7630</v>
      </c>
    </row>
    <row r="1450" spans="1:7">
      <c r="A1450" s="1">
        <v>2905</v>
      </c>
      <c r="B1450" s="1" t="s">
        <v>7631</v>
      </c>
      <c r="D1450" s="1" t="s">
        <v>3778</v>
      </c>
      <c r="E1450" s="1" t="s">
        <v>3783</v>
      </c>
      <c r="F1450" s="1" t="s">
        <v>7632</v>
      </c>
      <c r="G1450" s="1" t="s">
        <v>7633</v>
      </c>
    </row>
    <row r="1451" spans="1:7">
      <c r="A1451" s="1">
        <v>2906</v>
      </c>
      <c r="B1451" s="1" t="s">
        <v>7634</v>
      </c>
      <c r="D1451" s="1" t="s">
        <v>3778</v>
      </c>
      <c r="E1451" s="1" t="s">
        <v>3785</v>
      </c>
      <c r="F1451" s="1" t="s">
        <v>7635</v>
      </c>
      <c r="G1451" s="1" t="s">
        <v>7636</v>
      </c>
    </row>
    <row r="1452" spans="1:7">
      <c r="A1452" s="1">
        <v>2907</v>
      </c>
      <c r="B1452" s="1" t="s">
        <v>7637</v>
      </c>
      <c r="D1452" s="1" t="s">
        <v>3787</v>
      </c>
      <c r="E1452" s="1" t="s">
        <v>3788</v>
      </c>
      <c r="F1452" s="1" t="s">
        <v>7638</v>
      </c>
      <c r="G1452" s="1" t="s">
        <v>7639</v>
      </c>
    </row>
    <row r="1453" spans="1:7">
      <c r="A1453" s="1">
        <v>2908</v>
      </c>
      <c r="B1453" s="1" t="s">
        <v>7640</v>
      </c>
      <c r="D1453" s="1" t="s">
        <v>3787</v>
      </c>
      <c r="E1453" s="1" t="s">
        <v>3790</v>
      </c>
      <c r="F1453" s="1" t="s">
        <v>7641</v>
      </c>
      <c r="G1453" s="1" t="s">
        <v>7642</v>
      </c>
    </row>
    <row r="1454" spans="1:7">
      <c r="A1454" s="1">
        <v>2909</v>
      </c>
      <c r="B1454" s="1" t="s">
        <v>7643</v>
      </c>
      <c r="D1454" s="1" t="s">
        <v>3787</v>
      </c>
      <c r="E1454" s="1" t="s">
        <v>3792</v>
      </c>
      <c r="F1454" s="1" t="s">
        <v>7644</v>
      </c>
      <c r="G1454" s="1" t="s">
        <v>7645</v>
      </c>
    </row>
    <row r="1455" spans="1:7">
      <c r="A1455" s="1">
        <v>2910</v>
      </c>
      <c r="B1455" s="1" t="s">
        <v>7646</v>
      </c>
      <c r="D1455" s="1" t="s">
        <v>3787</v>
      </c>
      <c r="E1455" s="1" t="s">
        <v>3794</v>
      </c>
      <c r="F1455" s="1" t="s">
        <v>7647</v>
      </c>
      <c r="G1455" s="1" t="s">
        <v>7648</v>
      </c>
    </row>
    <row r="1456" spans="1:7">
      <c r="A1456" s="1">
        <v>2911</v>
      </c>
      <c r="B1456" s="1" t="s">
        <v>7649</v>
      </c>
      <c r="D1456" s="1" t="s">
        <v>3796</v>
      </c>
      <c r="E1456" s="1" t="s">
        <v>3797</v>
      </c>
      <c r="F1456" s="1" t="s">
        <v>7650</v>
      </c>
      <c r="G1456" s="1" t="s">
        <v>7651</v>
      </c>
    </row>
    <row r="1457" spans="1:7">
      <c r="A1457" s="1">
        <v>2912</v>
      </c>
      <c r="B1457" s="1" t="s">
        <v>7652</v>
      </c>
      <c r="D1457" s="1" t="s">
        <v>3796</v>
      </c>
      <c r="E1457" s="1" t="s">
        <v>3799</v>
      </c>
      <c r="F1457" s="1" t="s">
        <v>7653</v>
      </c>
      <c r="G1457" s="1" t="s">
        <v>7654</v>
      </c>
    </row>
    <row r="1458" spans="1:7">
      <c r="A1458" s="1">
        <v>2913</v>
      </c>
      <c r="B1458" s="1" t="s">
        <v>7655</v>
      </c>
      <c r="D1458" s="1" t="s">
        <v>3796</v>
      </c>
      <c r="E1458" s="1" t="s">
        <v>3801</v>
      </c>
      <c r="F1458" s="1" t="s">
        <v>7656</v>
      </c>
      <c r="G1458" s="1" t="s">
        <v>7657</v>
      </c>
    </row>
    <row r="1459" spans="1:7">
      <c r="A1459" s="1">
        <v>2914</v>
      </c>
      <c r="B1459" s="1" t="s">
        <v>7658</v>
      </c>
      <c r="D1459" s="1" t="s">
        <v>3796</v>
      </c>
      <c r="E1459" s="1" t="s">
        <v>3803</v>
      </c>
      <c r="F1459" s="1" t="s">
        <v>7659</v>
      </c>
      <c r="G1459" s="1" t="s">
        <v>7660</v>
      </c>
    </row>
    <row r="1460" spans="1:7">
      <c r="A1460" s="1">
        <v>2915</v>
      </c>
      <c r="B1460" s="1" t="s">
        <v>7661</v>
      </c>
      <c r="D1460" s="1" t="s">
        <v>3805</v>
      </c>
      <c r="E1460" s="1" t="s">
        <v>3806</v>
      </c>
      <c r="F1460" s="1" t="s">
        <v>7662</v>
      </c>
      <c r="G1460" s="1" t="s">
        <v>7663</v>
      </c>
    </row>
    <row r="1461" spans="1:7">
      <c r="A1461" s="1">
        <v>2916</v>
      </c>
      <c r="B1461" s="1" t="s">
        <v>7664</v>
      </c>
      <c r="D1461" s="1" t="s">
        <v>3805</v>
      </c>
      <c r="E1461" s="1" t="s">
        <v>3808</v>
      </c>
      <c r="F1461" s="1" t="s">
        <v>7665</v>
      </c>
      <c r="G1461" s="1" t="s">
        <v>7666</v>
      </c>
    </row>
    <row r="1462" spans="1:7">
      <c r="A1462" s="1">
        <v>2917</v>
      </c>
      <c r="B1462" s="1" t="s">
        <v>7667</v>
      </c>
      <c r="D1462" s="1" t="s">
        <v>3805</v>
      </c>
      <c r="E1462" s="1" t="s">
        <v>3810</v>
      </c>
      <c r="F1462" s="1" t="s">
        <v>7668</v>
      </c>
      <c r="G1462" s="1" t="s">
        <v>7669</v>
      </c>
    </row>
    <row r="1463" spans="1:7">
      <c r="A1463" s="1">
        <v>2918</v>
      </c>
      <c r="B1463" s="1" t="s">
        <v>7670</v>
      </c>
      <c r="D1463" s="1" t="s">
        <v>3805</v>
      </c>
      <c r="E1463" s="1" t="s">
        <v>3812</v>
      </c>
      <c r="F1463" s="1" t="s">
        <v>7671</v>
      </c>
      <c r="G1463" s="1" t="s">
        <v>7672</v>
      </c>
    </row>
    <row r="1464" spans="1:7">
      <c r="A1464" s="1">
        <v>2919</v>
      </c>
      <c r="B1464" s="1" t="s">
        <v>7673</v>
      </c>
      <c r="D1464" s="1" t="s">
        <v>3814</v>
      </c>
      <c r="E1464" s="1" t="s">
        <v>3815</v>
      </c>
      <c r="F1464" s="1" t="s">
        <v>7674</v>
      </c>
      <c r="G1464" s="1" t="s">
        <v>7675</v>
      </c>
    </row>
    <row r="1465" spans="1:7">
      <c r="A1465" s="1">
        <v>2920</v>
      </c>
      <c r="B1465" s="1" t="s">
        <v>7676</v>
      </c>
      <c r="D1465" s="1" t="s">
        <v>3814</v>
      </c>
      <c r="E1465" s="1" t="s">
        <v>3817</v>
      </c>
      <c r="F1465" s="1" t="s">
        <v>7677</v>
      </c>
      <c r="G1465" s="1" t="s">
        <v>7678</v>
      </c>
    </row>
    <row r="1466" spans="1:7">
      <c r="A1466" s="1">
        <v>2921</v>
      </c>
      <c r="B1466" s="1" t="s">
        <v>7679</v>
      </c>
      <c r="D1466" s="1" t="s">
        <v>3814</v>
      </c>
      <c r="E1466" s="1" t="s">
        <v>3819</v>
      </c>
      <c r="F1466" s="1" t="s">
        <v>7680</v>
      </c>
      <c r="G1466" s="1" t="s">
        <v>7681</v>
      </c>
    </row>
    <row r="1467" spans="1:7">
      <c r="A1467" s="1">
        <v>2922</v>
      </c>
      <c r="B1467" s="1" t="s">
        <v>7682</v>
      </c>
      <c r="D1467" s="1" t="s">
        <v>3814</v>
      </c>
      <c r="E1467" s="1" t="s">
        <v>3821</v>
      </c>
      <c r="F1467" s="1" t="s">
        <v>7683</v>
      </c>
      <c r="G1467" s="1" t="s">
        <v>7684</v>
      </c>
    </row>
    <row r="1468" spans="1:7">
      <c r="A1468" s="1">
        <v>2923</v>
      </c>
      <c r="B1468" s="1" t="s">
        <v>7685</v>
      </c>
      <c r="D1468" s="1" t="s">
        <v>3823</v>
      </c>
      <c r="E1468" s="1" t="s">
        <v>3824</v>
      </c>
      <c r="F1468" s="1" t="s">
        <v>7686</v>
      </c>
      <c r="G1468" s="1" t="s">
        <v>7687</v>
      </c>
    </row>
    <row r="1469" spans="1:7">
      <c r="A1469" s="1">
        <v>2924</v>
      </c>
      <c r="B1469" s="1" t="s">
        <v>7688</v>
      </c>
      <c r="D1469" s="1" t="s">
        <v>3823</v>
      </c>
      <c r="E1469" s="1" t="s">
        <v>3826</v>
      </c>
      <c r="F1469" s="1" t="s">
        <v>7689</v>
      </c>
      <c r="G1469" s="1" t="s">
        <v>7690</v>
      </c>
    </row>
    <row r="1470" spans="1:7">
      <c r="A1470" s="1">
        <v>2925</v>
      </c>
      <c r="B1470" s="1" t="s">
        <v>7691</v>
      </c>
      <c r="D1470" s="1" t="s">
        <v>3823</v>
      </c>
      <c r="E1470" s="1" t="s">
        <v>3828</v>
      </c>
      <c r="F1470" s="1" t="s">
        <v>7692</v>
      </c>
      <c r="G1470" s="1" t="s">
        <v>7693</v>
      </c>
    </row>
    <row r="1471" spans="1:7">
      <c r="A1471" s="1">
        <v>2926</v>
      </c>
      <c r="B1471" s="1" t="s">
        <v>7694</v>
      </c>
      <c r="D1471" s="1" t="s">
        <v>3823</v>
      </c>
      <c r="E1471" s="1" t="s">
        <v>3830</v>
      </c>
      <c r="F1471" s="1" t="s">
        <v>7695</v>
      </c>
      <c r="G1471" s="1" t="s">
        <v>7696</v>
      </c>
    </row>
    <row r="1472" spans="1:7">
      <c r="A1472" s="1">
        <v>2931</v>
      </c>
      <c r="B1472" s="1" t="s">
        <v>7697</v>
      </c>
      <c r="D1472" s="1" t="s">
        <v>3832</v>
      </c>
      <c r="E1472" s="1" t="s">
        <v>3833</v>
      </c>
      <c r="F1472" s="1" t="s">
        <v>3834</v>
      </c>
      <c r="G1472" s="1" t="s">
        <v>3835</v>
      </c>
    </row>
    <row r="1473" spans="1:7">
      <c r="A1473" s="1">
        <v>2935</v>
      </c>
      <c r="B1473" s="1" t="s">
        <v>7698</v>
      </c>
      <c r="D1473" s="1" t="s">
        <v>3837</v>
      </c>
      <c r="E1473" s="1" t="s">
        <v>3838</v>
      </c>
      <c r="F1473" s="1" t="s">
        <v>3834</v>
      </c>
      <c r="G1473" s="1" t="s">
        <v>3835</v>
      </c>
    </row>
    <row r="1474" spans="1:7">
      <c r="A1474" s="1">
        <v>2939</v>
      </c>
      <c r="B1474" s="1" t="s">
        <v>7699</v>
      </c>
      <c r="D1474" s="1" t="s">
        <v>3840</v>
      </c>
      <c r="E1474" s="1" t="s">
        <v>3841</v>
      </c>
      <c r="F1474" s="1" t="s">
        <v>3834</v>
      </c>
      <c r="G1474" s="1" t="s">
        <v>3835</v>
      </c>
    </row>
    <row r="1475" spans="1:7">
      <c r="A1475" s="1">
        <v>2943</v>
      </c>
      <c r="B1475" s="1" t="s">
        <v>7700</v>
      </c>
      <c r="D1475" s="1" t="s">
        <v>7701</v>
      </c>
      <c r="E1475" s="1" t="s">
        <v>7702</v>
      </c>
      <c r="F1475" s="1" t="s">
        <v>3834</v>
      </c>
      <c r="G1475" s="1" t="s">
        <v>3835</v>
      </c>
    </row>
    <row r="1476" spans="1:7">
      <c r="A1476" s="1">
        <v>2947</v>
      </c>
      <c r="B1476" s="1" t="s">
        <v>7703</v>
      </c>
      <c r="D1476" s="1" t="s">
        <v>7704</v>
      </c>
      <c r="E1476" s="1" t="s">
        <v>7705</v>
      </c>
      <c r="F1476" s="1" t="s">
        <v>3834</v>
      </c>
      <c r="G1476" s="1" t="s">
        <v>3835</v>
      </c>
    </row>
    <row r="1477" spans="1:7">
      <c r="A1477" s="1">
        <v>2951</v>
      </c>
      <c r="B1477" s="1" t="s">
        <v>7706</v>
      </c>
      <c r="D1477" s="1" t="s">
        <v>3843</v>
      </c>
      <c r="E1477" s="1" t="s">
        <v>3844</v>
      </c>
      <c r="F1477" s="1" t="s">
        <v>7707</v>
      </c>
      <c r="G1477" s="1" t="s">
        <v>7708</v>
      </c>
    </row>
    <row r="1478" spans="1:7">
      <c r="A1478" s="1">
        <v>2952</v>
      </c>
      <c r="B1478" s="1" t="s">
        <v>7709</v>
      </c>
      <c r="D1478" s="1" t="s">
        <v>3843</v>
      </c>
      <c r="E1478" s="1" t="s">
        <v>3848</v>
      </c>
      <c r="F1478" s="1" t="s">
        <v>7710</v>
      </c>
      <c r="G1478" s="1" t="s">
        <v>7711</v>
      </c>
    </row>
    <row r="1479" spans="1:7">
      <c r="A1479" s="1">
        <v>2960</v>
      </c>
      <c r="B1479" s="1" t="s">
        <v>7712</v>
      </c>
      <c r="D1479" s="1" t="s">
        <v>3852</v>
      </c>
      <c r="E1479" s="1" t="s">
        <v>3853</v>
      </c>
      <c r="F1479" s="1" t="s">
        <v>7713</v>
      </c>
      <c r="G1479" s="1" t="s">
        <v>7714</v>
      </c>
    </row>
    <row r="1480" spans="1:7">
      <c r="A1480" s="1">
        <v>2963</v>
      </c>
      <c r="B1480" s="1" t="s">
        <v>7715</v>
      </c>
      <c r="D1480" s="1" t="s">
        <v>3852</v>
      </c>
      <c r="E1480" s="1" t="s">
        <v>3857</v>
      </c>
      <c r="F1480" s="1" t="s">
        <v>7716</v>
      </c>
      <c r="G1480" s="1" t="s">
        <v>7717</v>
      </c>
    </row>
    <row r="1481" spans="1:7">
      <c r="A1481" s="1">
        <v>2973</v>
      </c>
      <c r="B1481" s="1" t="s">
        <v>7718</v>
      </c>
      <c r="D1481" s="1" t="s">
        <v>3861</v>
      </c>
      <c r="E1481" s="1" t="s">
        <v>3866</v>
      </c>
      <c r="F1481" s="1" t="s">
        <v>7719</v>
      </c>
      <c r="G1481" s="1" t="s">
        <v>7720</v>
      </c>
    </row>
    <row r="1482" spans="1:7">
      <c r="A1482" s="1">
        <v>2974</v>
      </c>
      <c r="B1482" s="1" t="s">
        <v>7721</v>
      </c>
      <c r="D1482" s="1" t="s">
        <v>3861</v>
      </c>
      <c r="E1482" s="1" t="s">
        <v>3862</v>
      </c>
      <c r="F1482" s="1" t="s">
        <v>7722</v>
      </c>
      <c r="G1482" s="1" t="s">
        <v>7723</v>
      </c>
    </row>
    <row r="1483" spans="1:7">
      <c r="A1483" s="1">
        <v>2975</v>
      </c>
      <c r="B1483" s="1" t="s">
        <v>7724</v>
      </c>
      <c r="D1483" s="1" t="s">
        <v>3861</v>
      </c>
      <c r="E1483" s="1" t="s">
        <v>3874</v>
      </c>
      <c r="F1483" s="1" t="s">
        <v>7725</v>
      </c>
      <c r="G1483" s="1" t="s">
        <v>7726</v>
      </c>
    </row>
    <row r="1484" spans="1:7">
      <c r="A1484" s="1">
        <v>2976</v>
      </c>
      <c r="B1484" s="1" t="s">
        <v>7727</v>
      </c>
      <c r="D1484" s="1" t="s">
        <v>3861</v>
      </c>
      <c r="E1484" s="1" t="s">
        <v>3878</v>
      </c>
      <c r="F1484" s="1" t="s">
        <v>7728</v>
      </c>
      <c r="G1484" s="1" t="s">
        <v>7729</v>
      </c>
    </row>
    <row r="1485" spans="1:7">
      <c r="A1485" s="1">
        <v>2980</v>
      </c>
      <c r="B1485" s="1" t="s">
        <v>7730</v>
      </c>
      <c r="D1485" s="1" t="s">
        <v>3861</v>
      </c>
      <c r="E1485" s="1" t="s">
        <v>3870</v>
      </c>
      <c r="F1485" s="1" t="s">
        <v>7731</v>
      </c>
      <c r="G1485" s="1" t="s">
        <v>7732</v>
      </c>
    </row>
    <row r="1486" spans="1:7">
      <c r="A1486" s="1">
        <v>2983</v>
      </c>
      <c r="B1486" s="1" t="s">
        <v>7733</v>
      </c>
      <c r="D1486" s="1" t="s">
        <v>3882</v>
      </c>
      <c r="E1486" s="1" t="s">
        <v>3891</v>
      </c>
      <c r="F1486" s="1" t="s">
        <v>7734</v>
      </c>
      <c r="G1486" s="1" t="s">
        <v>7735</v>
      </c>
    </row>
    <row r="1487" spans="1:7">
      <c r="A1487" s="1">
        <v>2984</v>
      </c>
      <c r="B1487" s="1" t="s">
        <v>7736</v>
      </c>
      <c r="D1487" s="1" t="s">
        <v>3882</v>
      </c>
      <c r="E1487" s="1" t="s">
        <v>3889</v>
      </c>
      <c r="F1487" s="1" t="s">
        <v>7737</v>
      </c>
      <c r="G1487" s="1" t="s">
        <v>7738</v>
      </c>
    </row>
    <row r="1488" spans="1:7">
      <c r="A1488" s="1">
        <v>2989</v>
      </c>
      <c r="B1488" s="1" t="s">
        <v>7739</v>
      </c>
      <c r="D1488" s="1" t="s">
        <v>3882</v>
      </c>
      <c r="E1488" s="1" t="s">
        <v>3883</v>
      </c>
      <c r="F1488" s="1" t="s">
        <v>7740</v>
      </c>
      <c r="G1488" s="1" t="s">
        <v>7741</v>
      </c>
    </row>
    <row r="1489" spans="1:7">
      <c r="A1489" s="1">
        <v>2990</v>
      </c>
      <c r="B1489" s="1" t="s">
        <v>7742</v>
      </c>
      <c r="D1489" s="1" t="s">
        <v>3882</v>
      </c>
      <c r="E1489" s="1" t="s">
        <v>3885</v>
      </c>
      <c r="F1489" s="1" t="s">
        <v>7743</v>
      </c>
      <c r="G1489" s="1" t="s">
        <v>7744</v>
      </c>
    </row>
    <row r="1490" spans="1:7">
      <c r="A1490" s="1">
        <v>2991</v>
      </c>
      <c r="B1490" s="1" t="s">
        <v>7745</v>
      </c>
      <c r="D1490" s="1" t="s">
        <v>3882</v>
      </c>
      <c r="E1490" s="1" t="s">
        <v>3887</v>
      </c>
      <c r="F1490" s="1" t="s">
        <v>7746</v>
      </c>
      <c r="G1490" s="1" t="s">
        <v>7747</v>
      </c>
    </row>
    <row r="1491" spans="1:7">
      <c r="A1491" s="1">
        <v>2993</v>
      </c>
      <c r="B1491" s="1" t="s">
        <v>7748</v>
      </c>
      <c r="D1491" s="1" t="s">
        <v>3893</v>
      </c>
      <c r="E1491" s="1" t="s">
        <v>3896</v>
      </c>
      <c r="F1491" s="1" t="s">
        <v>7749</v>
      </c>
      <c r="G1491" s="1" t="s">
        <v>7750</v>
      </c>
    </row>
    <row r="1492" spans="1:7">
      <c r="A1492" s="1">
        <v>2994</v>
      </c>
      <c r="B1492" s="1" t="s">
        <v>7751</v>
      </c>
      <c r="D1492" s="1" t="s">
        <v>3893</v>
      </c>
      <c r="E1492" s="1" t="s">
        <v>3894</v>
      </c>
      <c r="F1492" s="1" t="s">
        <v>7752</v>
      </c>
      <c r="G1492" s="1" t="s">
        <v>7753</v>
      </c>
    </row>
    <row r="1493" spans="1:7">
      <c r="A1493" s="1">
        <v>2998</v>
      </c>
      <c r="B1493" s="1" t="s">
        <v>7754</v>
      </c>
      <c r="D1493" s="1" t="s">
        <v>3898</v>
      </c>
      <c r="E1493" s="1" t="s">
        <v>7755</v>
      </c>
      <c r="F1493" s="1" t="s">
        <v>3900</v>
      </c>
      <c r="G1493" s="1" t="s">
        <v>3901</v>
      </c>
    </row>
    <row r="1494" spans="1:7">
      <c r="A1494" s="1">
        <v>2999</v>
      </c>
      <c r="B1494" s="1" t="s">
        <v>7756</v>
      </c>
      <c r="D1494" s="1" t="s">
        <v>3898</v>
      </c>
      <c r="E1494" s="1" t="s">
        <v>7757</v>
      </c>
      <c r="F1494" s="1" t="s">
        <v>3904</v>
      </c>
      <c r="G1494" s="1" t="s">
        <v>3905</v>
      </c>
    </row>
    <row r="1495" spans="1:7">
      <c r="A1495" s="1">
        <v>3000</v>
      </c>
      <c r="B1495" s="1" t="s">
        <v>7758</v>
      </c>
      <c r="D1495" s="1" t="s">
        <v>7759</v>
      </c>
      <c r="E1495" s="1" t="s">
        <v>7760</v>
      </c>
      <c r="F1495" s="1" t="s">
        <v>7761</v>
      </c>
      <c r="G1495" s="1" t="s">
        <v>7762</v>
      </c>
    </row>
    <row r="1496" spans="1:7">
      <c r="A1496" s="1">
        <v>3002</v>
      </c>
      <c r="B1496" s="1" t="s">
        <v>7763</v>
      </c>
      <c r="D1496" s="1" t="s">
        <v>7759</v>
      </c>
      <c r="E1496" s="1" t="s">
        <v>7764</v>
      </c>
      <c r="F1496" s="1" t="s">
        <v>7765</v>
      </c>
      <c r="G1496" s="1" t="s">
        <v>7766</v>
      </c>
    </row>
    <row r="1497" spans="1:7">
      <c r="A1497" s="1">
        <v>3004</v>
      </c>
      <c r="B1497" s="1" t="s">
        <v>7767</v>
      </c>
      <c r="D1497" s="1" t="s">
        <v>7759</v>
      </c>
      <c r="E1497" s="1" t="s">
        <v>7768</v>
      </c>
      <c r="F1497" s="1" t="s">
        <v>7769</v>
      </c>
      <c r="G1497" s="1" t="s">
        <v>7770</v>
      </c>
    </row>
    <row r="1498" spans="1:7">
      <c r="A1498" s="1">
        <v>3005</v>
      </c>
      <c r="B1498" s="1" t="s">
        <v>7771</v>
      </c>
      <c r="D1498" s="1" t="s">
        <v>7772</v>
      </c>
      <c r="E1498" s="1" t="s">
        <v>7773</v>
      </c>
      <c r="F1498" s="1" t="s">
        <v>7761</v>
      </c>
      <c r="G1498" s="1" t="s">
        <v>7762</v>
      </c>
    </row>
    <row r="1499" spans="1:7">
      <c r="A1499" s="1">
        <v>3007</v>
      </c>
      <c r="B1499" s="1" t="s">
        <v>7774</v>
      </c>
      <c r="D1499" s="1" t="s">
        <v>7772</v>
      </c>
      <c r="E1499" s="1" t="s">
        <v>7775</v>
      </c>
      <c r="F1499" s="1" t="s">
        <v>7765</v>
      </c>
      <c r="G1499" s="1" t="s">
        <v>7766</v>
      </c>
    </row>
    <row r="1500" spans="1:7">
      <c r="A1500" s="1">
        <v>3008</v>
      </c>
      <c r="B1500" s="1" t="s">
        <v>7776</v>
      </c>
      <c r="D1500" s="1" t="s">
        <v>7772</v>
      </c>
      <c r="E1500" s="1" t="s">
        <v>7777</v>
      </c>
      <c r="F1500" s="1" t="s">
        <v>7769</v>
      </c>
      <c r="G1500" s="1" t="s">
        <v>7770</v>
      </c>
    </row>
    <row r="1501" spans="1:7">
      <c r="A1501" s="1">
        <v>3010</v>
      </c>
      <c r="B1501" s="1" t="s">
        <v>7778</v>
      </c>
      <c r="D1501" s="1" t="s">
        <v>3907</v>
      </c>
      <c r="E1501" s="1" t="s">
        <v>7779</v>
      </c>
      <c r="F1501" s="1" t="s">
        <v>3917</v>
      </c>
      <c r="G1501" s="1" t="s">
        <v>3918</v>
      </c>
    </row>
    <row r="1502" spans="1:7">
      <c r="A1502" s="1">
        <v>3011</v>
      </c>
      <c r="B1502" s="1" t="s">
        <v>7780</v>
      </c>
      <c r="D1502" s="1" t="s">
        <v>3907</v>
      </c>
      <c r="E1502" s="1" t="s">
        <v>7781</v>
      </c>
      <c r="F1502" s="1" t="s">
        <v>3909</v>
      </c>
      <c r="G1502" s="1" t="s">
        <v>3910</v>
      </c>
    </row>
    <row r="1503" spans="1:7">
      <c r="A1503" s="1">
        <v>3012</v>
      </c>
      <c r="B1503" s="1" t="s">
        <v>7782</v>
      </c>
      <c r="D1503" s="1" t="s">
        <v>3907</v>
      </c>
      <c r="E1503" s="1" t="s">
        <v>7783</v>
      </c>
      <c r="F1503" s="1" t="s">
        <v>3921</v>
      </c>
      <c r="G1503" s="1" t="s">
        <v>3922</v>
      </c>
    </row>
    <row r="1504" spans="1:7">
      <c r="A1504" s="1">
        <v>3013</v>
      </c>
      <c r="B1504" s="1" t="s">
        <v>7784</v>
      </c>
      <c r="D1504" s="1" t="s">
        <v>3907</v>
      </c>
      <c r="E1504" s="1" t="s">
        <v>7785</v>
      </c>
      <c r="F1504" s="1" t="s">
        <v>3913</v>
      </c>
      <c r="G1504" s="1" t="s">
        <v>3914</v>
      </c>
    </row>
    <row r="1505" spans="1:7">
      <c r="A1505" s="1">
        <v>3017</v>
      </c>
      <c r="B1505" s="1" t="s">
        <v>7786</v>
      </c>
      <c r="D1505" s="1" t="s">
        <v>7787</v>
      </c>
      <c r="E1505" s="1" t="s">
        <v>7788</v>
      </c>
      <c r="F1505" s="1" t="s">
        <v>7789</v>
      </c>
      <c r="G1505" s="1" t="s">
        <v>7790</v>
      </c>
    </row>
    <row r="1506" spans="1:7">
      <c r="A1506" s="1">
        <v>3018</v>
      </c>
      <c r="B1506" s="1" t="s">
        <v>7791</v>
      </c>
      <c r="D1506" s="1" t="s">
        <v>7787</v>
      </c>
      <c r="E1506" s="1" t="s">
        <v>7792</v>
      </c>
      <c r="F1506" s="1" t="s">
        <v>7793</v>
      </c>
      <c r="G1506" s="1" t="s">
        <v>7794</v>
      </c>
    </row>
    <row r="1507" spans="1:7">
      <c r="A1507" s="1">
        <v>3019</v>
      </c>
      <c r="B1507" s="1" t="s">
        <v>7795</v>
      </c>
      <c r="D1507" s="1" t="s">
        <v>7787</v>
      </c>
      <c r="E1507" s="1" t="s">
        <v>7796</v>
      </c>
      <c r="F1507" s="1" t="s">
        <v>7797</v>
      </c>
      <c r="G1507" s="1" t="s">
        <v>7798</v>
      </c>
    </row>
    <row r="1508" spans="1:7">
      <c r="A1508" s="1">
        <v>3020</v>
      </c>
      <c r="B1508" s="1" t="s">
        <v>7799</v>
      </c>
      <c r="D1508" s="1" t="s">
        <v>7787</v>
      </c>
      <c r="E1508" s="1" t="s">
        <v>7800</v>
      </c>
      <c r="F1508" s="1" t="s">
        <v>7801</v>
      </c>
      <c r="G1508" s="1" t="s">
        <v>7802</v>
      </c>
    </row>
    <row r="1509" spans="1:7">
      <c r="A1509" s="1">
        <v>3030</v>
      </c>
      <c r="B1509" s="1" t="s">
        <v>7803</v>
      </c>
      <c r="D1509" s="1" t="s">
        <v>3924</v>
      </c>
      <c r="E1509" s="1" t="s">
        <v>7804</v>
      </c>
      <c r="F1509" s="1" t="s">
        <v>7805</v>
      </c>
      <c r="G1509" s="1" t="s">
        <v>7806</v>
      </c>
    </row>
    <row r="1510" spans="1:7">
      <c r="A1510" s="1">
        <v>3031</v>
      </c>
      <c r="B1510" s="1" t="s">
        <v>7807</v>
      </c>
      <c r="D1510" s="1" t="s">
        <v>3924</v>
      </c>
      <c r="E1510" s="1" t="s">
        <v>7808</v>
      </c>
      <c r="F1510" s="1" t="s">
        <v>7809</v>
      </c>
      <c r="G1510" s="1" t="s">
        <v>7810</v>
      </c>
    </row>
    <row r="1511" spans="1:7">
      <c r="A1511" s="1">
        <v>3034</v>
      </c>
      <c r="B1511" s="1" t="s">
        <v>7811</v>
      </c>
      <c r="D1511" s="1" t="s">
        <v>3933</v>
      </c>
      <c r="E1511" s="1" t="s">
        <v>7812</v>
      </c>
      <c r="F1511" s="1" t="s">
        <v>7813</v>
      </c>
      <c r="G1511" s="1" t="s">
        <v>7814</v>
      </c>
    </row>
    <row r="1512" spans="1:7">
      <c r="A1512" s="1">
        <v>3035</v>
      </c>
      <c r="B1512" s="1" t="s">
        <v>7815</v>
      </c>
      <c r="D1512" s="1" t="s">
        <v>3933</v>
      </c>
      <c r="E1512" s="1" t="s">
        <v>7816</v>
      </c>
      <c r="F1512" s="1" t="s">
        <v>7817</v>
      </c>
      <c r="G1512" s="1" t="s">
        <v>7818</v>
      </c>
    </row>
    <row r="1513" spans="1:7">
      <c r="A1513" s="1">
        <v>3039</v>
      </c>
      <c r="B1513" s="1" t="s">
        <v>7819</v>
      </c>
      <c r="D1513" s="1" t="s">
        <v>3942</v>
      </c>
      <c r="E1513" s="1" t="s">
        <v>1728</v>
      </c>
      <c r="F1513" s="1" t="s">
        <v>7820</v>
      </c>
      <c r="G1513" s="1" t="s">
        <v>7821</v>
      </c>
    </row>
    <row r="1514" spans="1:7">
      <c r="A1514" s="1">
        <v>3040</v>
      </c>
      <c r="B1514" s="1" t="s">
        <v>7822</v>
      </c>
      <c r="D1514" s="1" t="s">
        <v>3942</v>
      </c>
      <c r="E1514" s="1" t="s">
        <v>1716</v>
      </c>
      <c r="F1514" s="1" t="s">
        <v>7823</v>
      </c>
      <c r="G1514" s="1" t="s">
        <v>7824</v>
      </c>
    </row>
    <row r="1515" spans="1:7">
      <c r="A1515" s="1">
        <v>3043</v>
      </c>
      <c r="B1515" s="1" t="s">
        <v>7825</v>
      </c>
      <c r="D1515" s="1" t="s">
        <v>3942</v>
      </c>
      <c r="E1515" s="1" t="s">
        <v>1732</v>
      </c>
      <c r="F1515" s="1" t="s">
        <v>7826</v>
      </c>
      <c r="G1515" s="1" t="s">
        <v>7827</v>
      </c>
    </row>
    <row r="1516" spans="1:7">
      <c r="A1516" s="1">
        <v>3044</v>
      </c>
      <c r="B1516" s="1" t="s">
        <v>7828</v>
      </c>
      <c r="D1516" s="1" t="s">
        <v>3942</v>
      </c>
      <c r="E1516" s="1" t="s">
        <v>1740</v>
      </c>
      <c r="F1516" s="1" t="s">
        <v>7829</v>
      </c>
      <c r="G1516" s="1" t="s">
        <v>7830</v>
      </c>
    </row>
    <row r="1517" spans="1:7">
      <c r="A1517" s="1">
        <v>3046</v>
      </c>
      <c r="B1517" s="1" t="s">
        <v>7831</v>
      </c>
      <c r="D1517" s="1" t="s">
        <v>3942</v>
      </c>
      <c r="E1517" s="1" t="s">
        <v>1744</v>
      </c>
      <c r="F1517" s="1" t="s">
        <v>7826</v>
      </c>
      <c r="G1517" s="1" t="s">
        <v>7827</v>
      </c>
    </row>
    <row r="1518" spans="1:7">
      <c r="A1518" s="1">
        <v>3048</v>
      </c>
      <c r="B1518" s="1" t="s">
        <v>7832</v>
      </c>
      <c r="D1518" s="1" t="s">
        <v>3942</v>
      </c>
      <c r="E1518" s="1" t="s">
        <v>1756</v>
      </c>
      <c r="F1518" s="1" t="s">
        <v>7833</v>
      </c>
      <c r="G1518" s="1" t="s">
        <v>7834</v>
      </c>
    </row>
    <row r="1519" spans="1:7">
      <c r="A1519" s="1">
        <v>3049</v>
      </c>
      <c r="B1519" s="1" t="s">
        <v>7835</v>
      </c>
      <c r="D1519" s="1" t="s">
        <v>3942</v>
      </c>
      <c r="E1519" s="1" t="s">
        <v>1760</v>
      </c>
      <c r="F1519" s="1" t="s">
        <v>7836</v>
      </c>
      <c r="G1519" s="1" t="s">
        <v>7837</v>
      </c>
    </row>
    <row r="1520" spans="1:7">
      <c r="A1520" s="1">
        <v>3050</v>
      </c>
      <c r="B1520" s="1" t="s">
        <v>7838</v>
      </c>
      <c r="D1520" s="1" t="s">
        <v>3942</v>
      </c>
      <c r="E1520" s="1" t="s">
        <v>1764</v>
      </c>
      <c r="F1520" s="1" t="s">
        <v>7839</v>
      </c>
      <c r="G1520" s="1" t="s">
        <v>7840</v>
      </c>
    </row>
    <row r="1521" spans="1:7">
      <c r="A1521" s="1">
        <v>3051</v>
      </c>
      <c r="B1521" s="1" t="s">
        <v>7841</v>
      </c>
      <c r="D1521" s="1" t="s">
        <v>3942</v>
      </c>
      <c r="E1521" s="1" t="s">
        <v>1946</v>
      </c>
      <c r="F1521" s="1" t="s">
        <v>7842</v>
      </c>
      <c r="G1521" s="1" t="s">
        <v>7843</v>
      </c>
    </row>
    <row r="1522" spans="1:7">
      <c r="A1522" s="1">
        <v>3052</v>
      </c>
      <c r="B1522" s="1" t="s">
        <v>7844</v>
      </c>
      <c r="D1522" s="1" t="s">
        <v>3942</v>
      </c>
      <c r="E1522" s="1" t="s">
        <v>7845</v>
      </c>
      <c r="F1522" s="1" t="s">
        <v>7846</v>
      </c>
      <c r="G1522" s="1" t="s">
        <v>7847</v>
      </c>
    </row>
    <row r="1523" spans="1:7">
      <c r="A1523" s="1">
        <v>3053</v>
      </c>
      <c r="B1523" s="1" t="s">
        <v>7848</v>
      </c>
      <c r="D1523" s="1" t="s">
        <v>3942</v>
      </c>
      <c r="E1523" s="1" t="s">
        <v>7849</v>
      </c>
      <c r="F1523" s="1" t="s">
        <v>7850</v>
      </c>
      <c r="G1523" s="1" t="s">
        <v>7851</v>
      </c>
    </row>
    <row r="1524" spans="1:7">
      <c r="A1524" s="1">
        <v>3054</v>
      </c>
      <c r="B1524" s="1" t="s">
        <v>7852</v>
      </c>
      <c r="D1524" s="1" t="s">
        <v>3942</v>
      </c>
      <c r="E1524" s="1" t="s">
        <v>7853</v>
      </c>
      <c r="F1524" s="1" t="s">
        <v>7854</v>
      </c>
      <c r="G1524" s="1" t="s">
        <v>7855</v>
      </c>
    </row>
    <row r="1525" spans="1:7">
      <c r="A1525" s="1">
        <v>3056</v>
      </c>
      <c r="B1525" s="1" t="s">
        <v>7856</v>
      </c>
      <c r="D1525" s="1" t="s">
        <v>3989</v>
      </c>
      <c r="E1525" s="1" t="s">
        <v>734</v>
      </c>
      <c r="F1525" s="1" t="s">
        <v>7820</v>
      </c>
      <c r="G1525" s="1" t="s">
        <v>7821</v>
      </c>
    </row>
    <row r="1526" spans="1:7">
      <c r="A1526" s="1">
        <v>3057</v>
      </c>
      <c r="B1526" s="1" t="s">
        <v>7857</v>
      </c>
      <c r="D1526" s="1" t="s">
        <v>3989</v>
      </c>
      <c r="E1526" s="1" t="s">
        <v>7858</v>
      </c>
      <c r="F1526" s="1" t="s">
        <v>7823</v>
      </c>
      <c r="G1526" s="1" t="s">
        <v>7824</v>
      </c>
    </row>
    <row r="1527" spans="1:7">
      <c r="A1527" s="1">
        <v>3060</v>
      </c>
      <c r="B1527" s="1" t="s">
        <v>7859</v>
      </c>
      <c r="D1527" s="1" t="s">
        <v>3989</v>
      </c>
      <c r="E1527" s="1" t="s">
        <v>7860</v>
      </c>
      <c r="F1527" s="1" t="s">
        <v>7826</v>
      </c>
      <c r="G1527" s="1" t="s">
        <v>7827</v>
      </c>
    </row>
    <row r="1528" spans="1:7">
      <c r="A1528" s="1">
        <v>3061</v>
      </c>
      <c r="B1528" s="1" t="s">
        <v>7861</v>
      </c>
      <c r="D1528" s="1" t="s">
        <v>3989</v>
      </c>
      <c r="E1528" s="1" t="s">
        <v>730</v>
      </c>
      <c r="F1528" s="1" t="s">
        <v>7829</v>
      </c>
      <c r="G1528" s="1" t="s">
        <v>7830</v>
      </c>
    </row>
    <row r="1529" spans="1:7">
      <c r="A1529" s="1">
        <v>3063</v>
      </c>
      <c r="B1529" s="1" t="s">
        <v>7862</v>
      </c>
      <c r="D1529" s="1" t="s">
        <v>3989</v>
      </c>
      <c r="E1529" s="1" t="s">
        <v>7863</v>
      </c>
      <c r="F1529" s="1" t="s">
        <v>7826</v>
      </c>
      <c r="G1529" s="1" t="s">
        <v>7827</v>
      </c>
    </row>
    <row r="1530" spans="1:7">
      <c r="A1530" s="1">
        <v>3065</v>
      </c>
      <c r="B1530" s="1" t="s">
        <v>7864</v>
      </c>
      <c r="D1530" s="1" t="s">
        <v>3989</v>
      </c>
      <c r="E1530" s="1" t="s">
        <v>378</v>
      </c>
      <c r="F1530" s="1" t="s">
        <v>7833</v>
      </c>
      <c r="G1530" s="1" t="s">
        <v>7834</v>
      </c>
    </row>
    <row r="1531" spans="1:7">
      <c r="A1531" s="1">
        <v>3066</v>
      </c>
      <c r="B1531" s="1" t="s">
        <v>7865</v>
      </c>
      <c r="D1531" s="1" t="s">
        <v>3989</v>
      </c>
      <c r="E1531" s="1" t="s">
        <v>382</v>
      </c>
      <c r="F1531" s="1" t="s">
        <v>7836</v>
      </c>
      <c r="G1531" s="1" t="s">
        <v>7837</v>
      </c>
    </row>
    <row r="1532" spans="1:7">
      <c r="A1532" s="1">
        <v>3067</v>
      </c>
      <c r="B1532" s="1" t="s">
        <v>7866</v>
      </c>
      <c r="D1532" s="1" t="s">
        <v>3989</v>
      </c>
      <c r="E1532" s="1" t="s">
        <v>7867</v>
      </c>
      <c r="F1532" s="1" t="s">
        <v>7839</v>
      </c>
      <c r="G1532" s="1" t="s">
        <v>7840</v>
      </c>
    </row>
    <row r="1533" spans="1:7">
      <c r="A1533" s="1">
        <v>3068</v>
      </c>
      <c r="B1533" s="1" t="s">
        <v>7868</v>
      </c>
      <c r="D1533" s="1" t="s">
        <v>3989</v>
      </c>
      <c r="E1533" s="1" t="s">
        <v>7869</v>
      </c>
      <c r="F1533" s="1" t="s">
        <v>7870</v>
      </c>
      <c r="G1533" s="1" t="s">
        <v>7871</v>
      </c>
    </row>
    <row r="1534" spans="1:7">
      <c r="A1534" s="1">
        <v>3069</v>
      </c>
      <c r="B1534" s="1" t="s">
        <v>7872</v>
      </c>
      <c r="D1534" s="1" t="s">
        <v>3989</v>
      </c>
      <c r="E1534" s="1" t="s">
        <v>7873</v>
      </c>
      <c r="F1534" s="1" t="s">
        <v>7874</v>
      </c>
      <c r="G1534" s="1" t="s">
        <v>7875</v>
      </c>
    </row>
    <row r="1535" spans="1:7">
      <c r="A1535" s="1">
        <v>3070</v>
      </c>
      <c r="B1535" s="1" t="s">
        <v>7876</v>
      </c>
      <c r="D1535" s="1" t="s">
        <v>3989</v>
      </c>
      <c r="E1535" s="1" t="s">
        <v>1712</v>
      </c>
      <c r="F1535" s="1" t="s">
        <v>7850</v>
      </c>
      <c r="G1535" s="1" t="s">
        <v>7851</v>
      </c>
    </row>
    <row r="1536" spans="1:7">
      <c r="A1536" s="1">
        <v>3071</v>
      </c>
      <c r="B1536" s="1" t="s">
        <v>7877</v>
      </c>
      <c r="D1536" s="1" t="s">
        <v>3989</v>
      </c>
      <c r="E1536" s="1" t="s">
        <v>1708</v>
      </c>
      <c r="F1536" s="1" t="s">
        <v>7854</v>
      </c>
      <c r="G1536" s="1" t="s">
        <v>7855</v>
      </c>
    </row>
    <row r="1537" spans="1:7">
      <c r="A1537" s="1">
        <v>3072</v>
      </c>
      <c r="B1537" s="1" t="s">
        <v>7878</v>
      </c>
      <c r="D1537" s="1" t="s">
        <v>4028</v>
      </c>
      <c r="E1537" s="1" t="s">
        <v>4037</v>
      </c>
      <c r="F1537" s="1" t="s">
        <v>4038</v>
      </c>
      <c r="G1537" s="1" t="s">
        <v>4039</v>
      </c>
    </row>
    <row r="1538" spans="1:7">
      <c r="A1538" s="1">
        <v>3073</v>
      </c>
      <c r="B1538" s="1" t="s">
        <v>7879</v>
      </c>
      <c r="D1538" s="1" t="s">
        <v>4028</v>
      </c>
      <c r="E1538" s="1" t="s">
        <v>4029</v>
      </c>
      <c r="F1538" s="1" t="s">
        <v>4030</v>
      </c>
      <c r="G1538" s="1" t="s">
        <v>4031</v>
      </c>
    </row>
    <row r="1539" spans="1:7">
      <c r="A1539" s="1">
        <v>3074</v>
      </c>
      <c r="B1539" s="1" t="s">
        <v>7880</v>
      </c>
      <c r="D1539" s="1" t="s">
        <v>4028</v>
      </c>
      <c r="E1539" s="1" t="s">
        <v>4041</v>
      </c>
      <c r="F1539" s="1" t="s">
        <v>4042</v>
      </c>
      <c r="G1539" s="1" t="s">
        <v>4043</v>
      </c>
    </row>
    <row r="1540" spans="1:7">
      <c r="A1540" s="1">
        <v>3075</v>
      </c>
      <c r="B1540" s="1" t="s">
        <v>7881</v>
      </c>
      <c r="D1540" s="1" t="s">
        <v>4028</v>
      </c>
      <c r="E1540" s="1" t="s">
        <v>4033</v>
      </c>
      <c r="F1540" s="1" t="s">
        <v>4034</v>
      </c>
      <c r="G1540" s="1" t="s">
        <v>4035</v>
      </c>
    </row>
    <row r="1541" spans="1:7">
      <c r="A1541" s="1">
        <v>3079</v>
      </c>
      <c r="B1541" s="1" t="s">
        <v>7882</v>
      </c>
      <c r="D1541" s="1" t="s">
        <v>7883</v>
      </c>
      <c r="E1541" s="1" t="s">
        <v>7884</v>
      </c>
      <c r="F1541" s="1" t="s">
        <v>7885</v>
      </c>
      <c r="G1541" s="1" t="s">
        <v>7886</v>
      </c>
    </row>
    <row r="1542" spans="1:7">
      <c r="A1542" s="1">
        <v>3082</v>
      </c>
      <c r="B1542" s="1" t="s">
        <v>7887</v>
      </c>
      <c r="D1542" s="1" t="s">
        <v>7888</v>
      </c>
      <c r="E1542" s="1" t="s">
        <v>7889</v>
      </c>
      <c r="F1542" s="1" t="s">
        <v>7885</v>
      </c>
      <c r="G1542" s="1" t="s">
        <v>7886</v>
      </c>
    </row>
    <row r="1543" spans="1:7">
      <c r="A1543" s="1">
        <v>3086</v>
      </c>
      <c r="B1543" s="1" t="s">
        <v>7890</v>
      </c>
      <c r="D1543" s="1" t="s">
        <v>7891</v>
      </c>
      <c r="E1543" s="1" t="s">
        <v>7892</v>
      </c>
      <c r="F1543" s="1" t="s">
        <v>7893</v>
      </c>
      <c r="G1543" s="1" t="s">
        <v>7894</v>
      </c>
    </row>
    <row r="1544" spans="1:7">
      <c r="A1544" s="1">
        <v>3087</v>
      </c>
      <c r="B1544" s="1" t="s">
        <v>7895</v>
      </c>
      <c r="D1544" s="1" t="s">
        <v>7891</v>
      </c>
      <c r="E1544" s="1" t="s">
        <v>7896</v>
      </c>
      <c r="F1544" s="1" t="s">
        <v>7897</v>
      </c>
      <c r="G1544" s="1" t="s">
        <v>7898</v>
      </c>
    </row>
    <row r="1545" spans="1:7">
      <c r="A1545" s="1">
        <v>3092</v>
      </c>
      <c r="B1545" s="1" t="s">
        <v>7899</v>
      </c>
      <c r="D1545" s="1" t="s">
        <v>7891</v>
      </c>
      <c r="E1545" s="1" t="s">
        <v>7900</v>
      </c>
      <c r="F1545" s="1" t="s">
        <v>7901</v>
      </c>
      <c r="G1545" s="1" t="s">
        <v>7902</v>
      </c>
    </row>
    <row r="1546" spans="1:7">
      <c r="A1546" s="1">
        <v>3095</v>
      </c>
      <c r="B1546" s="1" t="s">
        <v>7903</v>
      </c>
      <c r="D1546" s="1" t="s">
        <v>7891</v>
      </c>
      <c r="E1546" s="1" t="s">
        <v>7904</v>
      </c>
      <c r="F1546" s="1" t="s">
        <v>7905</v>
      </c>
      <c r="G1546" s="1" t="s">
        <v>7906</v>
      </c>
    </row>
    <row r="1547" spans="1:7">
      <c r="A1547" s="1">
        <v>3096</v>
      </c>
      <c r="B1547" s="1" t="s">
        <v>7907</v>
      </c>
      <c r="D1547" s="1" t="s">
        <v>7891</v>
      </c>
      <c r="E1547" s="1" t="s">
        <v>7908</v>
      </c>
      <c r="F1547" s="1" t="s">
        <v>7909</v>
      </c>
      <c r="G1547" s="1" t="s">
        <v>7910</v>
      </c>
    </row>
    <row r="1548" spans="1:7">
      <c r="A1548" s="1">
        <v>3098</v>
      </c>
      <c r="B1548" s="1" t="s">
        <v>7911</v>
      </c>
      <c r="D1548" s="1" t="s">
        <v>7891</v>
      </c>
      <c r="E1548" s="1" t="s">
        <v>7912</v>
      </c>
      <c r="F1548" s="1" t="s">
        <v>7913</v>
      </c>
      <c r="G1548" s="1" t="s">
        <v>7914</v>
      </c>
    </row>
    <row r="1549" spans="1:7">
      <c r="A1549" s="1">
        <v>3100</v>
      </c>
      <c r="B1549" s="1" t="s">
        <v>7915</v>
      </c>
      <c r="D1549" s="1" t="s">
        <v>7891</v>
      </c>
      <c r="E1549" s="1" t="s">
        <v>7916</v>
      </c>
      <c r="F1549" s="1" t="s">
        <v>7917</v>
      </c>
      <c r="G1549" s="1" t="s">
        <v>7918</v>
      </c>
    </row>
    <row r="1550" spans="1:7">
      <c r="A1550" s="1">
        <v>3105</v>
      </c>
      <c r="B1550" s="1" t="s">
        <v>7919</v>
      </c>
      <c r="D1550" s="1" t="s">
        <v>4045</v>
      </c>
      <c r="E1550" s="1" t="s">
        <v>7920</v>
      </c>
      <c r="F1550" s="1" t="s">
        <v>7921</v>
      </c>
      <c r="G1550" s="1" t="s">
        <v>7922</v>
      </c>
    </row>
    <row r="1551" spans="1:7">
      <c r="A1551" s="1">
        <v>3106</v>
      </c>
      <c r="B1551" s="1" t="s">
        <v>7923</v>
      </c>
      <c r="D1551" s="1" t="s">
        <v>4045</v>
      </c>
      <c r="E1551" s="1" t="s">
        <v>7924</v>
      </c>
      <c r="F1551" s="1" t="s">
        <v>7925</v>
      </c>
      <c r="G1551" s="1" t="s">
        <v>7926</v>
      </c>
    </row>
    <row r="1552" spans="1:7">
      <c r="A1552" s="1">
        <v>3107</v>
      </c>
      <c r="B1552" s="1" t="s">
        <v>7927</v>
      </c>
      <c r="D1552" s="1" t="s">
        <v>4045</v>
      </c>
      <c r="E1552" s="1" t="s">
        <v>7928</v>
      </c>
      <c r="F1552" s="1" t="s">
        <v>7929</v>
      </c>
      <c r="G1552" s="1" t="s">
        <v>7930</v>
      </c>
    </row>
    <row r="1553" spans="1:7">
      <c r="A1553" s="1">
        <v>3108</v>
      </c>
      <c r="B1553" s="1" t="s">
        <v>7931</v>
      </c>
      <c r="D1553" s="1" t="s">
        <v>4058</v>
      </c>
      <c r="E1553" s="1" t="s">
        <v>4059</v>
      </c>
      <c r="F1553" s="1" t="s">
        <v>7921</v>
      </c>
      <c r="G1553" s="1" t="s">
        <v>7922</v>
      </c>
    </row>
    <row r="1554" spans="1:7">
      <c r="A1554" s="1">
        <v>3109</v>
      </c>
      <c r="B1554" s="1" t="s">
        <v>7932</v>
      </c>
      <c r="D1554" s="1" t="s">
        <v>4058</v>
      </c>
      <c r="E1554" s="1" t="s">
        <v>4061</v>
      </c>
      <c r="F1554" s="1" t="s">
        <v>7925</v>
      </c>
      <c r="G1554" s="1" t="s">
        <v>7926</v>
      </c>
    </row>
    <row r="1555" spans="1:7">
      <c r="A1555" s="1">
        <v>3110</v>
      </c>
      <c r="B1555" s="1" t="s">
        <v>7933</v>
      </c>
      <c r="D1555" s="1" t="s">
        <v>4058</v>
      </c>
      <c r="E1555" s="1" t="s">
        <v>4063</v>
      </c>
      <c r="F1555" s="1" t="s">
        <v>7934</v>
      </c>
      <c r="G1555" s="1" t="s">
        <v>7935</v>
      </c>
    </row>
    <row r="1556" spans="1:7">
      <c r="A1556" s="1">
        <v>3111</v>
      </c>
      <c r="B1556" s="1" t="s">
        <v>7936</v>
      </c>
      <c r="D1556" s="1" t="s">
        <v>4058</v>
      </c>
      <c r="E1556" s="1" t="s">
        <v>4067</v>
      </c>
      <c r="F1556" s="1" t="s">
        <v>7937</v>
      </c>
      <c r="G1556" s="1" t="s">
        <v>7938</v>
      </c>
    </row>
    <row r="1557" spans="1:7">
      <c r="A1557" s="1">
        <v>3112</v>
      </c>
      <c r="B1557" s="1" t="s">
        <v>7939</v>
      </c>
      <c r="D1557" s="1" t="s">
        <v>4058</v>
      </c>
      <c r="E1557" s="1" t="s">
        <v>4071</v>
      </c>
      <c r="F1557" s="1" t="s">
        <v>7929</v>
      </c>
      <c r="G1557" s="1" t="s">
        <v>7930</v>
      </c>
    </row>
    <row r="1558" spans="1:7">
      <c r="A1558" s="1">
        <v>3114</v>
      </c>
      <c r="B1558" s="1" t="s">
        <v>7940</v>
      </c>
      <c r="D1558" s="1" t="s">
        <v>4073</v>
      </c>
      <c r="E1558" s="1" t="s">
        <v>4074</v>
      </c>
      <c r="F1558" s="1" t="s">
        <v>7921</v>
      </c>
      <c r="G1558" s="1" t="s">
        <v>7922</v>
      </c>
    </row>
    <row r="1559" spans="1:7">
      <c r="A1559" s="1">
        <v>3115</v>
      </c>
      <c r="B1559" s="1" t="s">
        <v>7941</v>
      </c>
      <c r="D1559" s="1" t="s">
        <v>4073</v>
      </c>
      <c r="E1559" s="1" t="s">
        <v>4076</v>
      </c>
      <c r="F1559" s="1" t="s">
        <v>7925</v>
      </c>
      <c r="G1559" s="1" t="s">
        <v>7926</v>
      </c>
    </row>
    <row r="1560" spans="1:7">
      <c r="A1560" s="1">
        <v>3116</v>
      </c>
      <c r="B1560" s="1" t="s">
        <v>7942</v>
      </c>
      <c r="D1560" s="1" t="s">
        <v>4073</v>
      </c>
      <c r="E1560" s="1" t="s">
        <v>7943</v>
      </c>
      <c r="F1560" s="1" t="s">
        <v>7929</v>
      </c>
      <c r="G1560" s="1" t="s">
        <v>7930</v>
      </c>
    </row>
    <row r="1561" spans="1:7">
      <c r="A1561" s="1">
        <v>3118</v>
      </c>
      <c r="B1561" s="1" t="s">
        <v>7944</v>
      </c>
      <c r="D1561" s="1" t="s">
        <v>7945</v>
      </c>
      <c r="E1561" s="1" t="s">
        <v>7946</v>
      </c>
      <c r="F1561" s="1" t="s">
        <v>7921</v>
      </c>
      <c r="G1561" s="1" t="s">
        <v>7922</v>
      </c>
    </row>
    <row r="1562" spans="1:7">
      <c r="A1562" s="1">
        <v>3119</v>
      </c>
      <c r="B1562" s="1" t="s">
        <v>7947</v>
      </c>
      <c r="D1562" s="1" t="s">
        <v>7945</v>
      </c>
      <c r="E1562" s="1" t="s">
        <v>7948</v>
      </c>
      <c r="F1562" s="1" t="s">
        <v>7925</v>
      </c>
      <c r="G1562" s="1" t="s">
        <v>7926</v>
      </c>
    </row>
    <row r="1563" spans="1:7">
      <c r="A1563" s="1">
        <v>3120</v>
      </c>
      <c r="B1563" s="1" t="s">
        <v>7949</v>
      </c>
      <c r="D1563" s="1" t="s">
        <v>7945</v>
      </c>
      <c r="E1563" s="1" t="s">
        <v>7950</v>
      </c>
      <c r="F1563" s="1" t="s">
        <v>7929</v>
      </c>
      <c r="G1563" s="1" t="s">
        <v>7930</v>
      </c>
    </row>
    <row r="1564" spans="1:7">
      <c r="A1564" s="1">
        <v>3121</v>
      </c>
      <c r="B1564" s="1" t="s">
        <v>7951</v>
      </c>
      <c r="D1564" s="1" t="s">
        <v>7952</v>
      </c>
      <c r="E1564" s="1" t="s">
        <v>7953</v>
      </c>
      <c r="F1564" s="1" t="s">
        <v>7921</v>
      </c>
      <c r="G1564" s="1" t="s">
        <v>7922</v>
      </c>
    </row>
    <row r="1565" spans="1:7">
      <c r="A1565" s="1">
        <v>3122</v>
      </c>
      <c r="B1565" s="1" t="s">
        <v>7954</v>
      </c>
      <c r="D1565" s="1" t="s">
        <v>7952</v>
      </c>
      <c r="E1565" s="1" t="s">
        <v>7955</v>
      </c>
      <c r="F1565" s="1" t="s">
        <v>7925</v>
      </c>
      <c r="G1565" s="1" t="s">
        <v>7926</v>
      </c>
    </row>
    <row r="1566" spans="1:7">
      <c r="A1566" s="1">
        <v>3123</v>
      </c>
      <c r="B1566" s="1" t="s">
        <v>7956</v>
      </c>
      <c r="D1566" s="1" t="s">
        <v>7952</v>
      </c>
      <c r="E1566" s="1" t="s">
        <v>7957</v>
      </c>
      <c r="F1566" s="1" t="s">
        <v>7934</v>
      </c>
      <c r="G1566" s="1" t="s">
        <v>7935</v>
      </c>
    </row>
    <row r="1567" spans="1:7">
      <c r="A1567" s="1">
        <v>3124</v>
      </c>
      <c r="B1567" s="1" t="s">
        <v>7958</v>
      </c>
      <c r="D1567" s="1" t="s">
        <v>7952</v>
      </c>
      <c r="E1567" s="1" t="s">
        <v>7959</v>
      </c>
      <c r="F1567" s="1" t="s">
        <v>7937</v>
      </c>
      <c r="G1567" s="1" t="s">
        <v>7938</v>
      </c>
    </row>
    <row r="1568" spans="1:7">
      <c r="A1568" s="1">
        <v>3125</v>
      </c>
      <c r="B1568" s="1" t="s">
        <v>7960</v>
      </c>
      <c r="D1568" s="1" t="s">
        <v>7952</v>
      </c>
      <c r="E1568" s="1" t="s">
        <v>7961</v>
      </c>
      <c r="F1568" s="1" t="s">
        <v>7929</v>
      </c>
      <c r="G1568" s="1" t="s">
        <v>7930</v>
      </c>
    </row>
    <row r="1569" spans="1:7">
      <c r="A1569" s="1">
        <v>3127</v>
      </c>
      <c r="B1569" s="1" t="s">
        <v>7962</v>
      </c>
      <c r="D1569" s="1" t="s">
        <v>4080</v>
      </c>
      <c r="E1569" s="1" t="s">
        <v>7963</v>
      </c>
      <c r="F1569" s="1" t="s">
        <v>7964</v>
      </c>
      <c r="G1569" s="1" t="s">
        <v>7965</v>
      </c>
    </row>
    <row r="1570" spans="1:7">
      <c r="A1570" s="1">
        <v>3128</v>
      </c>
      <c r="B1570" s="1" t="s">
        <v>7966</v>
      </c>
      <c r="D1570" s="1" t="s">
        <v>4080</v>
      </c>
      <c r="E1570" s="1" t="s">
        <v>7967</v>
      </c>
      <c r="F1570" s="1" t="s">
        <v>7968</v>
      </c>
      <c r="G1570" s="1" t="s">
        <v>7969</v>
      </c>
    </row>
    <row r="1571" spans="1:7">
      <c r="A1571" s="1">
        <v>3129</v>
      </c>
      <c r="B1571" s="1" t="s">
        <v>7970</v>
      </c>
      <c r="D1571" s="1" t="s">
        <v>4080</v>
      </c>
      <c r="E1571" s="1" t="s">
        <v>7971</v>
      </c>
      <c r="F1571" s="1" t="s">
        <v>7972</v>
      </c>
      <c r="G1571" s="1" t="s">
        <v>7973</v>
      </c>
    </row>
    <row r="1572" spans="1:7">
      <c r="A1572" s="1">
        <v>3130</v>
      </c>
      <c r="B1572" s="1" t="s">
        <v>7974</v>
      </c>
      <c r="D1572" s="1" t="s">
        <v>4080</v>
      </c>
      <c r="E1572" s="1" t="s">
        <v>7975</v>
      </c>
      <c r="F1572" s="1" t="s">
        <v>7976</v>
      </c>
      <c r="G1572" s="1" t="s">
        <v>7977</v>
      </c>
    </row>
    <row r="1573" spans="1:7">
      <c r="A1573" s="1">
        <v>3132</v>
      </c>
      <c r="B1573" s="1" t="s">
        <v>7978</v>
      </c>
      <c r="D1573" s="1" t="s">
        <v>4080</v>
      </c>
      <c r="E1573" s="1" t="s">
        <v>7979</v>
      </c>
      <c r="F1573" s="1" t="s">
        <v>7980</v>
      </c>
      <c r="G1573" s="1" t="s">
        <v>7981</v>
      </c>
    </row>
    <row r="1574" spans="1:7">
      <c r="A1574" s="1">
        <v>3133</v>
      </c>
      <c r="B1574" s="1" t="s">
        <v>7982</v>
      </c>
      <c r="D1574" s="1" t="s">
        <v>4080</v>
      </c>
      <c r="E1574" s="1" t="s">
        <v>3929</v>
      </c>
      <c r="F1574" s="1" t="s">
        <v>7983</v>
      </c>
      <c r="G1574" s="1" t="s">
        <v>7984</v>
      </c>
    </row>
    <row r="1575" spans="1:7">
      <c r="A1575" s="1">
        <v>3135</v>
      </c>
      <c r="B1575" s="1" t="s">
        <v>7985</v>
      </c>
      <c r="D1575" s="1" t="s">
        <v>4080</v>
      </c>
      <c r="E1575" s="1" t="s">
        <v>7986</v>
      </c>
      <c r="F1575" s="1" t="s">
        <v>7987</v>
      </c>
      <c r="G1575" s="1" t="s">
        <v>7988</v>
      </c>
    </row>
    <row r="1576" spans="1:7">
      <c r="A1576" s="1">
        <v>3138</v>
      </c>
      <c r="B1576" s="1" t="s">
        <v>7989</v>
      </c>
      <c r="D1576" s="1" t="s">
        <v>4080</v>
      </c>
      <c r="E1576" s="1" t="s">
        <v>7990</v>
      </c>
      <c r="F1576" s="1" t="s">
        <v>7991</v>
      </c>
      <c r="G1576" s="1" t="s">
        <v>7992</v>
      </c>
    </row>
    <row r="1577" spans="1:7">
      <c r="A1577" s="1">
        <v>3139</v>
      </c>
      <c r="B1577" s="1" t="s">
        <v>7993</v>
      </c>
      <c r="D1577" s="1" t="s">
        <v>4080</v>
      </c>
      <c r="E1577" s="1" t="s">
        <v>7994</v>
      </c>
      <c r="F1577" s="1" t="s">
        <v>7995</v>
      </c>
      <c r="G1577" s="1" t="s">
        <v>7996</v>
      </c>
    </row>
    <row r="1578" spans="1:7">
      <c r="A1578" s="1">
        <v>3140</v>
      </c>
      <c r="B1578" s="1" t="s">
        <v>7997</v>
      </c>
      <c r="D1578" s="1" t="s">
        <v>4080</v>
      </c>
      <c r="E1578" s="1" t="s">
        <v>7998</v>
      </c>
      <c r="F1578" s="1" t="s">
        <v>7999</v>
      </c>
      <c r="G1578" s="1" t="s">
        <v>8000</v>
      </c>
    </row>
    <row r="1579" spans="1:7">
      <c r="A1579" s="1">
        <v>3141</v>
      </c>
      <c r="B1579" s="1" t="s">
        <v>8001</v>
      </c>
      <c r="D1579" s="1" t="s">
        <v>4080</v>
      </c>
      <c r="E1579" s="1" t="s">
        <v>1703</v>
      </c>
      <c r="F1579" s="1" t="s">
        <v>8002</v>
      </c>
      <c r="G1579" s="1" t="s">
        <v>8003</v>
      </c>
    </row>
    <row r="1580" spans="1:7">
      <c r="A1580" s="1">
        <v>3142</v>
      </c>
      <c r="B1580" s="1" t="s">
        <v>8004</v>
      </c>
      <c r="D1580" s="1" t="s">
        <v>4080</v>
      </c>
      <c r="E1580" s="1" t="s">
        <v>1139</v>
      </c>
      <c r="F1580" s="1" t="s">
        <v>8005</v>
      </c>
      <c r="G1580" s="1" t="s">
        <v>8006</v>
      </c>
    </row>
    <row r="1581" spans="1:7">
      <c r="A1581" s="1">
        <v>3143</v>
      </c>
      <c r="B1581" s="1" t="s">
        <v>8007</v>
      </c>
      <c r="D1581" s="1" t="s">
        <v>4080</v>
      </c>
      <c r="E1581" s="1" t="s">
        <v>8008</v>
      </c>
      <c r="F1581" s="1" t="s">
        <v>8009</v>
      </c>
      <c r="G1581" s="1" t="s">
        <v>8010</v>
      </c>
    </row>
    <row r="1582" spans="1:7">
      <c r="A1582" s="1">
        <v>3145</v>
      </c>
      <c r="B1582" s="1" t="s">
        <v>8011</v>
      </c>
      <c r="D1582" s="1" t="s">
        <v>8012</v>
      </c>
      <c r="E1582" s="1" t="s">
        <v>8013</v>
      </c>
      <c r="F1582" s="1" t="s">
        <v>8014</v>
      </c>
      <c r="G1582" s="1" t="s">
        <v>8015</v>
      </c>
    </row>
    <row r="1583" spans="1:7">
      <c r="A1583" s="1">
        <v>3148</v>
      </c>
      <c r="B1583" s="1" t="s">
        <v>8016</v>
      </c>
      <c r="D1583" s="1" t="s">
        <v>8012</v>
      </c>
      <c r="E1583" s="1" t="s">
        <v>8017</v>
      </c>
      <c r="F1583" s="1" t="s">
        <v>8018</v>
      </c>
      <c r="G1583" s="1" t="s">
        <v>8019</v>
      </c>
    </row>
    <row r="1584" spans="1:7">
      <c r="A1584" s="1">
        <v>3154</v>
      </c>
      <c r="B1584" s="1" t="s">
        <v>8020</v>
      </c>
      <c r="D1584" s="1" t="s">
        <v>8021</v>
      </c>
      <c r="E1584" s="1" t="s">
        <v>8022</v>
      </c>
      <c r="F1584" s="1" t="s">
        <v>8014</v>
      </c>
      <c r="G1584" s="1" t="s">
        <v>8015</v>
      </c>
    </row>
    <row r="1585" spans="1:7">
      <c r="A1585" s="1">
        <v>3157</v>
      </c>
      <c r="B1585" s="1" t="s">
        <v>8023</v>
      </c>
      <c r="D1585" s="1" t="s">
        <v>8021</v>
      </c>
      <c r="E1585" s="1" t="s">
        <v>8024</v>
      </c>
      <c r="F1585" s="1" t="s">
        <v>8018</v>
      </c>
      <c r="G1585" s="1" t="s">
        <v>8025</v>
      </c>
    </row>
    <row r="1586" spans="1:7">
      <c r="A1586" s="1">
        <v>3164</v>
      </c>
      <c r="B1586" s="1" t="s">
        <v>8026</v>
      </c>
      <c r="D1586" s="1" t="s">
        <v>4129</v>
      </c>
      <c r="E1586" s="1" t="s">
        <v>4132</v>
      </c>
      <c r="F1586" s="1" t="s">
        <v>8027</v>
      </c>
      <c r="G1586" s="1" t="s">
        <v>8028</v>
      </c>
    </row>
    <row r="1587" spans="1:7">
      <c r="A1587" s="1">
        <v>3165</v>
      </c>
      <c r="B1587" s="1" t="s">
        <v>8029</v>
      </c>
      <c r="D1587" s="1" t="s">
        <v>4129</v>
      </c>
      <c r="E1587" s="1" t="s">
        <v>4130</v>
      </c>
      <c r="F1587" s="1" t="s">
        <v>8030</v>
      </c>
      <c r="G1587" s="1" t="s">
        <v>8031</v>
      </c>
    </row>
    <row r="1588" spans="1:7">
      <c r="A1588" s="1">
        <v>3178</v>
      </c>
      <c r="B1588" s="1" t="s">
        <v>8032</v>
      </c>
      <c r="D1588" s="1" t="s">
        <v>4134</v>
      </c>
      <c r="E1588" s="1" t="s">
        <v>4135</v>
      </c>
      <c r="F1588" s="1" t="s">
        <v>8033</v>
      </c>
      <c r="G1588" s="1" t="s">
        <v>8034</v>
      </c>
    </row>
    <row r="1589" spans="1:7">
      <c r="A1589" s="1">
        <v>3179</v>
      </c>
      <c r="B1589" s="1" t="s">
        <v>8035</v>
      </c>
      <c r="D1589" s="1" t="s">
        <v>4139</v>
      </c>
      <c r="E1589" s="1" t="s">
        <v>8036</v>
      </c>
      <c r="F1589" s="1" t="s">
        <v>8037</v>
      </c>
      <c r="G1589" s="1" t="s">
        <v>8038</v>
      </c>
    </row>
    <row r="1590" spans="1:7">
      <c r="A1590" s="1">
        <v>3182</v>
      </c>
      <c r="B1590" s="1" t="s">
        <v>8039</v>
      </c>
      <c r="D1590" s="1" t="s">
        <v>4139</v>
      </c>
      <c r="E1590" s="1" t="s">
        <v>8040</v>
      </c>
      <c r="F1590" s="1" t="s">
        <v>8041</v>
      </c>
      <c r="G1590" s="1" t="s">
        <v>8042</v>
      </c>
    </row>
    <row r="1591" spans="1:7">
      <c r="A1591" s="1">
        <v>3184</v>
      </c>
      <c r="B1591" s="1" t="s">
        <v>8043</v>
      </c>
      <c r="D1591" s="1" t="s">
        <v>4139</v>
      </c>
      <c r="E1591" s="1" t="s">
        <v>4140</v>
      </c>
      <c r="F1591" s="1" t="s">
        <v>8033</v>
      </c>
      <c r="G1591" s="1" t="s">
        <v>8034</v>
      </c>
    </row>
    <row r="1592" spans="1:7">
      <c r="A1592" s="1">
        <v>3192</v>
      </c>
      <c r="B1592" s="1" t="s">
        <v>8044</v>
      </c>
      <c r="D1592" s="1" t="s">
        <v>4142</v>
      </c>
      <c r="E1592" s="1" t="s">
        <v>4147</v>
      </c>
      <c r="F1592" s="1" t="s">
        <v>4148</v>
      </c>
      <c r="G1592" s="1" t="s">
        <v>4149</v>
      </c>
    </row>
    <row r="1593" spans="1:7">
      <c r="A1593" s="1">
        <v>3193</v>
      </c>
      <c r="B1593" s="1" t="s">
        <v>8045</v>
      </c>
      <c r="D1593" s="1" t="s">
        <v>4142</v>
      </c>
      <c r="E1593" s="1" t="s">
        <v>4143</v>
      </c>
      <c r="F1593" s="1" t="s">
        <v>4144</v>
      </c>
      <c r="G1593" s="1" t="s">
        <v>4145</v>
      </c>
    </row>
    <row r="1594" spans="1:7">
      <c r="A1594" s="1">
        <v>3198</v>
      </c>
      <c r="B1594" s="1" t="s">
        <v>8046</v>
      </c>
      <c r="D1594" s="1" t="s">
        <v>8047</v>
      </c>
      <c r="E1594" s="1" t="s">
        <v>8048</v>
      </c>
      <c r="F1594" s="1" t="s">
        <v>8049</v>
      </c>
      <c r="G1594" s="1" t="s">
        <v>8050</v>
      </c>
    </row>
    <row r="1595" spans="1:7">
      <c r="A1595" s="1">
        <v>3208</v>
      </c>
      <c r="B1595" s="1" t="s">
        <v>8051</v>
      </c>
      <c r="D1595" s="1" t="s">
        <v>4151</v>
      </c>
      <c r="E1595" s="1" t="s">
        <v>8052</v>
      </c>
      <c r="F1595" s="1" t="s">
        <v>8053</v>
      </c>
      <c r="G1595" s="1" t="s">
        <v>8054</v>
      </c>
    </row>
    <row r="1596" spans="1:7">
      <c r="A1596" s="1">
        <v>3209</v>
      </c>
      <c r="B1596" s="1" t="s">
        <v>8055</v>
      </c>
      <c r="D1596" s="1" t="s">
        <v>4151</v>
      </c>
      <c r="E1596" s="1" t="s">
        <v>8056</v>
      </c>
      <c r="F1596" s="1" t="s">
        <v>8057</v>
      </c>
      <c r="G1596" s="1" t="s">
        <v>8058</v>
      </c>
    </row>
    <row r="1597" spans="1:7">
      <c r="A1597" s="1">
        <v>3210</v>
      </c>
      <c r="B1597" s="1" t="s">
        <v>8059</v>
      </c>
      <c r="D1597" s="1" t="s">
        <v>4151</v>
      </c>
      <c r="E1597" s="1" t="s">
        <v>8060</v>
      </c>
      <c r="F1597" s="1" t="s">
        <v>8061</v>
      </c>
      <c r="G1597" s="1" t="s">
        <v>8062</v>
      </c>
    </row>
    <row r="1598" spans="1:7">
      <c r="A1598" s="1">
        <v>3221</v>
      </c>
      <c r="B1598" s="1" t="s">
        <v>8063</v>
      </c>
      <c r="D1598" s="1" t="s">
        <v>4164</v>
      </c>
      <c r="E1598" s="1" t="s">
        <v>8064</v>
      </c>
      <c r="F1598" s="1" t="s">
        <v>8053</v>
      </c>
      <c r="G1598" s="1" t="s">
        <v>8054</v>
      </c>
    </row>
    <row r="1599" spans="1:7">
      <c r="A1599" s="1">
        <v>3222</v>
      </c>
      <c r="B1599" s="1" t="s">
        <v>8065</v>
      </c>
      <c r="D1599" s="1" t="s">
        <v>4164</v>
      </c>
      <c r="E1599" s="1" t="s">
        <v>8066</v>
      </c>
      <c r="F1599" s="1" t="s">
        <v>8057</v>
      </c>
      <c r="G1599" s="1" t="s">
        <v>8058</v>
      </c>
    </row>
    <row r="1600" spans="1:7">
      <c r="A1600" s="1">
        <v>3223</v>
      </c>
      <c r="B1600" s="1" t="s">
        <v>8067</v>
      </c>
      <c r="D1600" s="1" t="s">
        <v>4164</v>
      </c>
      <c r="E1600" s="1" t="s">
        <v>8068</v>
      </c>
      <c r="F1600" s="1" t="s">
        <v>8061</v>
      </c>
      <c r="G1600" s="1" t="s">
        <v>8062</v>
      </c>
    </row>
    <row r="1601" spans="1:7">
      <c r="A1601" s="1">
        <v>3225</v>
      </c>
      <c r="B1601" s="1" t="s">
        <v>8069</v>
      </c>
      <c r="D1601" s="1" t="s">
        <v>8070</v>
      </c>
      <c r="E1601" s="1" t="s">
        <v>8071</v>
      </c>
      <c r="F1601" s="1" t="s">
        <v>8072</v>
      </c>
      <c r="G1601" s="1" t="s">
        <v>8073</v>
      </c>
    </row>
    <row r="1602" spans="1:7">
      <c r="A1602" s="1">
        <v>3226</v>
      </c>
      <c r="B1602" s="1" t="s">
        <v>8074</v>
      </c>
      <c r="D1602" s="1" t="s">
        <v>8070</v>
      </c>
      <c r="E1602" s="1" t="s">
        <v>8075</v>
      </c>
      <c r="F1602" s="1" t="s">
        <v>8076</v>
      </c>
      <c r="G1602" s="1" t="s">
        <v>8077</v>
      </c>
    </row>
    <row r="1603" spans="1:7">
      <c r="A1603" s="1">
        <v>3227</v>
      </c>
      <c r="B1603" s="1" t="s">
        <v>8078</v>
      </c>
      <c r="D1603" s="1" t="s">
        <v>8070</v>
      </c>
      <c r="E1603" s="1" t="s">
        <v>8079</v>
      </c>
      <c r="F1603" s="1" t="s">
        <v>8080</v>
      </c>
      <c r="G1603" s="1" t="s">
        <v>8081</v>
      </c>
    </row>
    <row r="1604" spans="1:7">
      <c r="A1604" s="1">
        <v>3228</v>
      </c>
      <c r="B1604" s="1" t="s">
        <v>8082</v>
      </c>
      <c r="D1604" s="1" t="s">
        <v>8070</v>
      </c>
      <c r="E1604" s="1" t="s">
        <v>8083</v>
      </c>
      <c r="F1604" s="1" t="s">
        <v>8084</v>
      </c>
      <c r="G1604" s="1" t="s">
        <v>8085</v>
      </c>
    </row>
    <row r="1605" spans="1:7">
      <c r="A1605" s="1">
        <v>3230</v>
      </c>
      <c r="B1605" s="1" t="s">
        <v>8086</v>
      </c>
      <c r="D1605" s="1" t="s">
        <v>4171</v>
      </c>
      <c r="E1605" s="1" t="s">
        <v>4172</v>
      </c>
      <c r="F1605" s="1" t="s">
        <v>8087</v>
      </c>
      <c r="G1605" s="1" t="s">
        <v>8088</v>
      </c>
    </row>
    <row r="1606" spans="1:7">
      <c r="A1606" s="1">
        <v>3231</v>
      </c>
      <c r="B1606" s="1" t="s">
        <v>8089</v>
      </c>
      <c r="D1606" s="1" t="s">
        <v>4171</v>
      </c>
      <c r="E1606" s="1" t="s">
        <v>4174</v>
      </c>
      <c r="F1606" s="1" t="s">
        <v>8090</v>
      </c>
      <c r="G1606" s="1" t="s">
        <v>8091</v>
      </c>
    </row>
    <row r="1607" spans="1:7">
      <c r="A1607" s="1">
        <v>3232</v>
      </c>
      <c r="B1607" s="1" t="s">
        <v>8092</v>
      </c>
      <c r="D1607" s="1" t="s">
        <v>4171</v>
      </c>
      <c r="E1607" s="1" t="s">
        <v>4176</v>
      </c>
      <c r="F1607" s="1" t="s">
        <v>8093</v>
      </c>
      <c r="G1607" s="1" t="s">
        <v>8094</v>
      </c>
    </row>
    <row r="1608" spans="1:7">
      <c r="A1608" s="1">
        <v>3234</v>
      </c>
      <c r="B1608" s="1" t="s">
        <v>8095</v>
      </c>
      <c r="D1608" s="1" t="s">
        <v>4178</v>
      </c>
      <c r="E1608" s="1" t="s">
        <v>4179</v>
      </c>
      <c r="F1608" s="1" t="s">
        <v>8096</v>
      </c>
      <c r="G1608" s="1" t="s">
        <v>8097</v>
      </c>
    </row>
    <row r="1609" spans="1:7">
      <c r="A1609" s="1">
        <v>3235</v>
      </c>
      <c r="B1609" s="1" t="s">
        <v>8098</v>
      </c>
      <c r="D1609" s="1" t="s">
        <v>4183</v>
      </c>
      <c r="E1609" s="1" t="s">
        <v>4192</v>
      </c>
      <c r="F1609" s="1" t="s">
        <v>8099</v>
      </c>
      <c r="G1609" s="1" t="s">
        <v>8100</v>
      </c>
    </row>
    <row r="1610" spans="1:7">
      <c r="A1610" s="1">
        <v>3236</v>
      </c>
      <c r="B1610" s="1" t="s">
        <v>8101</v>
      </c>
      <c r="D1610" s="1" t="s">
        <v>4183</v>
      </c>
      <c r="E1610" s="1" t="s">
        <v>4190</v>
      </c>
      <c r="F1610" s="1" t="s">
        <v>8102</v>
      </c>
      <c r="G1610" s="1" t="s">
        <v>8103</v>
      </c>
    </row>
    <row r="1611" spans="1:7">
      <c r="A1611" s="1">
        <v>3239</v>
      </c>
      <c r="B1611" s="1" t="s">
        <v>8104</v>
      </c>
      <c r="D1611" s="1" t="s">
        <v>4183</v>
      </c>
      <c r="E1611" s="1" t="s">
        <v>4184</v>
      </c>
      <c r="F1611" s="1" t="s">
        <v>8105</v>
      </c>
      <c r="G1611" s="1" t="s">
        <v>8106</v>
      </c>
    </row>
    <row r="1612" spans="1:7">
      <c r="A1612" s="1">
        <v>3240</v>
      </c>
      <c r="B1612" s="1" t="s">
        <v>8107</v>
      </c>
      <c r="D1612" s="1" t="s">
        <v>4183</v>
      </c>
      <c r="E1612" s="1" t="s">
        <v>4188</v>
      </c>
      <c r="F1612" s="1" t="s">
        <v>8108</v>
      </c>
      <c r="G1612" s="1" t="s">
        <v>8109</v>
      </c>
    </row>
    <row r="1613" spans="1:7">
      <c r="A1613" s="1">
        <v>3241</v>
      </c>
      <c r="B1613" s="1" t="s">
        <v>8110</v>
      </c>
      <c r="D1613" s="1" t="s">
        <v>4194</v>
      </c>
      <c r="E1613" s="1" t="s">
        <v>4199</v>
      </c>
      <c r="F1613" s="1" t="s">
        <v>8111</v>
      </c>
      <c r="G1613" s="1" t="s">
        <v>8112</v>
      </c>
    </row>
    <row r="1614" spans="1:7">
      <c r="A1614" s="1">
        <v>3246</v>
      </c>
      <c r="B1614" s="1" t="s">
        <v>8113</v>
      </c>
      <c r="D1614" s="1" t="s">
        <v>4194</v>
      </c>
      <c r="E1614" s="1" t="s">
        <v>4195</v>
      </c>
      <c r="F1614" s="1" t="s">
        <v>8114</v>
      </c>
      <c r="G1614" s="1" t="s">
        <v>8115</v>
      </c>
    </row>
    <row r="1615" spans="1:7">
      <c r="A1615" s="1">
        <v>3247</v>
      </c>
      <c r="B1615" s="1" t="s">
        <v>8116</v>
      </c>
      <c r="D1615" s="1" t="s">
        <v>4203</v>
      </c>
      <c r="E1615" s="1" t="s">
        <v>4204</v>
      </c>
      <c r="F1615" s="1" t="s">
        <v>8117</v>
      </c>
      <c r="G1615" s="1" t="s">
        <v>8118</v>
      </c>
    </row>
    <row r="1616" spans="1:7">
      <c r="A1616" s="1">
        <v>3248</v>
      </c>
      <c r="B1616" s="1" t="s">
        <v>8119</v>
      </c>
      <c r="D1616" s="1" t="s">
        <v>4208</v>
      </c>
      <c r="E1616" s="1" t="s">
        <v>4209</v>
      </c>
      <c r="F1616" s="1" t="s">
        <v>4210</v>
      </c>
      <c r="G1616" s="1" t="s">
        <v>4211</v>
      </c>
    </row>
    <row r="1617" spans="1:7">
      <c r="A1617" s="1">
        <v>3249</v>
      </c>
      <c r="B1617" s="1" t="s">
        <v>8120</v>
      </c>
      <c r="D1617" s="1" t="s">
        <v>4213</v>
      </c>
      <c r="E1617" s="1" t="s">
        <v>4214</v>
      </c>
      <c r="F1617" s="1" t="s">
        <v>8121</v>
      </c>
      <c r="G1617" s="1" t="s">
        <v>8122</v>
      </c>
    </row>
    <row r="1618" spans="1:7">
      <c r="A1618" s="1">
        <v>3251</v>
      </c>
      <c r="B1618" s="1" t="s">
        <v>8123</v>
      </c>
      <c r="D1618" s="1" t="s">
        <v>4218</v>
      </c>
      <c r="E1618" s="1" t="s">
        <v>8124</v>
      </c>
      <c r="F1618" s="1" t="s">
        <v>8125</v>
      </c>
      <c r="G1618" s="1" t="s">
        <v>8126</v>
      </c>
    </row>
    <row r="1619" spans="1:7">
      <c r="A1619" s="1">
        <v>3252</v>
      </c>
      <c r="B1619" s="1" t="s">
        <v>8127</v>
      </c>
      <c r="D1619" s="1" t="s">
        <v>4218</v>
      </c>
      <c r="E1619" s="1" t="s">
        <v>8128</v>
      </c>
      <c r="F1619" s="1" t="s">
        <v>8129</v>
      </c>
      <c r="G1619" s="1" t="s">
        <v>8130</v>
      </c>
    </row>
    <row r="1620" spans="1:7">
      <c r="A1620" s="1">
        <v>3255</v>
      </c>
      <c r="B1620" s="1" t="s">
        <v>8131</v>
      </c>
      <c r="D1620" s="1" t="s">
        <v>4218</v>
      </c>
      <c r="E1620" s="1" t="s">
        <v>4105</v>
      </c>
      <c r="F1620" s="1" t="s">
        <v>4220</v>
      </c>
      <c r="G1620" s="1" t="s">
        <v>4221</v>
      </c>
    </row>
    <row r="1621" spans="1:7">
      <c r="A1621" s="1">
        <v>3256</v>
      </c>
      <c r="B1621" s="1" t="s">
        <v>8132</v>
      </c>
      <c r="D1621" s="1" t="s">
        <v>4218</v>
      </c>
      <c r="E1621" s="1" t="s">
        <v>8133</v>
      </c>
      <c r="F1621" s="1" t="s">
        <v>4224</v>
      </c>
      <c r="G1621" s="1" t="s">
        <v>4225</v>
      </c>
    </row>
    <row r="1622" spans="1:7">
      <c r="A1622" s="1">
        <v>3257</v>
      </c>
      <c r="B1622" s="1" t="s">
        <v>8134</v>
      </c>
      <c r="D1622" s="1" t="s">
        <v>4218</v>
      </c>
      <c r="E1622" s="1" t="s">
        <v>4113</v>
      </c>
      <c r="F1622" s="1" t="s">
        <v>4228</v>
      </c>
      <c r="G1622" s="1" t="s">
        <v>4229</v>
      </c>
    </row>
    <row r="1623" spans="1:7">
      <c r="A1623" s="1">
        <v>3258</v>
      </c>
      <c r="B1623" s="1" t="s">
        <v>8135</v>
      </c>
      <c r="D1623" s="1" t="s">
        <v>4218</v>
      </c>
      <c r="E1623" s="1" t="s">
        <v>4117</v>
      </c>
      <c r="F1623" s="1" t="s">
        <v>8136</v>
      </c>
      <c r="G1623" s="1" t="s">
        <v>4233</v>
      </c>
    </row>
    <row r="1624" spans="1:7">
      <c r="A1624" s="1">
        <v>3259</v>
      </c>
      <c r="B1624" s="1" t="s">
        <v>8137</v>
      </c>
      <c r="D1624" s="1" t="s">
        <v>4218</v>
      </c>
      <c r="E1624" s="1" t="s">
        <v>4125</v>
      </c>
      <c r="F1624" s="1" t="s">
        <v>8138</v>
      </c>
      <c r="G1624" s="1" t="s">
        <v>4237</v>
      </c>
    </row>
    <row r="1625" spans="1:7">
      <c r="A1625" s="1">
        <v>3260</v>
      </c>
      <c r="B1625" s="1" t="s">
        <v>8139</v>
      </c>
      <c r="D1625" s="1" t="s">
        <v>4218</v>
      </c>
      <c r="E1625" s="1" t="s">
        <v>8140</v>
      </c>
      <c r="F1625" s="1" t="s">
        <v>4256</v>
      </c>
      <c r="G1625" s="1" t="s">
        <v>4257</v>
      </c>
    </row>
    <row r="1626" spans="1:7">
      <c r="A1626" s="1">
        <v>3261</v>
      </c>
      <c r="B1626" s="1" t="s">
        <v>8141</v>
      </c>
      <c r="D1626" s="1" t="s">
        <v>4218</v>
      </c>
      <c r="E1626" s="1" t="s">
        <v>8142</v>
      </c>
      <c r="F1626" s="1" t="s">
        <v>4260</v>
      </c>
      <c r="G1626" s="1" t="s">
        <v>4261</v>
      </c>
    </row>
    <row r="1627" spans="1:7">
      <c r="A1627" s="1">
        <v>3263</v>
      </c>
      <c r="B1627" s="1" t="s">
        <v>8143</v>
      </c>
      <c r="D1627" s="1" t="s">
        <v>4263</v>
      </c>
      <c r="E1627" s="1" t="s">
        <v>4266</v>
      </c>
      <c r="F1627" s="1" t="s">
        <v>8144</v>
      </c>
      <c r="G1627" s="1" t="s">
        <v>8145</v>
      </c>
    </row>
    <row r="1628" spans="1:7">
      <c r="A1628" s="1">
        <v>3264</v>
      </c>
      <c r="B1628" s="1" t="s">
        <v>8146</v>
      </c>
      <c r="D1628" s="1" t="s">
        <v>4263</v>
      </c>
      <c r="E1628" s="1" t="s">
        <v>4264</v>
      </c>
      <c r="F1628" s="1" t="s">
        <v>8147</v>
      </c>
      <c r="G1628" s="1" t="s">
        <v>8148</v>
      </c>
    </row>
    <row r="1629" spans="1:7">
      <c r="A1629" s="1">
        <v>3269</v>
      </c>
      <c r="B1629" s="1" t="s">
        <v>8149</v>
      </c>
      <c r="D1629" s="1" t="s">
        <v>4268</v>
      </c>
      <c r="E1629" s="1" t="s">
        <v>4269</v>
      </c>
      <c r="F1629" s="1" t="s">
        <v>8150</v>
      </c>
      <c r="G1629" s="1" t="s">
        <v>8151</v>
      </c>
    </row>
    <row r="1630" spans="1:7">
      <c r="A1630" s="1">
        <v>3271</v>
      </c>
      <c r="B1630" s="1" t="s">
        <v>8152</v>
      </c>
      <c r="D1630" s="1" t="s">
        <v>4268</v>
      </c>
      <c r="E1630" s="1" t="s">
        <v>4273</v>
      </c>
      <c r="F1630" s="1" t="s">
        <v>8153</v>
      </c>
      <c r="G1630" s="1" t="s">
        <v>8154</v>
      </c>
    </row>
    <row r="1631" spans="1:7">
      <c r="A1631" s="1">
        <v>3276</v>
      </c>
      <c r="B1631" s="1" t="s">
        <v>8155</v>
      </c>
      <c r="D1631" s="1" t="s">
        <v>4277</v>
      </c>
      <c r="E1631" s="1" t="s">
        <v>8156</v>
      </c>
      <c r="F1631" s="1" t="s">
        <v>8157</v>
      </c>
      <c r="G1631" s="1" t="s">
        <v>8158</v>
      </c>
    </row>
    <row r="1632" spans="1:7">
      <c r="A1632" s="1">
        <v>3277</v>
      </c>
      <c r="B1632" s="1" t="s">
        <v>8159</v>
      </c>
      <c r="D1632" s="1" t="s">
        <v>4277</v>
      </c>
      <c r="E1632" s="1" t="s">
        <v>8160</v>
      </c>
      <c r="F1632" s="1" t="s">
        <v>8161</v>
      </c>
      <c r="G1632" s="1" t="s">
        <v>8162</v>
      </c>
    </row>
    <row r="1633" spans="1:7">
      <c r="A1633" s="1">
        <v>3281</v>
      </c>
      <c r="B1633" s="1" t="s">
        <v>8163</v>
      </c>
      <c r="D1633" s="1" t="s">
        <v>4286</v>
      </c>
      <c r="E1633" s="1" t="s">
        <v>8164</v>
      </c>
      <c r="F1633" s="1" t="s">
        <v>8165</v>
      </c>
      <c r="G1633" s="1" t="s">
        <v>8166</v>
      </c>
    </row>
    <row r="1634" spans="1:7">
      <c r="A1634" s="1">
        <v>3282</v>
      </c>
      <c r="B1634" s="1" t="s">
        <v>8167</v>
      </c>
      <c r="D1634" s="1" t="s">
        <v>4286</v>
      </c>
      <c r="E1634" s="1" t="s">
        <v>8168</v>
      </c>
      <c r="F1634" s="1" t="s">
        <v>8169</v>
      </c>
      <c r="G1634" s="1" t="s">
        <v>8170</v>
      </c>
    </row>
    <row r="1635" spans="1:7">
      <c r="A1635" s="1">
        <v>3283</v>
      </c>
      <c r="B1635" s="1" t="s">
        <v>8171</v>
      </c>
      <c r="D1635" s="1" t="s">
        <v>8172</v>
      </c>
      <c r="E1635" s="1" t="s">
        <v>8173</v>
      </c>
      <c r="F1635" s="1" t="s">
        <v>8174</v>
      </c>
      <c r="G1635" s="1" t="s">
        <v>8175</v>
      </c>
    </row>
    <row r="1636" spans="1:7">
      <c r="A1636" s="1">
        <v>3284</v>
      </c>
      <c r="B1636" s="1" t="s">
        <v>8176</v>
      </c>
      <c r="D1636" s="1" t="s">
        <v>8172</v>
      </c>
      <c r="E1636" s="1" t="s">
        <v>8177</v>
      </c>
      <c r="F1636" s="1" t="s">
        <v>8178</v>
      </c>
      <c r="G1636" s="1" t="s">
        <v>8179</v>
      </c>
    </row>
    <row r="1637" spans="1:7">
      <c r="A1637" s="1">
        <v>3285</v>
      </c>
      <c r="B1637" s="1" t="s">
        <v>8180</v>
      </c>
      <c r="D1637" s="1" t="s">
        <v>4291</v>
      </c>
      <c r="E1637" s="1" t="s">
        <v>8181</v>
      </c>
      <c r="F1637" s="1" t="s">
        <v>8182</v>
      </c>
      <c r="G1637" s="1" t="s">
        <v>8183</v>
      </c>
    </row>
    <row r="1638" spans="1:7">
      <c r="A1638" s="1">
        <v>3286</v>
      </c>
      <c r="B1638" s="1" t="s">
        <v>8184</v>
      </c>
      <c r="D1638" s="1" t="s">
        <v>4291</v>
      </c>
      <c r="E1638" s="1" t="s">
        <v>8185</v>
      </c>
      <c r="F1638" s="1" t="s">
        <v>8186</v>
      </c>
      <c r="G1638" s="1" t="s">
        <v>8187</v>
      </c>
    </row>
    <row r="1639" spans="1:7">
      <c r="A1639" s="1">
        <v>3287</v>
      </c>
      <c r="B1639" s="1" t="s">
        <v>8188</v>
      </c>
      <c r="D1639" s="1" t="s">
        <v>4291</v>
      </c>
      <c r="E1639" s="1" t="s">
        <v>8189</v>
      </c>
      <c r="F1639" s="1" t="s">
        <v>8190</v>
      </c>
      <c r="G1639" s="1" t="s">
        <v>8191</v>
      </c>
    </row>
    <row r="1640" spans="1:7">
      <c r="A1640" s="1">
        <v>3292</v>
      </c>
      <c r="B1640" s="1" t="s">
        <v>8192</v>
      </c>
      <c r="D1640" s="1" t="s">
        <v>4300</v>
      </c>
      <c r="E1640" s="1" t="s">
        <v>8193</v>
      </c>
      <c r="F1640" s="1" t="s">
        <v>8194</v>
      </c>
      <c r="G1640" s="1" t="s">
        <v>8195</v>
      </c>
    </row>
    <row r="1641" spans="1:7">
      <c r="A1641" s="1">
        <v>3293</v>
      </c>
      <c r="B1641" s="1" t="s">
        <v>8196</v>
      </c>
      <c r="D1641" s="1" t="s">
        <v>4300</v>
      </c>
      <c r="E1641" s="1" t="s">
        <v>8197</v>
      </c>
      <c r="F1641" s="1" t="s">
        <v>8198</v>
      </c>
      <c r="G1641" s="1" t="s">
        <v>8199</v>
      </c>
    </row>
    <row r="1642" spans="1:7">
      <c r="A1642" s="1">
        <v>3294</v>
      </c>
      <c r="B1642" s="1" t="s">
        <v>8200</v>
      </c>
      <c r="D1642" s="1" t="s">
        <v>4309</v>
      </c>
      <c r="E1642" s="1" t="s">
        <v>4310</v>
      </c>
      <c r="F1642" s="1" t="s">
        <v>8201</v>
      </c>
      <c r="G1642" s="1" t="s">
        <v>4312</v>
      </c>
    </row>
    <row r="1643" spans="1:7">
      <c r="A1643" s="1">
        <v>3295</v>
      </c>
      <c r="B1643" s="1" t="s">
        <v>8202</v>
      </c>
      <c r="D1643" s="1" t="s">
        <v>4309</v>
      </c>
      <c r="E1643" s="1" t="s">
        <v>4314</v>
      </c>
      <c r="F1643" s="1" t="s">
        <v>8203</v>
      </c>
      <c r="G1643" s="1" t="s">
        <v>4316</v>
      </c>
    </row>
    <row r="1644" spans="1:7">
      <c r="A1644" s="1">
        <v>3297</v>
      </c>
      <c r="B1644" s="1" t="s">
        <v>8204</v>
      </c>
      <c r="D1644" s="1" t="s">
        <v>4318</v>
      </c>
      <c r="E1644" s="1" t="s">
        <v>4323</v>
      </c>
      <c r="F1644" s="1" t="s">
        <v>8205</v>
      </c>
      <c r="G1644" s="1" t="s">
        <v>8206</v>
      </c>
    </row>
    <row r="1645" spans="1:7">
      <c r="A1645" s="1">
        <v>3299</v>
      </c>
      <c r="B1645" s="1" t="s">
        <v>8207</v>
      </c>
      <c r="D1645" s="1" t="s">
        <v>4318</v>
      </c>
      <c r="E1645" s="1" t="s">
        <v>4327</v>
      </c>
      <c r="F1645" s="1" t="s">
        <v>8208</v>
      </c>
      <c r="G1645" s="1" t="s">
        <v>8209</v>
      </c>
    </row>
    <row r="1646" spans="1:7">
      <c r="A1646" s="1">
        <v>3303</v>
      </c>
      <c r="B1646" s="1" t="s">
        <v>8210</v>
      </c>
      <c r="D1646" s="1" t="s">
        <v>4318</v>
      </c>
      <c r="E1646" s="1" t="s">
        <v>4319</v>
      </c>
      <c r="F1646" s="1" t="s">
        <v>8211</v>
      </c>
      <c r="G1646" s="1" t="s">
        <v>8212</v>
      </c>
    </row>
    <row r="1647" spans="1:7">
      <c r="A1647" s="1">
        <v>3304</v>
      </c>
      <c r="B1647" s="1" t="s">
        <v>8213</v>
      </c>
      <c r="D1647" s="1" t="s">
        <v>4331</v>
      </c>
      <c r="E1647" s="1" t="s">
        <v>4334</v>
      </c>
      <c r="F1647" s="1" t="s">
        <v>8214</v>
      </c>
      <c r="G1647" s="1" t="s">
        <v>8215</v>
      </c>
    </row>
    <row r="1648" spans="1:7">
      <c r="A1648" s="1">
        <v>3305</v>
      </c>
      <c r="B1648" s="1" t="s">
        <v>8216</v>
      </c>
      <c r="D1648" s="1" t="s">
        <v>4331</v>
      </c>
      <c r="E1648" s="1" t="s">
        <v>4332</v>
      </c>
      <c r="F1648" s="1" t="s">
        <v>8217</v>
      </c>
      <c r="G1648" s="1" t="s">
        <v>8218</v>
      </c>
    </row>
    <row r="1649" spans="1:7">
      <c r="A1649" s="1">
        <v>3308</v>
      </c>
      <c r="B1649" s="1" t="s">
        <v>8219</v>
      </c>
      <c r="D1649" s="1" t="s">
        <v>4331</v>
      </c>
      <c r="E1649" s="1" t="s">
        <v>4336</v>
      </c>
      <c r="F1649" s="1" t="s">
        <v>8220</v>
      </c>
      <c r="G1649" s="1" t="s">
        <v>8221</v>
      </c>
    </row>
    <row r="1650" spans="1:7">
      <c r="A1650" s="1">
        <v>3309</v>
      </c>
      <c r="B1650" s="1" t="s">
        <v>8222</v>
      </c>
      <c r="D1650" s="1" t="s">
        <v>4331</v>
      </c>
      <c r="E1650" s="1" t="s">
        <v>4338</v>
      </c>
      <c r="F1650" s="1" t="s">
        <v>8223</v>
      </c>
      <c r="G1650" s="1" t="s">
        <v>8224</v>
      </c>
    </row>
    <row r="1651" spans="1:7">
      <c r="A1651" s="1">
        <v>3310</v>
      </c>
      <c r="B1651" s="1" t="s">
        <v>8225</v>
      </c>
      <c r="D1651" s="1" t="s">
        <v>4331</v>
      </c>
      <c r="E1651" s="1" t="s">
        <v>4340</v>
      </c>
      <c r="F1651" s="1" t="s">
        <v>8226</v>
      </c>
      <c r="G1651" s="1" t="s">
        <v>8227</v>
      </c>
    </row>
    <row r="1652" spans="1:7">
      <c r="A1652" s="1">
        <v>3311</v>
      </c>
      <c r="B1652" s="1" t="s">
        <v>8228</v>
      </c>
      <c r="D1652" s="1" t="s">
        <v>4342</v>
      </c>
      <c r="E1652" s="1" t="s">
        <v>4345</v>
      </c>
      <c r="F1652" s="1" t="s">
        <v>8214</v>
      </c>
      <c r="G1652" s="1" t="s">
        <v>8215</v>
      </c>
    </row>
    <row r="1653" spans="1:7">
      <c r="A1653" s="1">
        <v>3312</v>
      </c>
      <c r="B1653" s="1" t="s">
        <v>8229</v>
      </c>
      <c r="D1653" s="1" t="s">
        <v>4342</v>
      </c>
      <c r="E1653" s="1" t="s">
        <v>4343</v>
      </c>
      <c r="F1653" s="1" t="s">
        <v>8217</v>
      </c>
      <c r="G1653" s="1" t="s">
        <v>8218</v>
      </c>
    </row>
    <row r="1654" spans="1:7">
      <c r="A1654" s="1">
        <v>3315</v>
      </c>
      <c r="B1654" s="1" t="s">
        <v>8230</v>
      </c>
      <c r="D1654" s="1" t="s">
        <v>4342</v>
      </c>
      <c r="E1654" s="1" t="s">
        <v>4355</v>
      </c>
      <c r="F1654" s="1" t="s">
        <v>8231</v>
      </c>
      <c r="G1654" s="1" t="s">
        <v>8232</v>
      </c>
    </row>
    <row r="1655" spans="1:7">
      <c r="A1655" s="1">
        <v>3316</v>
      </c>
      <c r="B1655" s="1" t="s">
        <v>8233</v>
      </c>
      <c r="D1655" s="1" t="s">
        <v>4342</v>
      </c>
      <c r="E1655" s="1" t="s">
        <v>4351</v>
      </c>
      <c r="F1655" s="1" t="s">
        <v>8234</v>
      </c>
      <c r="G1655" s="1" t="s">
        <v>8235</v>
      </c>
    </row>
    <row r="1656" spans="1:7">
      <c r="A1656" s="1">
        <v>3317</v>
      </c>
      <c r="B1656" s="1" t="s">
        <v>8236</v>
      </c>
      <c r="D1656" s="1" t="s">
        <v>4342</v>
      </c>
      <c r="E1656" s="1" t="s">
        <v>4359</v>
      </c>
      <c r="F1656" s="1" t="s">
        <v>8237</v>
      </c>
      <c r="G1656" s="1" t="s">
        <v>8238</v>
      </c>
    </row>
    <row r="1657" spans="1:7">
      <c r="A1657" s="1">
        <v>3318</v>
      </c>
      <c r="B1657" s="1" t="s">
        <v>8239</v>
      </c>
      <c r="D1657" s="1" t="s">
        <v>4342</v>
      </c>
      <c r="E1657" s="1" t="s">
        <v>4347</v>
      </c>
      <c r="F1657" s="1" t="s">
        <v>8240</v>
      </c>
      <c r="G1657" s="1" t="s">
        <v>8241</v>
      </c>
    </row>
    <row r="1658" spans="1:7">
      <c r="A1658" s="1">
        <v>3319</v>
      </c>
      <c r="B1658" s="1" t="s">
        <v>8242</v>
      </c>
      <c r="D1658" s="1" t="s">
        <v>4342</v>
      </c>
      <c r="E1658" s="1" t="s">
        <v>4363</v>
      </c>
      <c r="F1658" s="1" t="s">
        <v>8243</v>
      </c>
      <c r="G1658" s="1" t="s">
        <v>8244</v>
      </c>
    </row>
    <row r="1659" spans="1:7">
      <c r="A1659" s="1">
        <v>3320</v>
      </c>
      <c r="B1659" s="1" t="s">
        <v>8245</v>
      </c>
      <c r="D1659" s="1" t="s">
        <v>4342</v>
      </c>
      <c r="E1659" s="1" t="s">
        <v>4367</v>
      </c>
      <c r="F1659" s="1" t="s">
        <v>8246</v>
      </c>
      <c r="G1659" s="1" t="s">
        <v>8247</v>
      </c>
    </row>
    <row r="1660" spans="1:7">
      <c r="A1660" s="1">
        <v>3321</v>
      </c>
      <c r="B1660" s="1" t="s">
        <v>8248</v>
      </c>
      <c r="D1660" s="1" t="s">
        <v>4371</v>
      </c>
      <c r="E1660" s="1" t="s">
        <v>4374</v>
      </c>
      <c r="F1660" s="1" t="s">
        <v>8214</v>
      </c>
      <c r="G1660" s="1" t="s">
        <v>8215</v>
      </c>
    </row>
    <row r="1661" spans="1:7">
      <c r="A1661" s="1">
        <v>3322</v>
      </c>
      <c r="B1661" s="1" t="s">
        <v>8249</v>
      </c>
      <c r="D1661" s="1" t="s">
        <v>4371</v>
      </c>
      <c r="E1661" s="1" t="s">
        <v>4372</v>
      </c>
      <c r="F1661" s="1" t="s">
        <v>8217</v>
      </c>
      <c r="G1661" s="1" t="s">
        <v>8218</v>
      </c>
    </row>
    <row r="1662" spans="1:7">
      <c r="A1662" s="1">
        <v>3325</v>
      </c>
      <c r="B1662" s="1" t="s">
        <v>8250</v>
      </c>
      <c r="D1662" s="1" t="s">
        <v>4371</v>
      </c>
      <c r="E1662" s="1" t="s">
        <v>4380</v>
      </c>
      <c r="F1662" s="1" t="s">
        <v>8231</v>
      </c>
      <c r="G1662" s="1" t="s">
        <v>8232</v>
      </c>
    </row>
    <row r="1663" spans="1:7">
      <c r="A1663" s="1">
        <v>3326</v>
      </c>
      <c r="B1663" s="1" t="s">
        <v>8251</v>
      </c>
      <c r="D1663" s="1" t="s">
        <v>4371</v>
      </c>
      <c r="E1663" s="1" t="s">
        <v>4378</v>
      </c>
      <c r="F1663" s="1" t="s">
        <v>8234</v>
      </c>
      <c r="G1663" s="1" t="s">
        <v>8235</v>
      </c>
    </row>
    <row r="1664" spans="1:7">
      <c r="A1664" s="1">
        <v>3327</v>
      </c>
      <c r="B1664" s="1" t="s">
        <v>8252</v>
      </c>
      <c r="D1664" s="1" t="s">
        <v>4371</v>
      </c>
      <c r="E1664" s="1" t="s">
        <v>4382</v>
      </c>
      <c r="F1664" s="1" t="s">
        <v>8237</v>
      </c>
      <c r="G1664" s="1" t="s">
        <v>8238</v>
      </c>
    </row>
    <row r="1665" spans="1:7">
      <c r="A1665" s="1">
        <v>3328</v>
      </c>
      <c r="B1665" s="1" t="s">
        <v>8253</v>
      </c>
      <c r="D1665" s="1" t="s">
        <v>4371</v>
      </c>
      <c r="E1665" s="1" t="s">
        <v>4376</v>
      </c>
      <c r="F1665" s="1" t="s">
        <v>8240</v>
      </c>
      <c r="G1665" s="1" t="s">
        <v>8241</v>
      </c>
    </row>
    <row r="1666" spans="1:7">
      <c r="A1666" s="1">
        <v>3329</v>
      </c>
      <c r="B1666" s="1" t="s">
        <v>8254</v>
      </c>
      <c r="D1666" s="1" t="s">
        <v>4371</v>
      </c>
      <c r="E1666" s="1" t="s">
        <v>4384</v>
      </c>
      <c r="F1666" s="1" t="s">
        <v>8243</v>
      </c>
      <c r="G1666" s="1" t="s">
        <v>8244</v>
      </c>
    </row>
    <row r="1667" spans="1:7">
      <c r="A1667" s="1">
        <v>3330</v>
      </c>
      <c r="B1667" s="1" t="s">
        <v>8255</v>
      </c>
      <c r="D1667" s="1" t="s">
        <v>4371</v>
      </c>
      <c r="E1667" s="1" t="s">
        <v>4386</v>
      </c>
      <c r="F1667" s="1" t="s">
        <v>8246</v>
      </c>
      <c r="G1667" s="1" t="s">
        <v>8247</v>
      </c>
    </row>
    <row r="1668" spans="1:7">
      <c r="A1668" s="1">
        <v>3331</v>
      </c>
      <c r="B1668" s="1" t="s">
        <v>8256</v>
      </c>
      <c r="D1668" s="1" t="s">
        <v>4428</v>
      </c>
      <c r="E1668" s="1" t="s">
        <v>8257</v>
      </c>
      <c r="F1668" s="1" t="s">
        <v>8258</v>
      </c>
      <c r="G1668" s="1" t="s">
        <v>8259</v>
      </c>
    </row>
    <row r="1669" spans="1:7">
      <c r="A1669" s="1">
        <v>3332</v>
      </c>
      <c r="B1669" s="1" t="s">
        <v>8260</v>
      </c>
      <c r="D1669" s="1" t="s">
        <v>4428</v>
      </c>
      <c r="E1669" s="1" t="s">
        <v>8261</v>
      </c>
      <c r="F1669" s="1" t="s">
        <v>8262</v>
      </c>
      <c r="G1669" s="1" t="s">
        <v>8263</v>
      </c>
    </row>
    <row r="1670" spans="1:7">
      <c r="A1670" s="1">
        <v>3334</v>
      </c>
      <c r="B1670" s="1" t="s">
        <v>8264</v>
      </c>
      <c r="D1670" s="1" t="s">
        <v>4437</v>
      </c>
      <c r="E1670" s="1" t="s">
        <v>4438</v>
      </c>
      <c r="F1670" s="1" t="s">
        <v>8265</v>
      </c>
      <c r="G1670" s="1" t="s">
        <v>8266</v>
      </c>
    </row>
    <row r="1671" spans="1:7">
      <c r="A1671" s="1">
        <v>3335</v>
      </c>
      <c r="B1671" s="1" t="s">
        <v>8267</v>
      </c>
      <c r="D1671" s="1" t="s">
        <v>4437</v>
      </c>
      <c r="E1671" s="1" t="s">
        <v>4442</v>
      </c>
      <c r="F1671" s="1" t="s">
        <v>8268</v>
      </c>
      <c r="G1671" s="1" t="s">
        <v>8269</v>
      </c>
    </row>
    <row r="1672" spans="1:7">
      <c r="A1672" s="1">
        <v>3336</v>
      </c>
      <c r="B1672" s="1" t="s">
        <v>8270</v>
      </c>
      <c r="D1672" s="1" t="s">
        <v>4437</v>
      </c>
      <c r="E1672" s="1" t="s">
        <v>4446</v>
      </c>
      <c r="F1672" s="1" t="s">
        <v>8265</v>
      </c>
      <c r="G1672" s="1" t="s">
        <v>8266</v>
      </c>
    </row>
    <row r="1673" spans="1:7">
      <c r="A1673" s="1">
        <v>3337</v>
      </c>
      <c r="B1673" s="1" t="s">
        <v>8271</v>
      </c>
      <c r="D1673" s="1" t="s">
        <v>4437</v>
      </c>
      <c r="E1673" s="1" t="s">
        <v>4448</v>
      </c>
      <c r="F1673" s="1" t="s">
        <v>8268</v>
      </c>
      <c r="G1673" s="1" t="s">
        <v>8269</v>
      </c>
    </row>
    <row r="1674" spans="1:7">
      <c r="A1674" s="1">
        <v>3342</v>
      </c>
      <c r="B1674" s="1" t="s">
        <v>8272</v>
      </c>
      <c r="D1674" s="1" t="s">
        <v>4450</v>
      </c>
      <c r="E1674" s="1" t="s">
        <v>4451</v>
      </c>
      <c r="F1674" s="1" t="s">
        <v>8273</v>
      </c>
      <c r="G1674" s="1" t="s">
        <v>8274</v>
      </c>
    </row>
    <row r="1675" spans="1:7">
      <c r="A1675" s="1">
        <v>3344</v>
      </c>
      <c r="B1675" s="1" t="s">
        <v>8275</v>
      </c>
      <c r="D1675" s="1" t="s">
        <v>4450</v>
      </c>
      <c r="E1675" s="1" t="s">
        <v>4459</v>
      </c>
      <c r="F1675" s="1" t="s">
        <v>8276</v>
      </c>
      <c r="G1675" s="1" t="s">
        <v>8277</v>
      </c>
    </row>
    <row r="1676" spans="1:7">
      <c r="A1676" s="1">
        <v>3345</v>
      </c>
      <c r="B1676" s="1" t="s">
        <v>8278</v>
      </c>
      <c r="D1676" s="1" t="s">
        <v>4450</v>
      </c>
      <c r="E1676" s="1" t="s">
        <v>4463</v>
      </c>
      <c r="F1676" s="1" t="s">
        <v>8279</v>
      </c>
      <c r="G1676" s="1" t="s">
        <v>8280</v>
      </c>
    </row>
    <row r="1677" spans="1:7">
      <c r="A1677" s="1">
        <v>3346</v>
      </c>
      <c r="B1677" s="1" t="s">
        <v>8281</v>
      </c>
      <c r="D1677" s="1" t="s">
        <v>4450</v>
      </c>
      <c r="E1677" s="1" t="s">
        <v>4455</v>
      </c>
      <c r="F1677" s="1" t="s">
        <v>8282</v>
      </c>
      <c r="G1677" s="1" t="s">
        <v>8283</v>
      </c>
    </row>
    <row r="1678" spans="1:7">
      <c r="A1678" s="1">
        <v>3353</v>
      </c>
      <c r="B1678" s="1" t="s">
        <v>8284</v>
      </c>
      <c r="D1678" s="1" t="s">
        <v>4467</v>
      </c>
      <c r="E1678" s="1" t="s">
        <v>4488</v>
      </c>
      <c r="F1678" s="1" t="s">
        <v>8285</v>
      </c>
      <c r="G1678" s="1" t="s">
        <v>8286</v>
      </c>
    </row>
    <row r="1679" spans="1:7">
      <c r="A1679" s="1">
        <v>3354</v>
      </c>
      <c r="B1679" s="1" t="s">
        <v>8287</v>
      </c>
      <c r="D1679" s="1" t="s">
        <v>4467</v>
      </c>
      <c r="E1679" s="1" t="s">
        <v>4480</v>
      </c>
      <c r="F1679" s="1" t="s">
        <v>8288</v>
      </c>
      <c r="G1679" s="1" t="s">
        <v>8289</v>
      </c>
    </row>
    <row r="1680" spans="1:7">
      <c r="A1680" s="1">
        <v>3356</v>
      </c>
      <c r="B1680" s="1" t="s">
        <v>8290</v>
      </c>
      <c r="D1680" s="1" t="s">
        <v>4467</v>
      </c>
      <c r="E1680" s="1" t="s">
        <v>4484</v>
      </c>
      <c r="F1680" s="1" t="s">
        <v>8291</v>
      </c>
      <c r="G1680" s="1" t="s">
        <v>8292</v>
      </c>
    </row>
    <row r="1681" spans="1:7">
      <c r="A1681" s="1">
        <v>3357</v>
      </c>
      <c r="B1681" s="1" t="s">
        <v>8293</v>
      </c>
      <c r="D1681" s="1" t="s">
        <v>4467</v>
      </c>
      <c r="E1681" s="1" t="s">
        <v>4468</v>
      </c>
      <c r="F1681" s="1" t="s">
        <v>8294</v>
      </c>
      <c r="G1681" s="1" t="s">
        <v>8295</v>
      </c>
    </row>
    <row r="1682" spans="1:7">
      <c r="A1682" s="1">
        <v>3358</v>
      </c>
      <c r="B1682" s="1" t="s">
        <v>8296</v>
      </c>
      <c r="D1682" s="1" t="s">
        <v>4467</v>
      </c>
      <c r="E1682" s="1" t="s">
        <v>4472</v>
      </c>
      <c r="F1682" s="1" t="s">
        <v>8297</v>
      </c>
      <c r="G1682" s="1" t="s">
        <v>8298</v>
      </c>
    </row>
    <row r="1683" spans="1:7">
      <c r="A1683" s="1">
        <v>3359</v>
      </c>
      <c r="B1683" s="1" t="s">
        <v>8299</v>
      </c>
      <c r="D1683" s="1" t="s">
        <v>4467</v>
      </c>
      <c r="E1683" s="1" t="s">
        <v>4476</v>
      </c>
      <c r="F1683" s="1" t="s">
        <v>8294</v>
      </c>
      <c r="G1683" s="1" t="s">
        <v>8295</v>
      </c>
    </row>
    <row r="1684" spans="1:7">
      <c r="A1684" s="1">
        <v>3360</v>
      </c>
      <c r="B1684" s="1" t="s">
        <v>8300</v>
      </c>
      <c r="D1684" s="1" t="s">
        <v>4467</v>
      </c>
      <c r="E1684" s="1" t="s">
        <v>4478</v>
      </c>
      <c r="F1684" s="1" t="s">
        <v>8297</v>
      </c>
      <c r="G1684" s="1" t="s">
        <v>8298</v>
      </c>
    </row>
    <row r="1685" spans="1:7">
      <c r="A1685" s="1">
        <v>3368</v>
      </c>
      <c r="B1685" s="1" t="s">
        <v>8301</v>
      </c>
      <c r="D1685" s="1" t="s">
        <v>4467</v>
      </c>
      <c r="E1685" s="1" t="s">
        <v>4492</v>
      </c>
      <c r="F1685" s="1" t="s">
        <v>8302</v>
      </c>
      <c r="G1685" s="1" t="s">
        <v>8303</v>
      </c>
    </row>
    <row r="1686" spans="1:7">
      <c r="A1686" s="1">
        <v>3369</v>
      </c>
      <c r="B1686" s="1" t="s">
        <v>8304</v>
      </c>
      <c r="D1686" s="1" t="s">
        <v>4467</v>
      </c>
      <c r="E1686" s="1" t="s">
        <v>4496</v>
      </c>
      <c r="F1686" s="1" t="s">
        <v>8305</v>
      </c>
      <c r="G1686" s="1" t="s">
        <v>8306</v>
      </c>
    </row>
    <row r="1687" spans="1:7">
      <c r="A1687" s="1">
        <v>3372</v>
      </c>
      <c r="B1687" s="1" t="s">
        <v>8307</v>
      </c>
      <c r="D1687" s="1" t="s">
        <v>4500</v>
      </c>
      <c r="E1687" s="1" t="s">
        <v>4521</v>
      </c>
      <c r="F1687" s="1" t="s">
        <v>8285</v>
      </c>
      <c r="G1687" s="1" t="s">
        <v>8286</v>
      </c>
    </row>
    <row r="1688" spans="1:7">
      <c r="A1688" s="1">
        <v>3373</v>
      </c>
      <c r="B1688" s="1" t="s">
        <v>8308</v>
      </c>
      <c r="D1688" s="1" t="s">
        <v>4500</v>
      </c>
      <c r="E1688" s="1" t="s">
        <v>4513</v>
      </c>
      <c r="F1688" s="1" t="s">
        <v>8288</v>
      </c>
      <c r="G1688" s="1" t="s">
        <v>8289</v>
      </c>
    </row>
    <row r="1689" spans="1:7">
      <c r="A1689" s="1">
        <v>3375</v>
      </c>
      <c r="B1689" s="1" t="s">
        <v>8309</v>
      </c>
      <c r="D1689" s="1" t="s">
        <v>4500</v>
      </c>
      <c r="E1689" s="1" t="s">
        <v>4517</v>
      </c>
      <c r="F1689" s="1" t="s">
        <v>8291</v>
      </c>
      <c r="G1689" s="1" t="s">
        <v>8292</v>
      </c>
    </row>
    <row r="1690" spans="1:7">
      <c r="A1690" s="1">
        <v>3376</v>
      </c>
      <c r="B1690" s="1" t="s">
        <v>8310</v>
      </c>
      <c r="D1690" s="1" t="s">
        <v>4500</v>
      </c>
      <c r="E1690" s="1" t="s">
        <v>4501</v>
      </c>
      <c r="F1690" s="1" t="s">
        <v>8294</v>
      </c>
      <c r="G1690" s="1" t="s">
        <v>8295</v>
      </c>
    </row>
    <row r="1691" spans="1:7">
      <c r="A1691" s="1">
        <v>3377</v>
      </c>
      <c r="B1691" s="1" t="s">
        <v>8311</v>
      </c>
      <c r="D1691" s="1" t="s">
        <v>4500</v>
      </c>
      <c r="E1691" s="1" t="s">
        <v>4505</v>
      </c>
      <c r="F1691" s="1" t="s">
        <v>8297</v>
      </c>
      <c r="G1691" s="1" t="s">
        <v>8298</v>
      </c>
    </row>
    <row r="1692" spans="1:7">
      <c r="A1692" s="1">
        <v>3378</v>
      </c>
      <c r="B1692" s="1" t="s">
        <v>8312</v>
      </c>
      <c r="D1692" s="1" t="s">
        <v>4500</v>
      </c>
      <c r="E1692" s="1" t="s">
        <v>4509</v>
      </c>
      <c r="F1692" s="1" t="s">
        <v>8294</v>
      </c>
      <c r="G1692" s="1" t="s">
        <v>8295</v>
      </c>
    </row>
    <row r="1693" spans="1:7">
      <c r="A1693" s="1">
        <v>3379</v>
      </c>
      <c r="B1693" s="1" t="s">
        <v>8313</v>
      </c>
      <c r="D1693" s="1" t="s">
        <v>4500</v>
      </c>
      <c r="E1693" s="1" t="s">
        <v>4511</v>
      </c>
      <c r="F1693" s="1" t="s">
        <v>8297</v>
      </c>
      <c r="G1693" s="1" t="s">
        <v>8298</v>
      </c>
    </row>
    <row r="1694" spans="1:7">
      <c r="A1694" s="1">
        <v>3387</v>
      </c>
      <c r="B1694" s="1" t="s">
        <v>8314</v>
      </c>
      <c r="D1694" s="1" t="s">
        <v>4500</v>
      </c>
      <c r="E1694" s="1" t="s">
        <v>4525</v>
      </c>
      <c r="F1694" s="1" t="s">
        <v>8302</v>
      </c>
      <c r="G1694" s="1" t="s">
        <v>8303</v>
      </c>
    </row>
    <row r="1695" spans="1:7">
      <c r="A1695" s="1">
        <v>3388</v>
      </c>
      <c r="B1695" s="1" t="s">
        <v>8315</v>
      </c>
      <c r="D1695" s="1" t="s">
        <v>4500</v>
      </c>
      <c r="E1695" s="1" t="s">
        <v>4529</v>
      </c>
      <c r="F1695" s="1" t="s">
        <v>8305</v>
      </c>
      <c r="G1695" s="1" t="s">
        <v>8306</v>
      </c>
    </row>
    <row r="1696" spans="1:7">
      <c r="A1696" s="1">
        <v>3392</v>
      </c>
      <c r="B1696" s="1" t="s">
        <v>8316</v>
      </c>
      <c r="D1696" s="1" t="s">
        <v>4533</v>
      </c>
      <c r="E1696" s="1" t="s">
        <v>4534</v>
      </c>
      <c r="F1696" s="1" t="s">
        <v>8265</v>
      </c>
      <c r="G1696" s="1" t="s">
        <v>8266</v>
      </c>
    </row>
    <row r="1697" spans="1:7">
      <c r="A1697" s="1">
        <v>3393</v>
      </c>
      <c r="B1697" s="1" t="s">
        <v>8317</v>
      </c>
      <c r="D1697" s="1" t="s">
        <v>4533</v>
      </c>
      <c r="E1697" s="1" t="s">
        <v>4538</v>
      </c>
      <c r="F1697" s="1" t="s">
        <v>8268</v>
      </c>
      <c r="G1697" s="1" t="s">
        <v>8269</v>
      </c>
    </row>
    <row r="1698" spans="1:7">
      <c r="A1698" s="1">
        <v>3394</v>
      </c>
      <c r="B1698" s="1" t="s">
        <v>8318</v>
      </c>
      <c r="D1698" s="1" t="s">
        <v>4533</v>
      </c>
      <c r="E1698" s="1" t="s">
        <v>4542</v>
      </c>
      <c r="F1698" s="1" t="s">
        <v>8265</v>
      </c>
      <c r="G1698" s="1" t="s">
        <v>8266</v>
      </c>
    </row>
    <row r="1699" spans="1:7">
      <c r="A1699" s="1">
        <v>3395</v>
      </c>
      <c r="B1699" s="1" t="s">
        <v>8319</v>
      </c>
      <c r="D1699" s="1" t="s">
        <v>4533</v>
      </c>
      <c r="E1699" s="1" t="s">
        <v>4544</v>
      </c>
      <c r="F1699" s="1" t="s">
        <v>8268</v>
      </c>
      <c r="G1699" s="1" t="s">
        <v>8269</v>
      </c>
    </row>
    <row r="1700" spans="1:7">
      <c r="A1700" s="1">
        <v>3401</v>
      </c>
      <c r="B1700" s="1" t="s">
        <v>8320</v>
      </c>
      <c r="D1700" s="1" t="s">
        <v>4546</v>
      </c>
      <c r="E1700" s="1" t="s">
        <v>4551</v>
      </c>
      <c r="F1700" s="1" t="s">
        <v>8276</v>
      </c>
      <c r="G1700" s="1" t="s">
        <v>8277</v>
      </c>
    </row>
    <row r="1701" spans="1:7">
      <c r="A1701" s="1">
        <v>3402</v>
      </c>
      <c r="B1701" s="1" t="s">
        <v>8321</v>
      </c>
      <c r="D1701" s="1" t="s">
        <v>4546</v>
      </c>
      <c r="E1701" s="1" t="s">
        <v>4555</v>
      </c>
      <c r="F1701" s="1" t="s">
        <v>8279</v>
      </c>
      <c r="G1701" s="1" t="s">
        <v>8280</v>
      </c>
    </row>
    <row r="1702" spans="1:7">
      <c r="A1702" s="1">
        <v>3403</v>
      </c>
      <c r="B1702" s="1" t="s">
        <v>8322</v>
      </c>
      <c r="D1702" s="1" t="s">
        <v>4546</v>
      </c>
      <c r="E1702" s="1" t="s">
        <v>4547</v>
      </c>
      <c r="F1702" s="1" t="s">
        <v>8282</v>
      </c>
      <c r="G1702" s="1" t="s">
        <v>8283</v>
      </c>
    </row>
    <row r="1703" spans="1:7">
      <c r="A1703" s="1">
        <v>3404</v>
      </c>
      <c r="B1703" s="1" t="s">
        <v>8323</v>
      </c>
      <c r="D1703" s="1" t="s">
        <v>4559</v>
      </c>
      <c r="E1703" s="1" t="s">
        <v>4560</v>
      </c>
      <c r="F1703" s="1" t="s">
        <v>8273</v>
      </c>
      <c r="G1703" s="1" t="s">
        <v>8274</v>
      </c>
    </row>
    <row r="1704" spans="1:7">
      <c r="A1704" s="1">
        <v>3406</v>
      </c>
      <c r="B1704" s="1" t="s">
        <v>8324</v>
      </c>
      <c r="D1704" s="1" t="s">
        <v>4559</v>
      </c>
      <c r="E1704" s="1" t="s">
        <v>4568</v>
      </c>
      <c r="F1704" s="1" t="s">
        <v>8276</v>
      </c>
      <c r="G1704" s="1" t="s">
        <v>8277</v>
      </c>
    </row>
    <row r="1705" spans="1:7">
      <c r="A1705" s="1">
        <v>3407</v>
      </c>
      <c r="B1705" s="1" t="s">
        <v>8325</v>
      </c>
      <c r="D1705" s="1" t="s">
        <v>4559</v>
      </c>
      <c r="E1705" s="1" t="s">
        <v>4572</v>
      </c>
      <c r="F1705" s="1" t="s">
        <v>8279</v>
      </c>
      <c r="G1705" s="1" t="s">
        <v>8280</v>
      </c>
    </row>
    <row r="1706" spans="1:7">
      <c r="A1706" s="1">
        <v>3408</v>
      </c>
      <c r="B1706" s="1" t="s">
        <v>8326</v>
      </c>
      <c r="D1706" s="1" t="s">
        <v>4559</v>
      </c>
      <c r="E1706" s="1" t="s">
        <v>4564</v>
      </c>
      <c r="F1706" s="1" t="s">
        <v>8282</v>
      </c>
      <c r="G1706" s="1" t="s">
        <v>8283</v>
      </c>
    </row>
    <row r="1707" spans="1:7">
      <c r="A1707" s="1">
        <v>3411</v>
      </c>
      <c r="B1707" s="1" t="s">
        <v>8327</v>
      </c>
      <c r="D1707" s="1" t="s">
        <v>4576</v>
      </c>
      <c r="E1707" s="1" t="s">
        <v>4577</v>
      </c>
      <c r="F1707" s="1" t="s">
        <v>8273</v>
      </c>
      <c r="G1707" s="1" t="s">
        <v>8274</v>
      </c>
    </row>
    <row r="1708" spans="1:7">
      <c r="A1708" s="1">
        <v>3413</v>
      </c>
      <c r="B1708" s="1" t="s">
        <v>8328</v>
      </c>
      <c r="D1708" s="1" t="s">
        <v>4576</v>
      </c>
      <c r="E1708" s="1" t="s">
        <v>4585</v>
      </c>
      <c r="F1708" s="1" t="s">
        <v>8276</v>
      </c>
      <c r="G1708" s="1" t="s">
        <v>8277</v>
      </c>
    </row>
    <row r="1709" spans="1:7">
      <c r="A1709" s="1">
        <v>3414</v>
      </c>
      <c r="B1709" s="1" t="s">
        <v>8329</v>
      </c>
      <c r="D1709" s="1" t="s">
        <v>4576</v>
      </c>
      <c r="E1709" s="1" t="s">
        <v>4589</v>
      </c>
      <c r="F1709" s="1" t="s">
        <v>8279</v>
      </c>
      <c r="G1709" s="1" t="s">
        <v>8280</v>
      </c>
    </row>
    <row r="1710" spans="1:7">
      <c r="A1710" s="1">
        <v>3415</v>
      </c>
      <c r="B1710" s="1" t="s">
        <v>8330</v>
      </c>
      <c r="D1710" s="1" t="s">
        <v>4576</v>
      </c>
      <c r="E1710" s="1" t="s">
        <v>4581</v>
      </c>
      <c r="F1710" s="1" t="s">
        <v>8282</v>
      </c>
      <c r="G1710" s="1" t="s">
        <v>8283</v>
      </c>
    </row>
    <row r="1711" spans="1:7">
      <c r="A1711" s="1">
        <v>3420</v>
      </c>
      <c r="B1711" s="1" t="s">
        <v>8331</v>
      </c>
      <c r="D1711" s="1" t="s">
        <v>4593</v>
      </c>
      <c r="E1711" s="1" t="s">
        <v>4598</v>
      </c>
      <c r="F1711" s="1" t="s">
        <v>8276</v>
      </c>
      <c r="G1711" s="1" t="s">
        <v>8277</v>
      </c>
    </row>
    <row r="1712" spans="1:7">
      <c r="A1712" s="1">
        <v>3421</v>
      </c>
      <c r="B1712" s="1" t="s">
        <v>8332</v>
      </c>
      <c r="D1712" s="1" t="s">
        <v>4593</v>
      </c>
      <c r="E1712" s="1" t="s">
        <v>4602</v>
      </c>
      <c r="F1712" s="1" t="s">
        <v>8279</v>
      </c>
      <c r="G1712" s="1" t="s">
        <v>8280</v>
      </c>
    </row>
    <row r="1713" spans="1:7">
      <c r="A1713" s="1">
        <v>3422</v>
      </c>
      <c r="B1713" s="1" t="s">
        <v>8333</v>
      </c>
      <c r="D1713" s="1" t="s">
        <v>4593</v>
      </c>
      <c r="E1713" s="1" t="s">
        <v>4594</v>
      </c>
      <c r="F1713" s="1" t="s">
        <v>8282</v>
      </c>
      <c r="G1713" s="1" t="s">
        <v>8283</v>
      </c>
    </row>
    <row r="1714" spans="1:7">
      <c r="A1714" s="1">
        <v>3427</v>
      </c>
      <c r="B1714" s="1" t="s">
        <v>8334</v>
      </c>
      <c r="D1714" s="1" t="s">
        <v>4606</v>
      </c>
      <c r="E1714" s="1" t="s">
        <v>4611</v>
      </c>
      <c r="F1714" s="1" t="s">
        <v>8276</v>
      </c>
      <c r="G1714" s="1" t="s">
        <v>8277</v>
      </c>
    </row>
    <row r="1715" spans="1:7">
      <c r="A1715" s="1">
        <v>3428</v>
      </c>
      <c r="B1715" s="1" t="s">
        <v>8335</v>
      </c>
      <c r="D1715" s="1" t="s">
        <v>4606</v>
      </c>
      <c r="E1715" s="1" t="s">
        <v>4615</v>
      </c>
      <c r="F1715" s="1" t="s">
        <v>8279</v>
      </c>
      <c r="G1715" s="1" t="s">
        <v>8280</v>
      </c>
    </row>
    <row r="1716" spans="1:7">
      <c r="A1716" s="1">
        <v>3429</v>
      </c>
      <c r="B1716" s="1" t="s">
        <v>8336</v>
      </c>
      <c r="D1716" s="1" t="s">
        <v>4606</v>
      </c>
      <c r="E1716" s="1" t="s">
        <v>4607</v>
      </c>
      <c r="F1716" s="1" t="s">
        <v>8282</v>
      </c>
      <c r="G1716" s="1" t="s">
        <v>8283</v>
      </c>
    </row>
    <row r="1717" spans="1:7">
      <c r="A1717" s="1">
        <v>3434</v>
      </c>
      <c r="B1717" s="1" t="s">
        <v>8337</v>
      </c>
      <c r="D1717" s="1" t="s">
        <v>4619</v>
      </c>
      <c r="E1717" s="1" t="s">
        <v>4624</v>
      </c>
      <c r="F1717" s="1" t="s">
        <v>8276</v>
      </c>
      <c r="G1717" s="1" t="s">
        <v>8277</v>
      </c>
    </row>
    <row r="1718" spans="1:7">
      <c r="A1718" s="1">
        <v>3435</v>
      </c>
      <c r="B1718" s="1" t="s">
        <v>8338</v>
      </c>
      <c r="D1718" s="1" t="s">
        <v>4619</v>
      </c>
      <c r="E1718" s="1" t="s">
        <v>4628</v>
      </c>
      <c r="F1718" s="1" t="s">
        <v>8279</v>
      </c>
      <c r="G1718" s="1" t="s">
        <v>8280</v>
      </c>
    </row>
    <row r="1719" spans="1:7">
      <c r="A1719" s="1">
        <v>3436</v>
      </c>
      <c r="B1719" s="1" t="s">
        <v>8339</v>
      </c>
      <c r="D1719" s="1" t="s">
        <v>4619</v>
      </c>
      <c r="E1719" s="1" t="s">
        <v>4620</v>
      </c>
      <c r="F1719" s="1" t="s">
        <v>8282</v>
      </c>
      <c r="G1719" s="1" t="s">
        <v>8283</v>
      </c>
    </row>
    <row r="1720" spans="1:7">
      <c r="A1720" s="1">
        <v>3441</v>
      </c>
      <c r="B1720" s="1" t="s">
        <v>8340</v>
      </c>
      <c r="D1720" s="1" t="s">
        <v>4632</v>
      </c>
      <c r="E1720" s="1" t="s">
        <v>4637</v>
      </c>
      <c r="F1720" s="1" t="s">
        <v>8276</v>
      </c>
      <c r="G1720" s="1" t="s">
        <v>8277</v>
      </c>
    </row>
    <row r="1721" spans="1:7">
      <c r="A1721" s="1">
        <v>3442</v>
      </c>
      <c r="B1721" s="1" t="s">
        <v>8341</v>
      </c>
      <c r="D1721" s="1" t="s">
        <v>4632</v>
      </c>
      <c r="E1721" s="1" t="s">
        <v>4641</v>
      </c>
      <c r="F1721" s="1" t="s">
        <v>8279</v>
      </c>
      <c r="G1721" s="1" t="s">
        <v>8280</v>
      </c>
    </row>
    <row r="1722" spans="1:7">
      <c r="A1722" s="1">
        <v>3443</v>
      </c>
      <c r="B1722" s="1" t="s">
        <v>8342</v>
      </c>
      <c r="D1722" s="1" t="s">
        <v>4632</v>
      </c>
      <c r="E1722" s="1" t="s">
        <v>4633</v>
      </c>
      <c r="F1722" s="1" t="s">
        <v>8282</v>
      </c>
      <c r="G1722" s="1" t="s">
        <v>8283</v>
      </c>
    </row>
    <row r="1723" spans="1:7">
      <c r="A1723" s="1">
        <v>3447</v>
      </c>
      <c r="B1723" s="1" t="s">
        <v>8343</v>
      </c>
      <c r="D1723" s="1" t="s">
        <v>4645</v>
      </c>
      <c r="E1723" s="1" t="s">
        <v>4646</v>
      </c>
      <c r="F1723" s="1" t="s">
        <v>8273</v>
      </c>
      <c r="G1723" s="1" t="s">
        <v>8274</v>
      </c>
    </row>
    <row r="1724" spans="1:7">
      <c r="A1724" s="1">
        <v>3449</v>
      </c>
      <c r="B1724" s="1" t="s">
        <v>8344</v>
      </c>
      <c r="D1724" s="1" t="s">
        <v>4645</v>
      </c>
      <c r="E1724" s="1" t="s">
        <v>4654</v>
      </c>
      <c r="F1724" s="1" t="s">
        <v>8276</v>
      </c>
      <c r="G1724" s="1" t="s">
        <v>8277</v>
      </c>
    </row>
    <row r="1725" spans="1:7">
      <c r="A1725" s="1">
        <v>3450</v>
      </c>
      <c r="B1725" s="1" t="s">
        <v>8345</v>
      </c>
      <c r="D1725" s="1" t="s">
        <v>4645</v>
      </c>
      <c r="E1725" s="1" t="s">
        <v>4658</v>
      </c>
      <c r="F1725" s="1" t="s">
        <v>8279</v>
      </c>
      <c r="G1725" s="1" t="s">
        <v>8280</v>
      </c>
    </row>
    <row r="1726" spans="1:7">
      <c r="A1726" s="1">
        <v>3451</v>
      </c>
      <c r="B1726" s="1" t="s">
        <v>8346</v>
      </c>
      <c r="D1726" s="1" t="s">
        <v>4645</v>
      </c>
      <c r="E1726" s="1" t="s">
        <v>4650</v>
      </c>
      <c r="F1726" s="1" t="s">
        <v>8282</v>
      </c>
      <c r="G1726" s="1" t="s">
        <v>8283</v>
      </c>
    </row>
    <row r="1727" spans="1:7">
      <c r="A1727" s="1">
        <v>3457</v>
      </c>
      <c r="B1727" s="1" t="s">
        <v>8347</v>
      </c>
      <c r="D1727" s="1" t="s">
        <v>8348</v>
      </c>
      <c r="E1727" s="1" t="s">
        <v>8349</v>
      </c>
      <c r="F1727" s="1" t="s">
        <v>8350</v>
      </c>
      <c r="G1727" s="1" t="s">
        <v>8351</v>
      </c>
    </row>
    <row r="1728" spans="1:7">
      <c r="A1728" s="1">
        <v>3464</v>
      </c>
      <c r="B1728" s="1" t="s">
        <v>8352</v>
      </c>
      <c r="D1728" s="1" t="s">
        <v>8348</v>
      </c>
      <c r="E1728" s="1" t="s">
        <v>93</v>
      </c>
      <c r="F1728" s="1" t="s">
        <v>8049</v>
      </c>
      <c r="G1728" s="1" t="s">
        <v>8353</v>
      </c>
    </row>
    <row r="1729" spans="1:7">
      <c r="A1729" s="1">
        <v>3468</v>
      </c>
      <c r="B1729" s="1" t="s">
        <v>8354</v>
      </c>
      <c r="D1729" s="1" t="s">
        <v>8355</v>
      </c>
      <c r="E1729" s="1" t="s">
        <v>8356</v>
      </c>
      <c r="F1729" s="1" t="s">
        <v>8049</v>
      </c>
      <c r="G1729" s="1" t="s">
        <v>8353</v>
      </c>
    </row>
    <row r="1730" spans="1:7">
      <c r="A1730" s="1">
        <v>3473</v>
      </c>
      <c r="B1730" s="1" t="s">
        <v>8357</v>
      </c>
      <c r="D1730" s="1" t="s">
        <v>8358</v>
      </c>
      <c r="E1730" s="1" t="s">
        <v>8359</v>
      </c>
      <c r="F1730" s="1" t="s">
        <v>8049</v>
      </c>
      <c r="G1730" s="1" t="s">
        <v>8360</v>
      </c>
    </row>
    <row r="1731" spans="1:7">
      <c r="A1731" s="1">
        <v>3475</v>
      </c>
      <c r="B1731" s="1" t="s">
        <v>8361</v>
      </c>
      <c r="D1731" s="1" t="s">
        <v>4662</v>
      </c>
      <c r="E1731" s="1" t="s">
        <v>4663</v>
      </c>
      <c r="F1731" s="1" t="s">
        <v>4664</v>
      </c>
      <c r="G1731" s="1" t="s">
        <v>4665</v>
      </c>
    </row>
    <row r="1732" spans="1:7">
      <c r="A1732" s="1">
        <v>3477</v>
      </c>
      <c r="B1732" s="1" t="s">
        <v>8362</v>
      </c>
      <c r="D1732" s="1" t="s">
        <v>8363</v>
      </c>
      <c r="E1732" s="1" t="s">
        <v>8364</v>
      </c>
      <c r="F1732" s="1" t="s">
        <v>8365</v>
      </c>
      <c r="G1732" s="1" t="s">
        <v>8366</v>
      </c>
    </row>
    <row r="1733" spans="1:7">
      <c r="A1733" s="1">
        <v>3478</v>
      </c>
      <c r="B1733" s="1" t="s">
        <v>8367</v>
      </c>
      <c r="D1733" s="1" t="s">
        <v>8363</v>
      </c>
      <c r="E1733" s="1" t="s">
        <v>8368</v>
      </c>
      <c r="F1733" s="1" t="s">
        <v>8369</v>
      </c>
      <c r="G1733" s="1" t="s">
        <v>8370</v>
      </c>
    </row>
    <row r="1734" spans="1:7">
      <c r="A1734" s="1">
        <v>3479</v>
      </c>
      <c r="B1734" s="1" t="s">
        <v>8371</v>
      </c>
      <c r="D1734" s="1" t="s">
        <v>8363</v>
      </c>
      <c r="E1734" s="1" t="s">
        <v>8372</v>
      </c>
      <c r="F1734" s="1" t="s">
        <v>8373</v>
      </c>
      <c r="G1734" s="1" t="s">
        <v>8374</v>
      </c>
    </row>
    <row r="1735" spans="1:7">
      <c r="A1735" s="1">
        <v>3480</v>
      </c>
      <c r="B1735" s="1" t="s">
        <v>8375</v>
      </c>
      <c r="D1735" s="1" t="s">
        <v>8363</v>
      </c>
      <c r="E1735" s="1" t="s">
        <v>8376</v>
      </c>
      <c r="F1735" s="1" t="s">
        <v>8377</v>
      </c>
      <c r="G1735" s="1" t="s">
        <v>8378</v>
      </c>
    </row>
  </sheetData>
  <autoFilter ref="A1:S172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BS2"/>
  <sheetViews>
    <sheetView tabSelected="1" topLeftCell="B1" workbookViewId="0">
      <pane ySplit="1" topLeftCell="A1712" activePane="bottomLeft" state="frozen"/>
      <selection/>
      <selection pane="bottomLeft" activeCell="C1721" sqref="C1721"/>
    </sheetView>
  </sheetViews>
  <sheetFormatPr defaultColWidth="9" defaultRowHeight="13.5" outlineLevelRow="1"/>
  <cols>
    <col min="1" max="1" width="38.25" style="1" customWidth="1"/>
    <col min="2" max="2" width="46.3833333333333" style="1" customWidth="1"/>
    <col min="3" max="3" width="20.8833333333333" style="1" customWidth="1"/>
    <col min="4" max="16384" width="9" style="1"/>
  </cols>
  <sheetData>
    <row r="1" spans="1:71">
      <c r="A1" s="1" t="s">
        <v>5</v>
      </c>
      <c r="F1" s="4">
        <v>1</v>
      </c>
      <c r="G1" s="5"/>
      <c r="H1" s="5"/>
      <c r="I1" s="5"/>
      <c r="J1" s="5"/>
      <c r="K1" s="5"/>
      <c r="L1" s="5"/>
      <c r="M1" s="5"/>
      <c r="N1" s="5"/>
      <c r="O1" s="5"/>
      <c r="P1" s="4">
        <v>2</v>
      </c>
      <c r="Q1" s="5"/>
      <c r="R1" s="5"/>
      <c r="S1" s="5"/>
      <c r="T1" s="5"/>
      <c r="U1" s="5"/>
      <c r="V1" s="5"/>
      <c r="W1" s="5"/>
      <c r="X1" s="5"/>
      <c r="Y1" s="5"/>
      <c r="Z1" s="4">
        <v>3</v>
      </c>
      <c r="AA1" s="5"/>
      <c r="AB1" s="5"/>
      <c r="AC1" s="5"/>
      <c r="AD1" s="5"/>
      <c r="AE1" s="5"/>
      <c r="AF1" s="5"/>
      <c r="AG1" s="5"/>
      <c r="AH1" s="5"/>
      <c r="AI1" s="5"/>
      <c r="AJ1" s="4">
        <v>4</v>
      </c>
      <c r="AK1" s="5"/>
      <c r="AL1" s="5"/>
      <c r="AM1" s="5"/>
      <c r="AN1" s="5"/>
      <c r="AO1" s="5"/>
      <c r="AP1" s="5"/>
      <c r="AQ1" s="5"/>
      <c r="AR1" s="5"/>
      <c r="AS1" s="4">
        <v>5</v>
      </c>
      <c r="AT1" s="5"/>
      <c r="AU1" s="5"/>
      <c r="AV1" s="5"/>
      <c r="AW1" s="5"/>
      <c r="AX1" s="5"/>
      <c r="AY1" s="5"/>
      <c r="AZ1" s="5"/>
      <c r="BA1" s="5"/>
      <c r="BB1" s="4">
        <v>6</v>
      </c>
      <c r="BC1" s="5"/>
      <c r="BD1" s="5"/>
      <c r="BE1" s="5"/>
      <c r="BF1" s="5"/>
      <c r="BG1" s="5"/>
      <c r="BH1" s="5"/>
      <c r="BI1" s="5"/>
      <c r="BJ1" s="5"/>
      <c r="BK1" s="4">
        <v>7</v>
      </c>
      <c r="BL1" s="5"/>
      <c r="BM1" s="5"/>
      <c r="BN1" s="5"/>
      <c r="BO1" s="5"/>
      <c r="BP1" s="5"/>
      <c r="BQ1" s="5"/>
      <c r="BR1" s="5"/>
      <c r="BS1" s="4"/>
    </row>
    <row r="2" spans="1:71">
      <c r="A2" s="1" t="s">
        <v>4669</v>
      </c>
      <c r="B2" s="1" t="s">
        <v>8379</v>
      </c>
      <c r="C2" s="6" t="str">
        <f>IFERROR(INDEX('6.0.35'!G:G,MATCH(A2,'6.0.35'!F:F,0)),IFERROR(INDEX('7.0.17'!G:G,MATCH(A2,'7.0.17'!F:F,0)),""))</f>
        <v>AIX: FS [{#FSNAME}]: 索引节点不足(空闲 &lt; {$VFS.FS.INODE.PFREE.MIN.WARN: "{#FSNAME}"}%)</v>
      </c>
      <c r="D2" s="1">
        <f>IF(C2=B2,1,0)</f>
        <v>0</v>
      </c>
      <c r="E2" s="7">
        <f>(LEN(A2)-LEN(SUBSTITUTE(A2,"{","")))/LEN("{")</f>
        <v>3</v>
      </c>
      <c r="F2" s="7" t="e">
        <f>REPLACE(B2,H2,I2-H2+1,N2)</f>
        <v>#VALUE!</v>
      </c>
      <c r="G2" s="7"/>
      <c r="H2" s="7" t="e">
        <f>FIND("{",B2,1)</f>
        <v>#VALUE!</v>
      </c>
      <c r="I2" s="7" t="e">
        <f>FIND("}",B2,H2+1)</f>
        <v>#VALUE!</v>
      </c>
      <c r="J2" s="7" t="e">
        <f>MID(B2,H2,I2-H2+1)</f>
        <v>#VALUE!</v>
      </c>
      <c r="K2" s="7"/>
      <c r="L2" s="7">
        <f>FIND("{",A2,1)</f>
        <v>10</v>
      </c>
      <c r="M2" s="7">
        <f>FIND("}",A2,L2+1)</f>
        <v>18</v>
      </c>
      <c r="N2" s="7" t="str">
        <f>MID(A2,L2,M2-L2+1)</f>
        <v>{#FSNAME}</v>
      </c>
      <c r="O2" s="7"/>
      <c r="P2" s="7" t="e">
        <f>REPLACE($B2,R2,S2-R2+1,X2)</f>
        <v>#VALUE!</v>
      </c>
      <c r="Q2" s="7"/>
      <c r="R2" s="7" t="e">
        <f>FIND("{",$B2,I2+1)</f>
        <v>#VALUE!</v>
      </c>
      <c r="S2" s="7" t="e">
        <f>FIND("}",$B2,R2+1)</f>
        <v>#VALUE!</v>
      </c>
      <c r="T2" s="7" t="e">
        <f>MID($B2,R2,S2-R2+1)</f>
        <v>#VALUE!</v>
      </c>
      <c r="U2" s="7"/>
      <c r="V2" s="7">
        <f>FIND("{",$A2,M2+1)</f>
        <v>57</v>
      </c>
      <c r="W2" s="7">
        <f>FIND("}",$A2,V2+1)</f>
        <v>96</v>
      </c>
      <c r="X2" s="7" t="str">
        <f>MID($A2,V2,W2-V2+1)</f>
        <v>{$VFS.FS.INODE.PFREE.MIN.WARN:"{#FSNAME}</v>
      </c>
      <c r="Y2" s="7"/>
      <c r="Z2" s="7" t="e">
        <f>REPLACE($B2,AB2,AC2-AB2+1,AH2)</f>
        <v>#VALUE!</v>
      </c>
      <c r="AA2" s="7"/>
      <c r="AB2" s="7" t="e">
        <f>FIND("{",$B2,S2+1)</f>
        <v>#VALUE!</v>
      </c>
      <c r="AC2" s="7" t="e">
        <f>FIND("}",$B2,AB2+1)</f>
        <v>#VALUE!</v>
      </c>
      <c r="AD2" s="7" t="e">
        <f>MID($B2,AB2,AC2-AB2+1)</f>
        <v>#VALUE!</v>
      </c>
      <c r="AE2" s="7"/>
      <c r="AF2" s="7" t="e">
        <f>FIND("{",$A2,W2+1)</f>
        <v>#VALUE!</v>
      </c>
      <c r="AG2" s="7" t="e">
        <f>FIND("}",$A2,AF2+1)</f>
        <v>#VALUE!</v>
      </c>
      <c r="AH2" s="7" t="e">
        <f>MID($A2,AF2,AG2-AF2+1)</f>
        <v>#VALUE!</v>
      </c>
      <c r="AI2" s="7"/>
      <c r="AJ2" s="7" t="e">
        <f>REPLACE($B2,AL2,AM2-AL2+1,AR2)</f>
        <v>#VALUE!</v>
      </c>
      <c r="AK2" s="7"/>
      <c r="AL2" s="7" t="e">
        <f>FIND("{",$B2,AC2+1)</f>
        <v>#VALUE!</v>
      </c>
      <c r="AM2" s="7" t="e">
        <f>FIND("}",$B2,AL2+1)</f>
        <v>#VALUE!</v>
      </c>
      <c r="AN2" s="7" t="e">
        <f>MID($B2,AL2,AM2-AL2+1)</f>
        <v>#VALUE!</v>
      </c>
      <c r="AO2" s="7"/>
      <c r="AP2" s="7" t="e">
        <f>FIND("{",$A2,AG2+1)</f>
        <v>#VALUE!</v>
      </c>
      <c r="AQ2" s="7" t="e">
        <f>FIND("}",$A2,AP2+1)</f>
        <v>#VALUE!</v>
      </c>
      <c r="AR2" s="7" t="e">
        <f>MID($A2,AP2,AQ2-AP2+1)</f>
        <v>#VALUE!</v>
      </c>
      <c r="AS2" s="7" t="e">
        <f>REPLACE($B2,AU2,AV2-AU2+1,BA2)</f>
        <v>#VALUE!</v>
      </c>
      <c r="AT2" s="7"/>
      <c r="AU2" s="7" t="e">
        <f>FIND("{",$B2,AM2+1)</f>
        <v>#VALUE!</v>
      </c>
      <c r="AV2" s="7" t="e">
        <f>FIND("}",$B2,AU2+1)</f>
        <v>#VALUE!</v>
      </c>
      <c r="AW2" s="7" t="e">
        <f>MID($B2,AU2,AV2-AU2+1)</f>
        <v>#VALUE!</v>
      </c>
      <c r="AX2" s="7"/>
      <c r="AY2" s="7" t="e">
        <f>FIND("{",$A2,AQ2+1)</f>
        <v>#VALUE!</v>
      </c>
      <c r="AZ2" s="7" t="e">
        <f>FIND("}",$A2,AY2+1)</f>
        <v>#VALUE!</v>
      </c>
      <c r="BA2" s="7" t="e">
        <f>MID($A2,AY2,AZ2-AY2+1)</f>
        <v>#VALUE!</v>
      </c>
      <c r="BB2" s="7" t="e">
        <f>REPLACE($B2,BD2,BE2-BD2+1,BJ2)</f>
        <v>#VALUE!</v>
      </c>
      <c r="BC2" s="7"/>
      <c r="BD2" s="7" t="e">
        <f>FIND("{",$B2,AV2+1)</f>
        <v>#VALUE!</v>
      </c>
      <c r="BE2" s="7" t="e">
        <f>FIND("}",$B2,BD2+1)</f>
        <v>#VALUE!</v>
      </c>
      <c r="BF2" s="7" t="e">
        <f>MID($B2,BD2,BE2-BD2+1)</f>
        <v>#VALUE!</v>
      </c>
      <c r="BG2" s="7"/>
      <c r="BH2" s="7" t="e">
        <f>FIND("{",$A2,AZ2+1)</f>
        <v>#VALUE!</v>
      </c>
      <c r="BI2" s="7" t="e">
        <f>FIND("}",$A2,BH2+1)</f>
        <v>#VALUE!</v>
      </c>
      <c r="BJ2" s="7" t="e">
        <f>MID($A2,BH2,BI2-BH2+1)</f>
        <v>#VALUE!</v>
      </c>
      <c r="BK2" s="7" t="e">
        <f>REPLACE($B2,BM2,BN2-BM2+1,BS2)</f>
        <v>#VALUE!</v>
      </c>
      <c r="BL2" s="7"/>
      <c r="BM2" s="7" t="e">
        <f>FIND("{",$B2,BE2+1)</f>
        <v>#VALUE!</v>
      </c>
      <c r="BN2" s="7" t="e">
        <f>FIND("}",$B2,BM2+1)</f>
        <v>#VALUE!</v>
      </c>
      <c r="BO2" s="7" t="e">
        <f>MID($B2,BM2,BN2-BM2+1)</f>
        <v>#VALUE!</v>
      </c>
      <c r="BP2" s="7"/>
      <c r="BQ2" s="7" t="e">
        <f>FIND("{",$A2,BI2+1)</f>
        <v>#VALUE!</v>
      </c>
      <c r="BR2" s="7" t="e">
        <f>FIND("}",$A2,BQ2+1)</f>
        <v>#VALUE!</v>
      </c>
      <c r="BS2" s="7" t="e">
        <f>MID($A2,BQ2,BR2-BQ2+1)</f>
        <v>#VALUE!</v>
      </c>
    </row>
  </sheetData>
  <autoFilter ref="A1:BS2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I1645"/>
  <sheetViews>
    <sheetView topLeftCell="B1" workbookViewId="0">
      <selection activeCell="B2" sqref="B2:B21"/>
    </sheetView>
  </sheetViews>
  <sheetFormatPr defaultColWidth="9" defaultRowHeight="13.5"/>
  <cols>
    <col min="1" max="1" width="51.75" customWidth="1"/>
    <col min="2" max="2" width="46" customWidth="1"/>
  </cols>
  <sheetData>
    <row r="1" spans="1:8">
      <c r="A1" t="s">
        <v>5</v>
      </c>
      <c r="B1" t="s">
        <v>8380</v>
      </c>
      <c r="C1" s="2" t="s">
        <v>8380</v>
      </c>
      <c r="D1" t="s">
        <v>8380</v>
      </c>
      <c r="H1" t="s">
        <v>8380</v>
      </c>
    </row>
    <row r="2" spans="1:9">
      <c r="A2" t="s">
        <v>8381</v>
      </c>
      <c r="B2" t="s">
        <v>8382</v>
      </c>
      <c r="C2" s="2" t="s">
        <v>8383</v>
      </c>
      <c r="D2" t="s">
        <v>8384</v>
      </c>
      <c r="G2" t="str">
        <f>B2&amp;":"&amp;C2&amp;":"&amp;D2</f>
        <v>戴尔R660：[{#DISK_NAME}]已更换（已收到新序列号）: Running out of free inodes (free &lt; {$VFS.FS.INODE.PFREE.MIN.WARN:{#FSNAME}}%)</v>
      </c>
      <c r="H2" t="e">
        <f>INDEX('7.0.17'!G:G,MATCH(G2,'7.0.17'!F:F,0))</f>
        <v>#N/A</v>
      </c>
      <c r="I2" t="e">
        <f>A2&amp;": "&amp;H2</f>
        <v>#N/A</v>
      </c>
    </row>
    <row r="3" spans="1:9">
      <c r="A3" t="s">
        <v>8381</v>
      </c>
      <c r="B3" t="s">
        <v>8382</v>
      </c>
      <c r="C3" s="2" t="s">
        <v>8385</v>
      </c>
      <c r="D3" t="s">
        <v>8384</v>
      </c>
      <c r="G3" t="str">
        <f>B3&amp;":"&amp;C3&amp;":"&amp;D3</f>
        <v>戴尔R660：[{#DISK_NAME}]已更换（已收到新序列号）: Running out of free inodes (free &lt; {$VFS.FS.INODE.PFREE.MIN.CRIT:{#FSNAME}}%)</v>
      </c>
      <c r="H3" t="e">
        <f>INDEX('7.0.17'!G:G,MATCH(G3,'7.0.17'!F:F,0))</f>
        <v>#N/A</v>
      </c>
      <c r="I3" t="e">
        <f t="shared" ref="I3:I66" si="0">A3&amp;": "&amp;H3</f>
        <v>#N/A</v>
      </c>
    </row>
    <row r="4" spans="1:9">
      <c r="A4" t="s">
        <v>8381</v>
      </c>
      <c r="B4" t="s">
        <v>8386</v>
      </c>
      <c r="C4" s="2" t="s">
        <v>8387</v>
      </c>
      <c r="D4" t="s">
        <v>8388</v>
      </c>
      <c r="G4" t="str">
        <f>B4&amp;":"&amp;C4&amp;":"&amp;D4</f>
        <v>戴尔R720：[{#DISK_NAME}]已更换（已收到新序列号）: Space is low (used &gt; {$VFS.FS.PUSED.MAX.WARN:{#FSNAME}}%, total {{?last(//vfs.fs.dependent.size[{#FSNAME},total])/1024/1024/1024}.fmtnum(1)}GB)</v>
      </c>
      <c r="H4" t="e">
        <f>INDEX('7.0.17'!G:G,MATCH(G4,'7.0.17'!F:F,0))</f>
        <v>#N/A</v>
      </c>
      <c r="I4" t="e">
        <f t="shared" si="0"/>
        <v>#N/A</v>
      </c>
    </row>
    <row r="5" spans="1:9">
      <c r="A5" t="s">
        <v>8381</v>
      </c>
      <c r="B5" t="s">
        <v>8386</v>
      </c>
      <c r="C5" s="2" t="s">
        <v>8389</v>
      </c>
      <c r="D5" t="s">
        <v>8388</v>
      </c>
      <c r="G5" t="str">
        <f>B5&amp;":"&amp;C5&amp;":"&amp;D5</f>
        <v>戴尔R720：[{#DISK_NAME}]已更换（已收到新序列号）: Space is critically low (used &gt; {$VFS.FS.PUSED.MAX.CRIT:{#FSNAME}}%, total {{?last(//vfs.fs.dependent.size[{#FSNAME},total])/1024/1024/1024}.fmtnum(1)}GB)</v>
      </c>
      <c r="H5" t="e">
        <f>INDEX('7.0.17'!G:G,MATCH(G5,'7.0.17'!F:F,0))</f>
        <v>#N/A</v>
      </c>
      <c r="I5" t="e">
        <f t="shared" si="0"/>
        <v>#N/A</v>
      </c>
    </row>
    <row r="6" spans="1:9">
      <c r="A6" t="s">
        <v>8390</v>
      </c>
      <c r="B6" t="s">
        <v>8391</v>
      </c>
      <c r="C6" s="2" t="s">
        <v>8392</v>
      </c>
      <c r="G6" t="str">
        <f t="shared" ref="G6:G38" si="1">B6&amp;":"&amp;C6</f>
        <v>戴尔R740：[{#DISK_NAME}]已更换（已收到新序列号）: Battery has high temperature (over {$BATTERY.TEMP.MAX.WARN}℃ for {$TIME.PERIOD})</v>
      </c>
      <c r="H6" t="e">
        <f>INDEX('7.0.17'!G:G,MATCH(G6,'7.0.17'!F:F,0))</f>
        <v>#N/A</v>
      </c>
      <c r="I6" t="e">
        <f t="shared" si="0"/>
        <v>#N/A</v>
      </c>
    </row>
    <row r="7" spans="1:9">
      <c r="A7" t="s">
        <v>8390</v>
      </c>
      <c r="B7" t="s">
        <v>8391</v>
      </c>
      <c r="C7" s="2" t="s">
        <v>8393</v>
      </c>
      <c r="G7" t="str">
        <f t="shared" si="1"/>
        <v>戴尔R740：[{#DISK_NAME}]已更换（已收到新序列号）: Unacceptable phase {#PHASEINDEX} input voltage (out of range {$UPS.INPUT_VOLT.MIN.WARN}-{$UPS.INPUT_VOLT.MAX.WARN}V for {$TIME.PERIOD})</v>
      </c>
      <c r="H7" t="e">
        <f>INDEX('7.0.17'!G:G,MATCH(G7,'7.0.17'!F:F,0))</f>
        <v>#N/A</v>
      </c>
      <c r="I7" t="e">
        <f t="shared" si="0"/>
        <v>#N/A</v>
      </c>
    </row>
    <row r="8" spans="1:9">
      <c r="A8" t="s">
        <v>8390</v>
      </c>
      <c r="B8" t="s">
        <v>8394</v>
      </c>
      <c r="C8" s="2" t="s">
        <v>8395</v>
      </c>
      <c r="G8" t="str">
        <f t="shared" si="1"/>
        <v>戴尔R750：[{#DISK_NAME}]已更换（已收到新序列号）: Unacceptable phase {#PHASEINDEX} output voltage (out of range {$UPS.INPUT_VOLT.MIN.WARN}-{$UPS.INPUT_VOLT.MAX.WARN}V for {$TIME.PERIOD})</v>
      </c>
      <c r="H8" t="e">
        <f>INDEX('7.0.17'!G:G,MATCH(G8,'7.0.17'!F:F,0))</f>
        <v>#N/A</v>
      </c>
      <c r="I8" t="e">
        <f t="shared" si="0"/>
        <v>#N/A</v>
      </c>
    </row>
    <row r="9" spans="1:9">
      <c r="A9" t="s">
        <v>8390</v>
      </c>
      <c r="B9" t="s">
        <v>8394</v>
      </c>
      <c r="C9" s="2" t="s">
        <v>8392</v>
      </c>
      <c r="G9" t="str">
        <f t="shared" si="1"/>
        <v>戴尔R750：[{#DISK_NAME}]已更换（已收到新序列号）: Battery has high temperature (over {$BATTERY.TEMP.MAX.WARN}℃ for {$TIME.PERIOD})</v>
      </c>
      <c r="H9" t="e">
        <f>INDEX('7.0.17'!G:G,MATCH(G9,'7.0.17'!F:F,0))</f>
        <v>#N/A</v>
      </c>
      <c r="I9" t="e">
        <f t="shared" si="0"/>
        <v>#N/A</v>
      </c>
    </row>
    <row r="10" spans="1:9">
      <c r="A10" t="s">
        <v>8390</v>
      </c>
      <c r="B10" t="s">
        <v>8396</v>
      </c>
      <c r="C10" s="2" t="s">
        <v>8393</v>
      </c>
      <c r="G10" t="str">
        <f t="shared" si="1"/>
        <v>戴尔R820：[{#DISK_NAME}]已更换（已收到新序列号）: Unacceptable phase {#PHASEINDEX} input voltage (out of range {$UPS.INPUT_VOLT.MIN.WARN}-{$UPS.INPUT_VOLT.MAX.WARN}V for {$TIME.PERIOD})</v>
      </c>
      <c r="H10" t="e">
        <f>INDEX('7.0.17'!G:G,MATCH(G10,'7.0.17'!F:F,0))</f>
        <v>#N/A</v>
      </c>
      <c r="I10" t="e">
        <f t="shared" si="0"/>
        <v>#N/A</v>
      </c>
    </row>
    <row r="11" spans="1:9">
      <c r="A11" t="s">
        <v>8390</v>
      </c>
      <c r="B11" t="s">
        <v>8396</v>
      </c>
      <c r="C11" t="s">
        <v>8395</v>
      </c>
      <c r="G11" t="str">
        <f t="shared" si="1"/>
        <v>戴尔R820：[{#DISK_NAME}]已更换（已收到新序列号）: Unacceptable phase {#PHASEINDEX} output voltage (out of range {$UPS.INPUT_VOLT.MIN.WARN}-{$UPS.INPUT_VOLT.MAX.WARN}V for {$TIME.PERIOD})</v>
      </c>
      <c r="H11" t="e">
        <f>INDEX('7.0.17'!G:G,MATCH(G11,'7.0.17'!F:F,0))</f>
        <v>#N/A</v>
      </c>
      <c r="I11" t="e">
        <f t="shared" si="0"/>
        <v>#N/A</v>
      </c>
    </row>
    <row r="12" spans="1:9">
      <c r="A12" t="s">
        <v>8390</v>
      </c>
      <c r="B12" t="s">
        <v>8397</v>
      </c>
      <c r="C12" t="s">
        <v>8392</v>
      </c>
      <c r="G12" t="str">
        <f t="shared" si="1"/>
        <v>戴尔R840：[{#DISK_NAME}]已更换（已收到新序列号）: Battery has high temperature (over {$BATTERY.TEMP.MAX.WARN}℃ for {$TIME.PERIOD})</v>
      </c>
      <c r="H12" t="e">
        <f>INDEX('7.0.17'!G:G,MATCH(G12,'7.0.17'!F:F,0))</f>
        <v>#N/A</v>
      </c>
      <c r="I12" t="e">
        <f t="shared" si="0"/>
        <v>#N/A</v>
      </c>
    </row>
    <row r="13" spans="1:9">
      <c r="A13" t="s">
        <v>8390</v>
      </c>
      <c r="B13" t="s">
        <v>8397</v>
      </c>
      <c r="C13" t="s">
        <v>8393</v>
      </c>
      <c r="G13" t="str">
        <f t="shared" si="1"/>
        <v>戴尔R840：[{#DISK_NAME}]已更换（已收到新序列号）: Unacceptable phase {#PHASEINDEX} input voltage (out of range {$UPS.INPUT_VOLT.MIN.WARN}-{$UPS.INPUT_VOLT.MAX.WARN}V for {$TIME.PERIOD})</v>
      </c>
      <c r="H13" t="e">
        <f>INDEX('7.0.17'!G:G,MATCH(G13,'7.0.17'!F:F,0))</f>
        <v>#N/A</v>
      </c>
      <c r="I13" t="e">
        <f t="shared" si="0"/>
        <v>#N/A</v>
      </c>
    </row>
    <row r="14" spans="1:9">
      <c r="A14" t="s">
        <v>8390</v>
      </c>
      <c r="B14" t="s">
        <v>8398</v>
      </c>
      <c r="C14" t="s">
        <v>8395</v>
      </c>
      <c r="G14" t="str">
        <f t="shared" si="1"/>
        <v>戴尔远程管理控制器（iDRAC）：[{#DISK_NAME}]已更换（已收到新序列号）: Unacceptable phase {#PHASEINDEX} output voltage (out of range {$UPS.INPUT_VOLT.MIN.WARN}-{$UPS.INPUT_VOLT.MAX.WARN}V for {$TIME.PERIOD})</v>
      </c>
      <c r="H14" t="e">
        <f>INDEX('7.0.17'!G:G,MATCH(G14,'7.0.17'!F:F,0))</f>
        <v>#N/A</v>
      </c>
      <c r="I14" t="e">
        <f t="shared" si="0"/>
        <v>#N/A</v>
      </c>
    </row>
    <row r="15" spans="1:9">
      <c r="A15" t="s">
        <v>8390</v>
      </c>
      <c r="B15" t="s">
        <v>8399</v>
      </c>
      <c r="C15" t="s">
        <v>8392</v>
      </c>
      <c r="G15" t="str">
        <f t="shared" si="1"/>
        <v>PA-440：设备证书：即将过期（距离过期时间少于{$PAN.PA440.CERT.DEVICE.EXPIRY.WARN} ）: Battery has high temperature (over {$BATTERY.TEMP.MAX.WARN}℃ for {$TIME.PERIOD})</v>
      </c>
      <c r="H15" t="e">
        <f>INDEX('7.0.17'!G:G,MATCH(G15,'7.0.17'!F:F,0))</f>
        <v>#N/A</v>
      </c>
      <c r="I15" t="e">
        <f t="shared" si="0"/>
        <v>#N/A</v>
      </c>
    </row>
    <row r="16" spans="1:9">
      <c r="A16" t="s">
        <v>8390</v>
      </c>
      <c r="B16" t="s">
        <v>8400</v>
      </c>
      <c r="C16" t="s">
        <v>8393</v>
      </c>
      <c r="G16" t="str">
        <f t="shared" si="1"/>
        <v>PA-440：证书[{#CERTNAME}]：即将过期（距离过期时间少于{$PAN.PA440.CERT.EXPIRY.WARN} ）: Unacceptable phase {#PHASEINDEX} input voltage (out of range {$UPS.INPUT_VOLT.MIN.WARN}-{$UPS.INPUT_VOLT.MAX.WARN}V for {$TIME.PERIOD})</v>
      </c>
      <c r="H16" t="e">
        <f>INDEX('7.0.17'!G:G,MATCH(G16,'7.0.17'!F:F,0))</f>
        <v>#N/A</v>
      </c>
      <c r="I16" t="e">
        <f t="shared" si="0"/>
        <v>#N/A</v>
      </c>
    </row>
    <row r="17" spans="1:9">
      <c r="A17" t="s">
        <v>8390</v>
      </c>
      <c r="B17" t="s">
        <v>8401</v>
      </c>
      <c r="C17" t="s">
        <v>8395</v>
      </c>
      <c r="G17" t="str">
        <f t="shared" si="1"/>
        <v>PA-440：高可用性（HA）状态已更改为“{ITEM.VALUE}”: Unacceptable phase {#PHASEINDEX} output voltage (out of range {$UPS.INPUT_VOLT.MIN.WARN}-{$UPS.INPUT_VOLT.MAX.WARN}V for {$TIME.PERIOD})</v>
      </c>
      <c r="H17" t="e">
        <f>INDEX('7.0.17'!G:G,MATCH(G17,'7.0.17'!F:F,0))</f>
        <v>#N/A</v>
      </c>
      <c r="I17" t="e">
        <f t="shared" si="0"/>
        <v>#N/A</v>
      </c>
    </row>
    <row r="18" spans="1:9">
      <c r="A18" t="s">
        <v>8390</v>
      </c>
      <c r="B18" t="s">
        <v>8402</v>
      </c>
      <c r="C18" t="s">
        <v>8392</v>
      </c>
      <c r="G18" t="str">
        <f t="shared" si="1"/>
        <v>PA-440：接口[{#IFNAME}]：带宽使用率高（大于{$PAN.PA440.IF.HW.UTIL.MAX:"{#IFNAME}"}%）: Battery has high temperature (over {$BATTERY.TEMP.MAX.WARN}℃ for {$TIME.PERIOD})</v>
      </c>
      <c r="H18" t="e">
        <f>INDEX('7.0.17'!G:G,MATCH(G18,'7.0.17'!F:F,0))</f>
        <v>#N/A</v>
      </c>
      <c r="I18" t="e">
        <f t="shared" si="0"/>
        <v>#N/A</v>
      </c>
    </row>
    <row r="19" spans="1:9">
      <c r="A19" t="s">
        <v>8390</v>
      </c>
      <c r="B19" t="s">
        <v>8403</v>
      </c>
      <c r="C19" t="s">
        <v>8393</v>
      </c>
      <c r="G19" t="str">
        <f t="shared" si="1"/>
        <v>PA-440：接口[{#IFNAME}]：错误率高（在5分钟内大于{$PAN.PA440.IF.HW.ERRORS.WARN:"{#IFNAME}"} ）: Unacceptable phase {#PHASEINDEX} input voltage (out of range {$UPS.INPUT_VOLT.MIN.WARN}-{$UPS.INPUT_VOLT.MAX.WARN}V for {$TIME.PERIOD})</v>
      </c>
      <c r="H19" t="e">
        <f>INDEX('7.0.17'!G:G,MATCH(G19,'7.0.17'!F:F,0))</f>
        <v>#N/A</v>
      </c>
      <c r="I19" t="e">
        <f t="shared" si="0"/>
        <v>#N/A</v>
      </c>
    </row>
    <row r="20" spans="1:9">
      <c r="A20" t="s">
        <v>8390</v>
      </c>
      <c r="B20" t="s">
        <v>8404</v>
      </c>
      <c r="C20" t="s">
        <v>8395</v>
      </c>
      <c r="G20" t="str">
        <f t="shared" si="1"/>
        <v>PA-440：虚拟系统（VSYS）[{#VSYS}]：接口[{#IFNAME}]：错误率高（在5分钟内大于{$PAN.PA440.IF.SW.ERRORS.WARN:"{#IFNAME}"} ）: Unacceptable phase {#PHASEINDEX} output voltage (out of range {$UPS.INPUT_VOLT.MIN.WARN}-{$UPS.INPUT_VOLT.MAX.WARN}V for {$TIME.PERIOD})</v>
      </c>
      <c r="H20" t="e">
        <f>INDEX('7.0.17'!G:G,MATCH(G20,'7.0.17'!F:F,0))</f>
        <v>#N/A</v>
      </c>
      <c r="I20" t="e">
        <f t="shared" si="0"/>
        <v>#N/A</v>
      </c>
    </row>
    <row r="21" spans="1:9">
      <c r="A21" t="s">
        <v>8390</v>
      </c>
      <c r="B21" t="s">
        <v>8405</v>
      </c>
      <c r="C21" t="s">
        <v>8392</v>
      </c>
      <c r="G21" t="str">
        <f t="shared" si="1"/>
        <v>PA-440：许可证[{#FEATURE}]：即将过期（距离过期时间少于{$PAN.PA440.LICENSE.EXPIRY.WARN:"{#FEATURE}"} ） : Battery has high temperature (over {$BATTERY.TEMP.MAX.WARN}℃ for {$TIME.PERIOD})</v>
      </c>
      <c r="H21" t="e">
        <f>INDEX('7.0.17'!G:G,MATCH(G21,'7.0.17'!F:F,0))</f>
        <v>#N/A</v>
      </c>
      <c r="I21" t="e">
        <f t="shared" si="0"/>
        <v>#N/A</v>
      </c>
    </row>
    <row r="22" spans="1:9">
      <c r="A22" t="s">
        <v>8390</v>
      </c>
      <c r="B22" t="s">
        <v>8406</v>
      </c>
      <c r="C22" t="s">
        <v>8393</v>
      </c>
      <c r="G22" t="str">
        <f t="shared" si="1"/>
        <v>{#PHASEINDEX}: Unacceptable phase {#PHASEINDEX} input voltage (out of range {$UPS.INPUT_VOLT.MIN.WARN}-{$UPS.INPUT_VOLT.MAX.WARN}V for {$TIME.PERIOD})</v>
      </c>
      <c r="H22" t="e">
        <f>INDEX('7.0.17'!G:G,MATCH(G22,'7.0.17'!F:F,0))</f>
        <v>#N/A</v>
      </c>
      <c r="I22" t="e">
        <f t="shared" si="0"/>
        <v>#N/A</v>
      </c>
    </row>
    <row r="23" spans="1:9">
      <c r="A23" t="s">
        <v>8390</v>
      </c>
      <c r="B23" t="s">
        <v>8406</v>
      </c>
      <c r="C23" t="s">
        <v>8395</v>
      </c>
      <c r="G23" t="str">
        <f t="shared" si="1"/>
        <v>{#PHASEINDEX}: Unacceptable phase {#PHASEINDEX} output voltage (out of range {$UPS.INPUT_VOLT.MIN.WARN}-{$UPS.INPUT_VOLT.MAX.WARN}V for {$TIME.PERIOD})</v>
      </c>
      <c r="H23" t="e">
        <f>INDEX('7.0.17'!G:G,MATCH(G23,'7.0.17'!F:F,0))</f>
        <v>#N/A</v>
      </c>
      <c r="I23" t="e">
        <f t="shared" si="0"/>
        <v>#N/A</v>
      </c>
    </row>
    <row r="24" spans="1:9">
      <c r="A24" t="s">
        <v>8407</v>
      </c>
      <c r="B24" t="s">
        <v>8408</v>
      </c>
      <c r="C24" t="s">
        <v>8392</v>
      </c>
      <c r="G24" t="str">
        <f t="shared" si="1"/>
        <v>{#BATTERY_PACK}.{#CARTRIDGE_INDEX}: Battery has high temperature (over {$BATTERY.TEMP.MAX.WARN}℃ for {$TIME.PERIOD})</v>
      </c>
      <c r="H24" t="e">
        <f>INDEX('7.0.17'!G:G,MATCH(G24,'7.0.17'!F:F,0))</f>
        <v>#N/A</v>
      </c>
      <c r="I24" t="e">
        <f t="shared" si="0"/>
        <v>#N/A</v>
      </c>
    </row>
    <row r="25" spans="1:9">
      <c r="A25" t="s">
        <v>8407</v>
      </c>
      <c r="B25" t="s">
        <v>8406</v>
      </c>
      <c r="C25" t="s">
        <v>8393</v>
      </c>
      <c r="G25" t="str">
        <f t="shared" si="1"/>
        <v>{#PHASEINDEX}: Unacceptable phase {#PHASEINDEX} input voltage (out of range {$UPS.INPUT_VOLT.MIN.WARN}-{$UPS.INPUT_VOLT.MAX.WARN}V for {$TIME.PERIOD})</v>
      </c>
      <c r="H25" t="e">
        <f>INDEX('7.0.17'!G:G,MATCH(G25,'7.0.17'!F:F,0))</f>
        <v>#N/A</v>
      </c>
      <c r="I25" t="e">
        <f t="shared" si="0"/>
        <v>#N/A</v>
      </c>
    </row>
    <row r="26" spans="1:9">
      <c r="A26" t="s">
        <v>8407</v>
      </c>
      <c r="B26" t="s">
        <v>8406</v>
      </c>
      <c r="C26" t="s">
        <v>8395</v>
      </c>
      <c r="G26" t="str">
        <f t="shared" si="1"/>
        <v>{#PHASEINDEX}: Unacceptable phase {#PHASEINDEX} output voltage (out of range {$UPS.INPUT_VOLT.MIN.WARN}-{$UPS.INPUT_VOLT.MAX.WARN}V for {$TIME.PERIOD})</v>
      </c>
      <c r="H26" t="e">
        <f>INDEX('7.0.17'!G:G,MATCH(G26,'7.0.17'!F:F,0))</f>
        <v>#N/A</v>
      </c>
      <c r="I26" t="e">
        <f t="shared" si="0"/>
        <v>#N/A</v>
      </c>
    </row>
    <row r="27" spans="1:9">
      <c r="A27" t="s">
        <v>8409</v>
      </c>
      <c r="B27" t="s">
        <v>8408</v>
      </c>
      <c r="C27" t="s">
        <v>8392</v>
      </c>
      <c r="G27" t="str">
        <f t="shared" si="1"/>
        <v>{#BATTERY_PACK}.{#CARTRIDGE_INDEX}: Battery has high temperature (over {$BATTERY.TEMP.MAX.WARN}℃ for {$TIME.PERIOD})</v>
      </c>
      <c r="H27" t="e">
        <f>INDEX('7.0.17'!G:G,MATCH(G27,'7.0.17'!F:F,0))</f>
        <v>#N/A</v>
      </c>
      <c r="I27" t="e">
        <f t="shared" si="0"/>
        <v>#N/A</v>
      </c>
    </row>
    <row r="28" spans="1:9">
      <c r="A28" t="s">
        <v>8409</v>
      </c>
      <c r="B28" t="s">
        <v>8406</v>
      </c>
      <c r="C28" t="s">
        <v>8393</v>
      </c>
      <c r="G28" t="str">
        <f t="shared" si="1"/>
        <v>{#PHASEINDEX}: Unacceptable phase {#PHASEINDEX} input voltage (out of range {$UPS.INPUT_VOLT.MIN.WARN}-{$UPS.INPUT_VOLT.MAX.WARN}V for {$TIME.PERIOD})</v>
      </c>
      <c r="H28" t="e">
        <f>INDEX('7.0.17'!G:G,MATCH(G28,'7.0.17'!F:F,0))</f>
        <v>#N/A</v>
      </c>
      <c r="I28" t="e">
        <f t="shared" si="0"/>
        <v>#N/A</v>
      </c>
    </row>
    <row r="29" spans="1:9">
      <c r="A29" t="s">
        <v>8409</v>
      </c>
      <c r="B29" t="s">
        <v>8406</v>
      </c>
      <c r="C29" t="s">
        <v>8395</v>
      </c>
      <c r="G29" t="str">
        <f t="shared" si="1"/>
        <v>{#PHASEINDEX}: Unacceptable phase {#PHASEINDEX} output voltage (out of range {$UPS.INPUT_VOLT.MIN.WARN}-{$UPS.INPUT_VOLT.MAX.WARN}V for {$TIME.PERIOD})</v>
      </c>
      <c r="H29" t="e">
        <f>INDEX('7.0.17'!G:G,MATCH(G29,'7.0.17'!F:F,0))</f>
        <v>#N/A</v>
      </c>
      <c r="I29" t="e">
        <f t="shared" si="0"/>
        <v>#N/A</v>
      </c>
    </row>
    <row r="30" spans="1:9">
      <c r="A30" t="s">
        <v>8409</v>
      </c>
      <c r="B30" t="s">
        <v>8408</v>
      </c>
      <c r="C30" t="s">
        <v>8392</v>
      </c>
      <c r="G30" t="str">
        <f t="shared" si="1"/>
        <v>{#BATTERY_PACK}.{#CARTRIDGE_INDEX}: Battery has high temperature (over {$BATTERY.TEMP.MAX.WARN}℃ for {$TIME.PERIOD})</v>
      </c>
      <c r="H30" t="e">
        <f>INDEX('7.0.17'!G:G,MATCH(G30,'7.0.17'!F:F,0))</f>
        <v>#N/A</v>
      </c>
      <c r="I30" t="e">
        <f t="shared" si="0"/>
        <v>#N/A</v>
      </c>
    </row>
    <row r="31" spans="1:9">
      <c r="A31" t="s">
        <v>8409</v>
      </c>
      <c r="B31" t="s">
        <v>8406</v>
      </c>
      <c r="C31" t="s">
        <v>8393</v>
      </c>
      <c r="G31" t="str">
        <f t="shared" si="1"/>
        <v>{#PHASEINDEX}: Unacceptable phase {#PHASEINDEX} input voltage (out of range {$UPS.INPUT_VOLT.MIN.WARN}-{$UPS.INPUT_VOLT.MAX.WARN}V for {$TIME.PERIOD})</v>
      </c>
      <c r="H31" t="e">
        <f>INDEX('7.0.17'!G:G,MATCH(G31,'7.0.17'!F:F,0))</f>
        <v>#N/A</v>
      </c>
      <c r="I31" t="e">
        <f t="shared" si="0"/>
        <v>#N/A</v>
      </c>
    </row>
    <row r="32" spans="1:9">
      <c r="A32" t="s">
        <v>8409</v>
      </c>
      <c r="B32" t="s">
        <v>8406</v>
      </c>
      <c r="C32" t="s">
        <v>8395</v>
      </c>
      <c r="G32" t="str">
        <f t="shared" si="1"/>
        <v>{#PHASEINDEX}: Unacceptable phase {#PHASEINDEX} output voltage (out of range {$UPS.INPUT_VOLT.MIN.WARN}-{$UPS.INPUT_VOLT.MAX.WARN}V for {$TIME.PERIOD})</v>
      </c>
      <c r="H32" t="e">
        <f>INDEX('7.0.17'!G:G,MATCH(G32,'7.0.17'!F:F,0))</f>
        <v>#N/A</v>
      </c>
      <c r="I32" t="e">
        <f t="shared" si="0"/>
        <v>#N/A</v>
      </c>
    </row>
    <row r="33" spans="1:9">
      <c r="A33" t="s">
        <v>8409</v>
      </c>
      <c r="B33" t="s">
        <v>8408</v>
      </c>
      <c r="C33" t="s">
        <v>8392</v>
      </c>
      <c r="G33" t="str">
        <f t="shared" si="1"/>
        <v>{#BATTERY_PACK}.{#CARTRIDGE_INDEX}: Battery has high temperature (over {$BATTERY.TEMP.MAX.WARN}℃ for {$TIME.PERIOD})</v>
      </c>
      <c r="H33" t="e">
        <f>INDEX('7.0.17'!G:G,MATCH(G33,'7.0.17'!F:F,0))</f>
        <v>#N/A</v>
      </c>
      <c r="I33" t="e">
        <f t="shared" si="0"/>
        <v>#N/A</v>
      </c>
    </row>
    <row r="34" spans="1:9">
      <c r="A34" t="s">
        <v>8409</v>
      </c>
      <c r="B34" t="s">
        <v>8406</v>
      </c>
      <c r="C34" t="s">
        <v>8393</v>
      </c>
      <c r="G34" t="str">
        <f t="shared" si="1"/>
        <v>{#PHASEINDEX}: Unacceptable phase {#PHASEINDEX} input voltage (out of range {$UPS.INPUT_VOLT.MIN.WARN}-{$UPS.INPUT_VOLT.MAX.WARN}V for {$TIME.PERIOD})</v>
      </c>
      <c r="H34" t="e">
        <f>INDEX('7.0.17'!G:G,MATCH(G34,'7.0.17'!F:F,0))</f>
        <v>#N/A</v>
      </c>
      <c r="I34" t="e">
        <f t="shared" si="0"/>
        <v>#N/A</v>
      </c>
    </row>
    <row r="35" spans="1:9">
      <c r="A35" t="s">
        <v>8409</v>
      </c>
      <c r="B35" t="s">
        <v>8406</v>
      </c>
      <c r="C35" t="s">
        <v>8395</v>
      </c>
      <c r="G35" t="str">
        <f t="shared" si="1"/>
        <v>{#PHASEINDEX}: Unacceptable phase {#PHASEINDEX} output voltage (out of range {$UPS.INPUT_VOLT.MIN.WARN}-{$UPS.INPUT_VOLT.MAX.WARN}V for {$TIME.PERIOD})</v>
      </c>
      <c r="H35" t="e">
        <f>INDEX('7.0.17'!G:G,MATCH(G35,'7.0.17'!F:F,0))</f>
        <v>#N/A</v>
      </c>
      <c r="I35" t="e">
        <f t="shared" si="0"/>
        <v>#N/A</v>
      </c>
    </row>
    <row r="36" spans="1:9">
      <c r="A36" t="s">
        <v>8410</v>
      </c>
      <c r="B36" t="s">
        <v>8408</v>
      </c>
      <c r="C36" t="s">
        <v>8392</v>
      </c>
      <c r="G36" t="str">
        <f t="shared" si="1"/>
        <v>{#BATTERY_PACK}.{#CARTRIDGE_INDEX}: Battery has high temperature (over {$BATTERY.TEMP.MAX.WARN}℃ for {$TIME.PERIOD})</v>
      </c>
      <c r="H36" t="e">
        <f>INDEX('7.0.17'!G:G,MATCH(G36,'7.0.17'!F:F,0))</f>
        <v>#N/A</v>
      </c>
      <c r="I36" t="e">
        <f t="shared" si="0"/>
        <v>#N/A</v>
      </c>
    </row>
    <row r="37" spans="1:9">
      <c r="A37" t="s">
        <v>8410</v>
      </c>
      <c r="B37" t="s">
        <v>8406</v>
      </c>
      <c r="C37" t="s">
        <v>8393</v>
      </c>
      <c r="G37" t="str">
        <f t="shared" si="1"/>
        <v>{#PHASEINDEX}: Unacceptable phase {#PHASEINDEX} input voltage (out of range {$UPS.INPUT_VOLT.MIN.WARN}-{$UPS.INPUT_VOLT.MAX.WARN}V for {$TIME.PERIOD})</v>
      </c>
      <c r="H37" t="e">
        <f>INDEX('7.0.17'!G:G,MATCH(G37,'7.0.17'!F:F,0))</f>
        <v>#N/A</v>
      </c>
      <c r="I37" t="e">
        <f t="shared" si="0"/>
        <v>#N/A</v>
      </c>
    </row>
    <row r="38" spans="1:9">
      <c r="A38" t="s">
        <v>8410</v>
      </c>
      <c r="B38" t="s">
        <v>8406</v>
      </c>
      <c r="C38" t="s">
        <v>8395</v>
      </c>
      <c r="G38" t="str">
        <f t="shared" si="1"/>
        <v>{#PHASEINDEX}: Unacceptable phase {#PHASEINDEX} output voltage (out of range {$UPS.INPUT_VOLT.MIN.WARN}-{$UPS.INPUT_VOLT.MAX.WARN}V for {$TIME.PERIOD})</v>
      </c>
      <c r="H38" t="e">
        <f>INDEX('7.0.17'!G:G,MATCH(G38,'7.0.17'!F:F,0))</f>
        <v>#N/A</v>
      </c>
      <c r="I38" t="e">
        <f t="shared" si="0"/>
        <v>#N/A</v>
      </c>
    </row>
    <row r="39" spans="1:9">
      <c r="A39" t="s">
        <v>8411</v>
      </c>
      <c r="B39" t="s">
        <v>8412</v>
      </c>
      <c r="G39" t="str">
        <f>B39</f>
        <v>Burst balance is too low (less {$AWS.EBS.BURST.CREDIT.BALANCE.MIN.WARN}% for 5m)</v>
      </c>
      <c r="H39" t="e">
        <f>INDEX('7.0.17'!G:G,MATCH(G39,'7.0.17'!F:F,0))</f>
        <v>#N/A</v>
      </c>
      <c r="I39" t="e">
        <f t="shared" si="0"/>
        <v>#N/A</v>
      </c>
    </row>
    <row r="40" spans="1:9">
      <c r="A40" t="s">
        <v>8413</v>
      </c>
      <c r="B40" t="s">
        <v>8414</v>
      </c>
      <c r="C40" t="s">
        <v>8415</v>
      </c>
      <c r="G40" t="str">
        <f t="shared" ref="G40:G44" si="2">B40&amp;":"&amp;C40</f>
        <v>[{#AWS.ECS.SERVICE.NAME}]: High CPU utilization (over {$AWS.ECS.CLUSTER.SERVICE.CPU.UTIL.WARN}% for 15m)</v>
      </c>
      <c r="H40" t="e">
        <f>INDEX('7.0.17'!G:G,MATCH(G40,'7.0.17'!F:F,0))</f>
        <v>#N/A</v>
      </c>
      <c r="I40" t="e">
        <f t="shared" si="0"/>
        <v>#N/A</v>
      </c>
    </row>
    <row r="41" spans="1:9">
      <c r="A41" t="s">
        <v>8413</v>
      </c>
      <c r="B41" t="s">
        <v>8414</v>
      </c>
      <c r="C41" t="s">
        <v>8416</v>
      </c>
      <c r="G41" t="str">
        <f t="shared" si="2"/>
        <v>[{#AWS.ECS.SERVICE.NAME}]: High memory utilization (over {$AWS.ECS.CLUSTER.SERVICE.MEMORY.UTIL.WARN}% for 15m)</v>
      </c>
      <c r="H41" t="e">
        <f>INDEX('7.0.17'!G:G,MATCH(G41,'7.0.17'!F:F,0))</f>
        <v>#N/A</v>
      </c>
      <c r="I41" t="e">
        <f t="shared" si="0"/>
        <v>#N/A</v>
      </c>
    </row>
    <row r="42" spans="1:9">
      <c r="A42" t="s">
        <v>8417</v>
      </c>
      <c r="B42" t="s">
        <v>8414</v>
      </c>
      <c r="C42" t="s">
        <v>8415</v>
      </c>
      <c r="G42" t="str">
        <f t="shared" si="2"/>
        <v>[{#AWS.ECS.SERVICE.NAME}]: High CPU utilization (over {$AWS.ECS.CLUSTER.SERVICE.CPU.UTIL.WARN}% for 15m)</v>
      </c>
      <c r="H42" t="e">
        <f>INDEX('7.0.17'!G:G,MATCH(G42,'7.0.17'!F:F,0))</f>
        <v>#N/A</v>
      </c>
      <c r="I42" t="e">
        <f t="shared" si="0"/>
        <v>#N/A</v>
      </c>
    </row>
    <row r="43" spans="1:9">
      <c r="A43" t="s">
        <v>8417</v>
      </c>
      <c r="B43" t="s">
        <v>8414</v>
      </c>
      <c r="C43" t="s">
        <v>8416</v>
      </c>
      <c r="G43" t="str">
        <f t="shared" si="2"/>
        <v>[{#AWS.ECS.SERVICE.NAME}]: High memory utilization (over {$AWS.ECS.CLUSTER.SERVICE.MEMORY.UTIL.WARN}% for 15m)</v>
      </c>
      <c r="H43" t="e">
        <f>INDEX('7.0.17'!G:G,MATCH(G43,'7.0.17'!F:F,0))</f>
        <v>#N/A</v>
      </c>
      <c r="I43" t="e">
        <f t="shared" si="0"/>
        <v>#N/A</v>
      </c>
    </row>
    <row r="44" spans="1:9">
      <c r="A44" t="s">
        <v>8418</v>
      </c>
      <c r="B44" t="s">
        <v>8419</v>
      </c>
      <c r="C44" t="s">
        <v>8420</v>
      </c>
      <c r="G44" t="str">
        <f t="shared" si="2"/>
        <v>[{#ALARM_NAME}] has 'Alarm' state (reason: {ITEM.LASTVALUE2})</v>
      </c>
      <c r="H44" t="e">
        <f>INDEX('7.0.17'!G:G,MATCH(G44,'7.0.17'!F:F,0))</f>
        <v>#N/A</v>
      </c>
      <c r="I44" t="e">
        <f t="shared" si="0"/>
        <v>#N/A</v>
      </c>
    </row>
    <row r="45" spans="1:9">
      <c r="A45" t="s">
        <v>8418</v>
      </c>
      <c r="B45" t="s">
        <v>8421</v>
      </c>
      <c r="G45" t="str">
        <f>B45</f>
        <v>[{#ALARM_NAME}] has 'Insufficient data' state</v>
      </c>
      <c r="H45" t="e">
        <f>INDEX('7.0.17'!G:G,MATCH(G45,'7.0.17'!F:F,0))</f>
        <v>#N/A</v>
      </c>
      <c r="I45" t="e">
        <f t="shared" si="0"/>
        <v>#N/A</v>
      </c>
    </row>
    <row r="46" spans="1:9">
      <c r="A46" t="s">
        <v>8422</v>
      </c>
      <c r="B46" t="s">
        <v>8419</v>
      </c>
      <c r="C46" t="s">
        <v>8420</v>
      </c>
      <c r="G46" t="str">
        <f t="shared" ref="G46:G50" si="3">B46&amp;":"&amp;C46</f>
        <v>[{#ALARM_NAME}] has 'Alarm' state (reason: {ITEM.LASTVALUE2})</v>
      </c>
      <c r="H46" t="e">
        <f>INDEX('7.0.17'!G:G,MATCH(G46,'7.0.17'!F:F,0))</f>
        <v>#N/A</v>
      </c>
      <c r="I46" t="e">
        <f t="shared" si="0"/>
        <v>#N/A</v>
      </c>
    </row>
    <row r="47" spans="1:9">
      <c r="A47" t="s">
        <v>8422</v>
      </c>
      <c r="B47" t="s">
        <v>8421</v>
      </c>
      <c r="G47" t="str">
        <f>B47</f>
        <v>[{#ALARM_NAME}] has 'Insufficient data' state</v>
      </c>
      <c r="H47" t="e">
        <f>INDEX('7.0.17'!G:G,MATCH(G47,'7.0.17'!F:F,0))</f>
        <v>#N/A</v>
      </c>
      <c r="I47" t="e">
        <f t="shared" si="0"/>
        <v>#N/A</v>
      </c>
    </row>
    <row r="48" spans="1:9">
      <c r="A48" t="s">
        <v>8422</v>
      </c>
      <c r="B48" t="s">
        <v>8423</v>
      </c>
      <c r="C48" t="s">
        <v>8424</v>
      </c>
      <c r="G48" t="str">
        <f t="shared" si="3"/>
        <v>[{#AWS.ELB.TARGET.GROUP.NAME}]: Healthy Host Count = 0</v>
      </c>
      <c r="H48" t="e">
        <f>INDEX('7.0.17'!G:G,MATCH(G48,'7.0.17'!F:F,0))</f>
        <v>#N/A</v>
      </c>
      <c r="I48" t="e">
        <f t="shared" si="0"/>
        <v>#N/A</v>
      </c>
    </row>
    <row r="49" spans="1:9">
      <c r="A49" t="s">
        <v>8422</v>
      </c>
      <c r="B49" t="s">
        <v>8423</v>
      </c>
      <c r="C49" t="s">
        <v>8425</v>
      </c>
      <c r="G49" t="str">
        <f t="shared" si="3"/>
        <v>[{#AWS.ELB.TARGET.GROUP.NAME}]: Unhealthy Host Count &gt; {$AWS.ELB.UNHEALTHY.HOST.MAX}</v>
      </c>
      <c r="H49" t="e">
        <f>INDEX('7.0.17'!G:G,MATCH(G49,'7.0.17'!F:F,0))</f>
        <v>#N/A</v>
      </c>
      <c r="I49" t="e">
        <f t="shared" si="0"/>
        <v>#N/A</v>
      </c>
    </row>
    <row r="50" spans="1:9">
      <c r="A50" t="s">
        <v>8426</v>
      </c>
      <c r="B50" t="s">
        <v>8419</v>
      </c>
      <c r="C50" t="s">
        <v>8420</v>
      </c>
      <c r="G50" t="str">
        <f t="shared" si="3"/>
        <v>[{#ALARM_NAME}] has 'Alarm' state (reason: {ITEM.LASTVALUE2})</v>
      </c>
      <c r="H50" t="e">
        <f>INDEX('7.0.17'!G:G,MATCH(G50,'7.0.17'!F:F,0))</f>
        <v>#N/A</v>
      </c>
      <c r="I50" t="e">
        <f t="shared" si="0"/>
        <v>#N/A</v>
      </c>
    </row>
    <row r="51" spans="1:9">
      <c r="A51" t="s">
        <v>8426</v>
      </c>
      <c r="B51" t="s">
        <v>8421</v>
      </c>
      <c r="G51" t="str">
        <f>B51</f>
        <v>[{#ALARM_NAME}] has 'Insufficient data' state</v>
      </c>
      <c r="H51" t="e">
        <f>INDEX('7.0.17'!G:G,MATCH(G51,'7.0.17'!F:F,0))</f>
        <v>#N/A</v>
      </c>
      <c r="I51" t="e">
        <f t="shared" si="0"/>
        <v>#N/A</v>
      </c>
    </row>
    <row r="52" spans="1:9">
      <c r="A52" t="s">
        <v>8427</v>
      </c>
      <c r="B52" t="s">
        <v>8428</v>
      </c>
      <c r="C52" t="s">
        <v>8429</v>
      </c>
      <c r="G52" t="str">
        <f t="shared" ref="G52:G54" si="4">B52&amp;":"&amp;C52</f>
        <v>Alert [{#ALERT_ID}]: "critical" severity</v>
      </c>
      <c r="H52" t="e">
        <f>INDEX('7.0.17'!G:G,MATCH(G52,'7.0.17'!F:F,0))</f>
        <v>#N/A</v>
      </c>
      <c r="I52" t="e">
        <f t="shared" si="0"/>
        <v>#N/A</v>
      </c>
    </row>
    <row r="53" spans="1:9">
      <c r="A53" t="s">
        <v>8427</v>
      </c>
      <c r="B53" t="s">
        <v>8428</v>
      </c>
      <c r="C53" t="s">
        <v>8430</v>
      </c>
      <c r="G53" t="str">
        <f t="shared" si="4"/>
        <v>Alert [{#ALERT_ID}]: "error" severity</v>
      </c>
      <c r="H53" t="e">
        <f>INDEX('7.0.17'!G:G,MATCH(G53,'7.0.17'!F:F,0))</f>
        <v>#N/A</v>
      </c>
      <c r="I53" t="e">
        <f t="shared" si="0"/>
        <v>#N/A</v>
      </c>
    </row>
    <row r="54" spans="1:9">
      <c r="A54" t="s">
        <v>8427</v>
      </c>
      <c r="B54" t="s">
        <v>8428</v>
      </c>
      <c r="C54" t="s">
        <v>8431</v>
      </c>
      <c r="G54" t="str">
        <f t="shared" si="4"/>
        <v>Alert [{#ALERT_ID}]: "warning" severity</v>
      </c>
      <c r="H54" t="e">
        <f>INDEX('7.0.17'!G:G,MATCH(G54,'7.0.17'!F:F,0))</f>
        <v>#N/A</v>
      </c>
      <c r="I54" t="e">
        <f t="shared" si="0"/>
        <v>#N/A</v>
      </c>
    </row>
    <row r="55" spans="1:9">
      <c r="A55" t="s">
        <v>8432</v>
      </c>
      <c r="B55" t="s">
        <v>8433</v>
      </c>
      <c r="C55" t="s">
        <v>8434</v>
      </c>
      <c r="D55" t="s">
        <v>8435</v>
      </c>
      <c r="G55" t="str">
        <f>B55&amp;":"&amp;C55&amp;":"&amp;D55</f>
        <v>Interface {#IFNAME}({#IFALIAS}): High error rate (&gt;{$IF.ERRORS.WARN:{#IFNAME}} for 5m)</v>
      </c>
      <c r="H55" t="e">
        <f>INDEX('7.0.17'!G:G,MATCH(G55,'7.0.17'!F:F,0))</f>
        <v>#N/A</v>
      </c>
      <c r="I55" t="e">
        <f t="shared" si="0"/>
        <v>#N/A</v>
      </c>
    </row>
    <row r="56" spans="1:9">
      <c r="A56" t="s">
        <v>8432</v>
      </c>
      <c r="B56" t="s">
        <v>8433</v>
      </c>
      <c r="C56" t="s">
        <v>8436</v>
      </c>
      <c r="D56" t="s">
        <v>8437</v>
      </c>
      <c r="G56" t="str">
        <f>B56&amp;":"&amp;C56&amp;":"&amp;D56</f>
        <v>Interface {#IFNAME}({#IFALIAS}): High bandwidth usage (&gt;{$IF.UTIL.MAX:{#IFNAME}}%)</v>
      </c>
      <c r="H56" t="e">
        <f>INDEX('7.0.17'!G:G,MATCH(G56,'7.0.17'!F:F,0))</f>
        <v>#N/A</v>
      </c>
      <c r="I56" t="e">
        <f t="shared" si="0"/>
        <v>#N/A</v>
      </c>
    </row>
    <row r="57" spans="1:9">
      <c r="A57" t="s">
        <v>8432</v>
      </c>
      <c r="B57" t="s">
        <v>8438</v>
      </c>
      <c r="C57" t="s">
        <v>8439</v>
      </c>
      <c r="D57" t="s">
        <v>8440</v>
      </c>
      <c r="E57" t="s">
        <v>8441</v>
      </c>
      <c r="G57" t="str">
        <f t="shared" ref="G57:G59" si="5">B57&amp;":"&amp;C57&amp;":"&amp;D57&amp;":"&amp;E57</f>
        <v>{#SNMPVALUE}: Temperature is above critical threshold: &gt;{$TEMP_CRIT:{#SNMPVALUE}}</v>
      </c>
      <c r="H57" t="e">
        <f>INDEX('7.0.17'!G:G,MATCH(G57,'7.0.17'!F:F,0))</f>
        <v>#N/A</v>
      </c>
      <c r="I57" t="e">
        <f t="shared" si="0"/>
        <v>#N/A</v>
      </c>
    </row>
    <row r="58" spans="1:9">
      <c r="A58" t="s">
        <v>8432</v>
      </c>
      <c r="B58" t="s">
        <v>8438</v>
      </c>
      <c r="C58" t="s">
        <v>8442</v>
      </c>
      <c r="D58" t="s">
        <v>8443</v>
      </c>
      <c r="E58" t="s">
        <v>8441</v>
      </c>
      <c r="G58" t="str">
        <f t="shared" si="5"/>
        <v>{#SNMPVALUE}: Temperature is above warning threshold: &gt;{$TEMP_WARN:{#SNMPVALUE}}</v>
      </c>
      <c r="H58" t="e">
        <f>INDEX('7.0.17'!G:G,MATCH(G58,'7.0.17'!F:F,0))</f>
        <v>#N/A</v>
      </c>
      <c r="I58" t="e">
        <f t="shared" si="0"/>
        <v>#N/A</v>
      </c>
    </row>
    <row r="59" spans="1:9">
      <c r="A59" t="s">
        <v>8432</v>
      </c>
      <c r="B59" t="s">
        <v>8438</v>
      </c>
      <c r="C59" t="s">
        <v>8444</v>
      </c>
      <c r="D59" t="s">
        <v>8445</v>
      </c>
      <c r="E59" t="s">
        <v>8441</v>
      </c>
      <c r="G59" t="str">
        <f t="shared" si="5"/>
        <v>{#SNMPVALUE}: Temperature is too low: &lt;{$TEMP_CRIT_LOW:{#SNMPVALUE}}</v>
      </c>
      <c r="H59" t="e">
        <f>INDEX('7.0.17'!G:G,MATCH(G59,'7.0.17'!F:F,0))</f>
        <v>#N/A</v>
      </c>
      <c r="I59" t="e">
        <f t="shared" si="0"/>
        <v>#N/A</v>
      </c>
    </row>
    <row r="60" spans="1:9">
      <c r="A60" t="s">
        <v>8432</v>
      </c>
      <c r="B60" t="s">
        <v>8446</v>
      </c>
      <c r="C60" t="s">
        <v>8447</v>
      </c>
      <c r="G60" t="str">
        <f>B60&amp;":"&amp;C60</f>
        <v>{#ENT_NAME}: Device has been replaced (new serial number received)</v>
      </c>
      <c r="H60" t="e">
        <f>INDEX('7.0.17'!G:G,MATCH(G60,'7.0.17'!F:F,0))</f>
        <v>#N/A</v>
      </c>
      <c r="I60" t="e">
        <f t="shared" si="0"/>
        <v>#N/A</v>
      </c>
    </row>
    <row r="61" spans="1:9">
      <c r="A61" t="s">
        <v>8448</v>
      </c>
      <c r="B61" t="s">
        <v>8449</v>
      </c>
      <c r="C61" t="s">
        <v>8450</v>
      </c>
      <c r="D61" t="s">
        <v>8451</v>
      </c>
      <c r="E61" t="s">
        <v>8452</v>
      </c>
      <c r="F61" t="s">
        <v>8453</v>
      </c>
      <c r="G61" t="str">
        <f>B61&amp;":"&amp;C61&amp;":"&amp;D61&amp;":"&amp;E61&amp;":"&amp;F61</f>
        <v>{#JMXBROKERNAME}: {#JMXDESTINATIONTYPE} {#JMXDESTINATIONNAME}: Consumers count is too low (below {$ACTIVEMQ.DESTINATION.CONSUMERS.MIN.HIGH:{#JMXDESTINATIONNAME}} for {$ACTIVEMQ.DESTINATION.CONSUMERS.MIN.TIME:{#JMXDESTINATIONNAME}})</v>
      </c>
      <c r="H61" t="e">
        <f>INDEX('7.0.17'!G:G,MATCH(G61,'7.0.17'!F:F,0))</f>
        <v>#N/A</v>
      </c>
      <c r="I61" t="e">
        <f t="shared" si="0"/>
        <v>#N/A</v>
      </c>
    </row>
    <row r="62" spans="1:9">
      <c r="A62" t="s">
        <v>8448</v>
      </c>
      <c r="B62" t="s">
        <v>8449</v>
      </c>
      <c r="C62" t="s">
        <v>8450</v>
      </c>
      <c r="D62" t="s">
        <v>8454</v>
      </c>
      <c r="E62" t="s">
        <v>8455</v>
      </c>
      <c r="F62" t="s">
        <v>8453</v>
      </c>
      <c r="G62" t="str">
        <f>B62&amp;":"&amp;C62&amp;":"&amp;D62&amp;":"&amp;E62&amp;":"&amp;F62</f>
        <v>{#JMXBROKERNAME}: {#JMXDESTINATIONTYPE} {#JMXDESTINATIONNAME}: Producers count is too low (below {$ACTIVEMQ.DESTINATION.PRODUCERS.MIN.HIGH:{#JMXDESTINATIONNAME}} for {$ACTIVEMQ.DESTINATION.PRODUCERS.MIN.TIME:{#JMXDESTINATIONNAME}})</v>
      </c>
      <c r="H62" t="e">
        <f>INDEX('7.0.17'!G:G,MATCH(G62,'7.0.17'!F:F,0))</f>
        <v>#N/A</v>
      </c>
      <c r="I62" t="e">
        <f t="shared" si="0"/>
        <v>#N/A</v>
      </c>
    </row>
    <row r="63" spans="1:9">
      <c r="A63" t="s">
        <v>8448</v>
      </c>
      <c r="B63" t="s">
        <v>8456</v>
      </c>
      <c r="C63" t="s">
        <v>8457</v>
      </c>
      <c r="D63" t="s">
        <v>8458</v>
      </c>
      <c r="G63" t="str">
        <f t="shared" ref="G63:G65" si="6">B63&amp;":"&amp;C63&amp;":"&amp;D63</f>
        <v>Broker {#JMXBROKERNAME}: Memory usage is too high (over {$ACTIVEMQ.MEM.MAX.HIGH:{#JMXBROKERNAME}}%)</v>
      </c>
      <c r="H63" t="e">
        <f>INDEX('7.0.17'!G:G,MATCH(G63,'7.0.17'!F:F,0))</f>
        <v>#N/A</v>
      </c>
      <c r="I63" t="e">
        <f t="shared" si="0"/>
        <v>#N/A</v>
      </c>
    </row>
    <row r="64" spans="1:9">
      <c r="A64" t="s">
        <v>8448</v>
      </c>
      <c r="B64" t="s">
        <v>8456</v>
      </c>
      <c r="C64" t="s">
        <v>8459</v>
      </c>
      <c r="D64" t="s">
        <v>8458</v>
      </c>
      <c r="G64" t="str">
        <f t="shared" si="6"/>
        <v>Broker {#JMXBROKERNAME}: Memory usage is too high (over {$ACTIVEMQ.MEM.MAX.WARN:{#JMXBROKERNAME}}%)</v>
      </c>
      <c r="H64" t="e">
        <f>INDEX('7.0.17'!G:G,MATCH(G64,'7.0.17'!F:F,0))</f>
        <v>#N/A</v>
      </c>
      <c r="I64" t="e">
        <f t="shared" si="0"/>
        <v>#N/A</v>
      </c>
    </row>
    <row r="65" spans="1:9">
      <c r="A65" t="s">
        <v>8448</v>
      </c>
      <c r="B65" t="s">
        <v>8456</v>
      </c>
      <c r="C65" t="s">
        <v>8460</v>
      </c>
      <c r="D65" t="s">
        <v>8461</v>
      </c>
      <c r="G65" t="str">
        <f t="shared" si="6"/>
        <v>Broker {#JMXBROKERNAME}: Version has changed (new version: {ITEM.VALUE})</v>
      </c>
      <c r="H65" t="e">
        <f>INDEX('7.0.17'!G:G,MATCH(G65,'7.0.17'!F:F,0))</f>
        <v>#N/A</v>
      </c>
      <c r="I65" t="e">
        <f t="shared" si="0"/>
        <v>#N/A</v>
      </c>
    </row>
    <row r="66" spans="1:9">
      <c r="A66" t="s">
        <v>8448</v>
      </c>
      <c r="B66" t="s">
        <v>8449</v>
      </c>
      <c r="C66" t="s">
        <v>8450</v>
      </c>
      <c r="D66" t="s">
        <v>8462</v>
      </c>
      <c r="E66" t="s">
        <v>8463</v>
      </c>
      <c r="G66" t="str">
        <f t="shared" ref="G66:G69" si="7">B66&amp;":"&amp;C66&amp;":"&amp;D66&amp;":"&amp;E66</f>
        <v>{#JMXBROKERNAME}: {#JMXDESTINATIONTYPE} {#JMXDESTINATIONNAME}: Message enqueue rate is higher than dequeue rate for {$ACTIVEMQ.MSG.RATE.WARN.TIME:{#JMXDESTINATIONNAME}}</v>
      </c>
      <c r="H66" t="e">
        <f>INDEX('7.0.17'!G:G,MATCH(G66,'7.0.17'!F:F,0))</f>
        <v>#N/A</v>
      </c>
      <c r="I66" t="e">
        <f t="shared" si="0"/>
        <v>#N/A</v>
      </c>
    </row>
    <row r="67" spans="1:9">
      <c r="A67" t="s">
        <v>8448</v>
      </c>
      <c r="B67" t="s">
        <v>8449</v>
      </c>
      <c r="C67" t="s">
        <v>8450</v>
      </c>
      <c r="D67" t="s">
        <v>8464</v>
      </c>
      <c r="E67" t="s">
        <v>8463</v>
      </c>
      <c r="G67" t="str">
        <f t="shared" si="7"/>
        <v>{#JMXBROKERNAME}: {#JMXDESTINATIONTYPE} {#JMXDESTINATIONNAME}: Expired messages count higher than {$ACTIVEMQ.EXPIRED.WARN:{#JMXDESTINATIONNAME}}</v>
      </c>
      <c r="H67" t="e">
        <f>INDEX('7.0.17'!G:G,MATCH(G67,'7.0.17'!F:F,0))</f>
        <v>#N/A</v>
      </c>
      <c r="I67" t="e">
        <f t="shared" ref="I67:I130" si="8">A67&amp;": "&amp;H67</f>
        <v>#N/A</v>
      </c>
    </row>
    <row r="68" spans="1:9">
      <c r="A68" t="s">
        <v>8448</v>
      </c>
      <c r="B68" t="s">
        <v>8449</v>
      </c>
      <c r="C68" t="s">
        <v>8450</v>
      </c>
      <c r="D68" t="s">
        <v>8457</v>
      </c>
      <c r="E68" t="s">
        <v>8465</v>
      </c>
      <c r="G68" t="str">
        <f t="shared" si="7"/>
        <v>{#JMXBROKERNAME}: {#JMXDESTINATIONTYPE} {#JMXDESTINATIONNAME}: Memory usage is too high (over {$ACTIVEMQ.MEM.MAX.HIGH:{#JMXDESTINATIONNAME}}%)</v>
      </c>
      <c r="H68" t="e">
        <f>INDEX('7.0.17'!G:G,MATCH(G68,'7.0.17'!F:F,0))</f>
        <v>#N/A</v>
      </c>
      <c r="I68" t="e">
        <f t="shared" si="8"/>
        <v>#N/A</v>
      </c>
    </row>
    <row r="69" spans="1:9">
      <c r="A69" t="s">
        <v>8448</v>
      </c>
      <c r="B69" t="s">
        <v>8449</v>
      </c>
      <c r="C69" t="s">
        <v>8450</v>
      </c>
      <c r="D69" t="s">
        <v>8459</v>
      </c>
      <c r="E69" t="s">
        <v>8465</v>
      </c>
      <c r="G69" t="str">
        <f t="shared" si="7"/>
        <v>{#JMXBROKERNAME}: {#JMXDESTINATIONTYPE} {#JMXDESTINATIONNAME}: Memory usage is too high (over {$ACTIVEMQ.MEM.MAX.WARN:{#JMXDESTINATIONNAME}}%)</v>
      </c>
      <c r="H69" t="e">
        <f>INDEX('7.0.17'!G:G,MATCH(G69,'7.0.17'!F:F,0))</f>
        <v>#N/A</v>
      </c>
      <c r="I69" t="e">
        <f t="shared" si="8"/>
        <v>#N/A</v>
      </c>
    </row>
    <row r="70" spans="1:9">
      <c r="A70" t="s">
        <v>8448</v>
      </c>
      <c r="B70" t="s">
        <v>8449</v>
      </c>
      <c r="C70" t="s">
        <v>8450</v>
      </c>
      <c r="D70" t="s">
        <v>8466</v>
      </c>
      <c r="E70" t="s">
        <v>8467</v>
      </c>
      <c r="F70" t="s">
        <v>8463</v>
      </c>
      <c r="G70" t="str">
        <f>B70&amp;":"&amp;C70&amp;":"&amp;D70&amp;":"&amp;E70&amp;":"&amp;F70</f>
        <v>{#JMXBROKERNAME}: {#JMXDESTINATIONTYPE} {#JMXDESTINATIONNAME}: Queue size higher than {$ACTIVEMQ.QUEUE.WARN:{#JMXDESTINATIONNAME}} for {$ACTIVEMQ.QUEUE.TIME:{#JMXDESTINATIONNAME}}</v>
      </c>
      <c r="H70" t="e">
        <f>INDEX('7.0.17'!G:G,MATCH(G70,'7.0.17'!F:F,0))</f>
        <v>#N/A</v>
      </c>
      <c r="I70" t="e">
        <f t="shared" si="8"/>
        <v>#N/A</v>
      </c>
    </row>
    <row r="71" spans="1:9">
      <c r="A71" t="s">
        <v>8448</v>
      </c>
      <c r="B71" t="s">
        <v>8456</v>
      </c>
      <c r="C71" t="s">
        <v>8468</v>
      </c>
      <c r="D71" t="s">
        <v>8458</v>
      </c>
      <c r="G71" t="str">
        <f t="shared" ref="G71:G74" si="9">B71&amp;":"&amp;C71&amp;":"&amp;D71</f>
        <v>Broker {#JMXBROKERNAME}: Storage usage is too high (over {$ACTIVEMQ.STORE.MAX.HIGH:{#JMXBROKERNAME}}%)</v>
      </c>
      <c r="H71" t="e">
        <f>INDEX('7.0.17'!G:G,MATCH(G71,'7.0.17'!F:F,0))</f>
        <v>#N/A</v>
      </c>
      <c r="I71" t="e">
        <f t="shared" si="8"/>
        <v>#N/A</v>
      </c>
    </row>
    <row r="72" spans="1:9">
      <c r="A72" t="s">
        <v>8448</v>
      </c>
      <c r="B72" t="s">
        <v>8456</v>
      </c>
      <c r="C72" t="s">
        <v>8469</v>
      </c>
      <c r="D72" t="s">
        <v>8458</v>
      </c>
      <c r="G72" t="str">
        <f t="shared" si="9"/>
        <v>Broker {#JMXBROKERNAME}: Storage usage is too high (over {$ACTIVEMQ.STORE.MAX.WARN:{#JMXBROKERNAME}}%)</v>
      </c>
      <c r="H72" t="e">
        <f>INDEX('7.0.17'!G:G,MATCH(G72,'7.0.17'!F:F,0))</f>
        <v>#N/A</v>
      </c>
      <c r="I72" t="e">
        <f t="shared" si="8"/>
        <v>#N/A</v>
      </c>
    </row>
    <row r="73" spans="1:9">
      <c r="A73" t="s">
        <v>8448</v>
      </c>
      <c r="B73" t="s">
        <v>8456</v>
      </c>
      <c r="C73" t="s">
        <v>8470</v>
      </c>
      <c r="D73" t="s">
        <v>8458</v>
      </c>
      <c r="G73" t="str">
        <f t="shared" si="9"/>
        <v>Broker {#JMXBROKERNAME}: Temp usage is too high (over {$ACTIVEMQ.TEMP.MAX.WARN:{#JMXBROKERNAME}}%)</v>
      </c>
      <c r="H73" t="e">
        <f>INDEX('7.0.17'!G:G,MATCH(G73,'7.0.17'!F:F,0))</f>
        <v>#N/A</v>
      </c>
      <c r="I73" t="e">
        <f t="shared" si="8"/>
        <v>#N/A</v>
      </c>
    </row>
    <row r="74" spans="1:9">
      <c r="A74" t="s">
        <v>8448</v>
      </c>
      <c r="B74" t="s">
        <v>8456</v>
      </c>
      <c r="C74" t="s">
        <v>8470</v>
      </c>
      <c r="D74" t="s">
        <v>8458</v>
      </c>
      <c r="G74" t="str">
        <f t="shared" si="9"/>
        <v>Broker {#JMXBROKERNAME}: Temp usage is too high (over {$ACTIVEMQ.TEMP.MAX.WARN:{#JMXBROKERNAME}}%)</v>
      </c>
      <c r="H74" t="e">
        <f>INDEX('7.0.17'!G:G,MATCH(G74,'7.0.17'!F:F,0))</f>
        <v>#N/A</v>
      </c>
      <c r="I74" t="e">
        <f t="shared" si="8"/>
        <v>#N/A</v>
      </c>
    </row>
    <row r="75" spans="1:9">
      <c r="A75" t="s">
        <v>8448</v>
      </c>
      <c r="B75" t="s">
        <v>8456</v>
      </c>
      <c r="C75" t="s">
        <v>8471</v>
      </c>
      <c r="D75" t="s">
        <v>8472</v>
      </c>
      <c r="E75" t="s">
        <v>8473</v>
      </c>
      <c r="G75" t="str">
        <f t="shared" ref="G75:G79" si="10">B75&amp;":"&amp;C75&amp;":"&amp;D75&amp;":"&amp;E75</f>
        <v>Broker {#JMXBROKERNAME}: Consumers count is too low (below {$ACTIVEMQ.BROKER.CONSUMERS.MIN.HIGH:{#JMXBROKERNAME}} for {$ACTIVEMQ.BROKER.CONSUMERS.MIN.TIME:{#JMXBROKERNAME}})</v>
      </c>
      <c r="H75" t="e">
        <f>INDEX('7.0.17'!G:G,MATCH(G75,'7.0.17'!F:F,0))</f>
        <v>#N/A</v>
      </c>
      <c r="I75" t="e">
        <f t="shared" si="8"/>
        <v>#N/A</v>
      </c>
    </row>
    <row r="76" spans="1:9">
      <c r="A76" t="s">
        <v>8448</v>
      </c>
      <c r="B76" t="s">
        <v>8456</v>
      </c>
      <c r="C76" t="s">
        <v>8462</v>
      </c>
      <c r="D76" t="s">
        <v>8474</v>
      </c>
      <c r="G76" t="str">
        <f>B76&amp;":"&amp;C76&amp;":"&amp;D76</f>
        <v>Broker {#JMXBROKERNAME}: Message enqueue rate is higher than dequeue rate for {$ACTIVEMQ.MSG.RATE.WARN.TIME:{#JMXBROKERNAME}}</v>
      </c>
      <c r="H76" t="e">
        <f>INDEX('7.0.17'!G:G,MATCH(G76,'7.0.17'!F:F,0))</f>
        <v>#N/A</v>
      </c>
      <c r="I76" t="e">
        <f t="shared" si="8"/>
        <v>#N/A</v>
      </c>
    </row>
    <row r="77" spans="1:9">
      <c r="A77" t="s">
        <v>8448</v>
      </c>
      <c r="B77" t="s">
        <v>8456</v>
      </c>
      <c r="C77" t="s">
        <v>8475</v>
      </c>
      <c r="D77" t="s">
        <v>8476</v>
      </c>
      <c r="E77" t="s">
        <v>8473</v>
      </c>
      <c r="G77" t="str">
        <f t="shared" si="10"/>
        <v>Broker {#JMXBROKERNAME}: Producers count is too low (below {$ACTIVEMQ.BROKER.PRODUCERS.MIN.HIGH:{#JMXBROKERNAME}} for {$ACTIVEMQ.BROKER.PRODUCERS.MIN.TIME:{#JMXBROKERNAME}})</v>
      </c>
      <c r="H77" t="e">
        <f>INDEX('7.0.17'!G:G,MATCH(G77,'7.0.17'!F:F,0))</f>
        <v>#N/A</v>
      </c>
      <c r="I77" t="e">
        <f t="shared" si="8"/>
        <v>#N/A</v>
      </c>
    </row>
    <row r="78" spans="1:9">
      <c r="A78" t="s">
        <v>8448</v>
      </c>
      <c r="B78" t="s">
        <v>8456</v>
      </c>
      <c r="C78" t="s">
        <v>8477</v>
      </c>
      <c r="G78" t="str">
        <f>B78&amp;":"&amp;C78</f>
        <v>Broker {#JMXBROKERNAME}: Broker has been restarted (uptime &lt; 10m)</v>
      </c>
      <c r="H78" t="e">
        <f>INDEX('7.0.17'!G:G,MATCH(G78,'7.0.17'!F:F,0))</f>
        <v>#N/A</v>
      </c>
      <c r="I78" t="e">
        <f t="shared" si="8"/>
        <v>#N/A</v>
      </c>
    </row>
    <row r="79" spans="1:9">
      <c r="A79" t="s">
        <v>8478</v>
      </c>
      <c r="B79" t="s">
        <v>8479</v>
      </c>
      <c r="C79" t="s">
        <v>8480</v>
      </c>
      <c r="D79" t="s">
        <v>8481</v>
      </c>
      <c r="E79" t="s">
        <v>8482</v>
      </c>
      <c r="G79" t="str">
        <f t="shared" si="10"/>
        <v>{#JMXNAME}: Busy worker threads count are more than {$TOMCAT.THREADS.MAX.PCT:{#JMXNAME}}% of the limit for {$TOMCAT.THREADS.MAX.TIME:{#JMXNAME}}</v>
      </c>
      <c r="H79" t="e">
        <f>INDEX('7.0.17'!G:G,MATCH(G79,'7.0.17'!F:F,0))</f>
        <v>#N/A</v>
      </c>
      <c r="I79" t="e">
        <f t="shared" si="8"/>
        <v>#N/A</v>
      </c>
    </row>
    <row r="80" spans="1:9">
      <c r="A80" t="s">
        <v>8483</v>
      </c>
      <c r="B80" t="s">
        <v>8484</v>
      </c>
      <c r="G80" t="str">
        <f t="shared" ref="G80:G83" si="11">B80</f>
        <v>Failed to fetch status page (or no data for 30m)</v>
      </c>
      <c r="H80" t="e">
        <f>INDEX('7.0.17'!G:G,MATCH(G80,'7.0.17'!F:F,0))</f>
        <v>#N/A</v>
      </c>
      <c r="I80" t="e">
        <f t="shared" si="8"/>
        <v>#N/A</v>
      </c>
    </row>
    <row r="81" spans="1:9">
      <c r="A81" t="s">
        <v>8483</v>
      </c>
      <c r="B81" t="s">
        <v>8485</v>
      </c>
      <c r="G81" t="str">
        <f t="shared" si="11"/>
        <v>Service response time is too high (over {$APACHE.RESPONSE_TIME.MAX.WARN}s for 5m)</v>
      </c>
      <c r="H81" t="e">
        <f>INDEX('7.0.17'!G:G,MATCH(G81,'7.0.17'!F:F,0))</f>
        <v>#N/A</v>
      </c>
      <c r="I81" t="e">
        <f t="shared" si="8"/>
        <v>#N/A</v>
      </c>
    </row>
    <row r="82" spans="1:9">
      <c r="A82" t="s">
        <v>8483</v>
      </c>
      <c r="B82" t="s">
        <v>8484</v>
      </c>
      <c r="G82" t="str">
        <f t="shared" si="11"/>
        <v>Failed to fetch status page (or no data for 30m)</v>
      </c>
      <c r="H82" t="e">
        <f>INDEX('7.0.17'!G:G,MATCH(G82,'7.0.17'!F:F,0))</f>
        <v>#N/A</v>
      </c>
      <c r="I82" t="e">
        <f t="shared" si="8"/>
        <v>#N/A</v>
      </c>
    </row>
    <row r="83" spans="1:9">
      <c r="A83" t="s">
        <v>8483</v>
      </c>
      <c r="B83" t="s">
        <v>8485</v>
      </c>
      <c r="G83" t="str">
        <f t="shared" si="11"/>
        <v>Service response time is too high (over {$APACHE.RESPONSE_TIME.MAX.WARN}s for 5m)</v>
      </c>
      <c r="H83" t="e">
        <f>INDEX('7.0.17'!G:G,MATCH(G83,'7.0.17'!F:F,0))</f>
        <v>#N/A</v>
      </c>
      <c r="I83" t="e">
        <f t="shared" si="8"/>
        <v>#N/A</v>
      </c>
    </row>
    <row r="84" spans="1:9">
      <c r="A84" t="s">
        <v>8486</v>
      </c>
      <c r="B84" t="s">
        <v>8487</v>
      </c>
      <c r="C84" t="s">
        <v>8488</v>
      </c>
      <c r="D84" t="s">
        <v>8489</v>
      </c>
      <c r="G84" t="str">
        <f t="shared" ref="G84:G92" si="12">B84&amp;":"&amp;C84&amp;":"&amp;D84</f>
        <v>{#METRIC}: Critically low battery voltage on "[{#GATEWAY_NAME}] {#SENSOR_NAME}" (below {$ARANET.BATT.VOLTAGE.MIN.CRIT:{#SENSOR_NAME}}{#UNIT} for 5m)</v>
      </c>
      <c r="H84" t="e">
        <f>INDEX('7.0.17'!G:G,MATCH(G84,'7.0.17'!F:F,0))</f>
        <v>#N/A</v>
      </c>
      <c r="I84" t="e">
        <f t="shared" si="8"/>
        <v>#N/A</v>
      </c>
    </row>
    <row r="85" spans="1:9">
      <c r="A85" t="s">
        <v>8486</v>
      </c>
      <c r="B85" t="s">
        <v>8487</v>
      </c>
      <c r="C85" t="s">
        <v>8490</v>
      </c>
      <c r="D85" t="s">
        <v>8489</v>
      </c>
      <c r="G85" t="str">
        <f t="shared" si="12"/>
        <v>{#METRIC}: Low battery voltage on "[{#GATEWAY_NAME}] {#SENSOR_NAME}" (below {$ARANET.BATT.VOLTAGE.MIN.WARN:{#SENSOR_NAME}}{#UNIT} for 5m)</v>
      </c>
      <c r="H85" t="e">
        <f>INDEX('7.0.17'!G:G,MATCH(G85,'7.0.17'!F:F,0))</f>
        <v>#N/A</v>
      </c>
      <c r="I85" t="e">
        <f t="shared" si="8"/>
        <v>#N/A</v>
      </c>
    </row>
    <row r="86" spans="1:9">
      <c r="A86" t="s">
        <v>8486</v>
      </c>
      <c r="B86" t="s">
        <v>8487</v>
      </c>
      <c r="C86" t="s">
        <v>8491</v>
      </c>
      <c r="D86" t="s">
        <v>8489</v>
      </c>
      <c r="G86" t="str">
        <f t="shared" si="12"/>
        <v>{#METRIC}: Critically high CO2 level on "[{#GATEWAY_NAME}] {#SENSOR_NAME}" (over {$ARANET.CO2.MAX.CRIT:{#SENSOR_NAME}}{#UNIT} for 5m)</v>
      </c>
      <c r="H86" t="e">
        <f>INDEX('7.0.17'!G:G,MATCH(G86,'7.0.17'!F:F,0))</f>
        <v>#N/A</v>
      </c>
      <c r="I86" t="e">
        <f t="shared" si="8"/>
        <v>#N/A</v>
      </c>
    </row>
    <row r="87" spans="1:9">
      <c r="A87" t="s">
        <v>8486</v>
      </c>
      <c r="B87" t="s">
        <v>8487</v>
      </c>
      <c r="C87" t="s">
        <v>8492</v>
      </c>
      <c r="D87" t="s">
        <v>8489</v>
      </c>
      <c r="G87" t="str">
        <f t="shared" si="12"/>
        <v>{#METRIC}: High CO2 level on "[{#GATEWAY_NAME}] {#SENSOR_NAME}" (over {$ARANET.CO2.MAX.WARN:{#SENSOR_NAME}}{#UNIT} for 5m)</v>
      </c>
      <c r="H87" t="e">
        <f>INDEX('7.0.17'!G:G,MATCH(G87,'7.0.17'!F:F,0))</f>
        <v>#N/A</v>
      </c>
      <c r="I87" t="e">
        <f t="shared" si="8"/>
        <v>#N/A</v>
      </c>
    </row>
    <row r="88" spans="1:9">
      <c r="A88" t="s">
        <v>8486</v>
      </c>
      <c r="B88" t="s">
        <v>8487</v>
      </c>
      <c r="C88" t="s">
        <v>8493</v>
      </c>
      <c r="D88" t="s">
        <v>8489</v>
      </c>
      <c r="G88" t="str">
        <f t="shared" si="12"/>
        <v>{#METRIC}: Low humidity on "[{#GATEWAY_NAME}] {#SENSOR_NAME}" (below {$ARANET.HUMIDITY.MIN.WARN:{#SENSOR_NAME}}{#UNIT} for 5m)</v>
      </c>
      <c r="H88" t="e">
        <f>INDEX('7.0.17'!G:G,MATCH(G88,'7.0.17'!F:F,0))</f>
        <v>#N/A</v>
      </c>
      <c r="I88" t="e">
        <f t="shared" si="8"/>
        <v>#N/A</v>
      </c>
    </row>
    <row r="89" spans="1:9">
      <c r="A89" t="s">
        <v>8486</v>
      </c>
      <c r="B89" t="s">
        <v>8487</v>
      </c>
      <c r="C89" t="s">
        <v>8494</v>
      </c>
      <c r="D89" t="s">
        <v>8489</v>
      </c>
      <c r="G89" t="str">
        <f t="shared" si="12"/>
        <v>{#METRIC}: High humidity on "[{#GATEWAY_NAME}] {#SENSOR_NAME}" (over {$ARANET.HUMIDITY.MAX.WARN:{#SENSOR_NAME}}{#UNIT} for 5m)</v>
      </c>
      <c r="H89" t="e">
        <f>INDEX('7.0.17'!G:G,MATCH(G89,'7.0.17'!F:F,0))</f>
        <v>#N/A</v>
      </c>
      <c r="I89" t="e">
        <f t="shared" si="8"/>
        <v>#N/A</v>
      </c>
    </row>
    <row r="90" spans="1:9">
      <c r="A90" t="s">
        <v>8486</v>
      </c>
      <c r="B90" t="s">
        <v>8487</v>
      </c>
      <c r="C90" t="s">
        <v>8495</v>
      </c>
      <c r="D90" t="s">
        <v>8496</v>
      </c>
      <c r="G90" t="str">
        <f t="shared" si="12"/>
        <v>{#METRIC}: Sensor data "[{#GATEWAY_NAME}] {#SENSOR_NAME}" is not updated (more than {$ARANET.LAST_UPDATE.MAX.WARN:{#SENSOR_NAME}})</v>
      </c>
      <c r="H90" t="e">
        <f>INDEX('7.0.17'!G:G,MATCH(G90,'7.0.17'!F:F,0))</f>
        <v>#N/A</v>
      </c>
      <c r="I90" t="e">
        <f t="shared" si="8"/>
        <v>#N/A</v>
      </c>
    </row>
    <row r="91" spans="1:9">
      <c r="A91" t="s">
        <v>8497</v>
      </c>
      <c r="B91" t="s">
        <v>8433</v>
      </c>
      <c r="C91" t="s">
        <v>8434</v>
      </c>
      <c r="D91" t="s">
        <v>8435</v>
      </c>
      <c r="G91" t="str">
        <f t="shared" si="12"/>
        <v>Interface {#IFNAME}({#IFALIAS}): High error rate (&gt;{$IF.ERRORS.WARN:{#IFNAME}} for 5m)</v>
      </c>
      <c r="H91" t="e">
        <f>INDEX('7.0.17'!G:G,MATCH(G91,'7.0.17'!F:F,0))</f>
        <v>#N/A</v>
      </c>
      <c r="I91" t="e">
        <f t="shared" si="8"/>
        <v>#N/A</v>
      </c>
    </row>
    <row r="92" spans="1:9">
      <c r="A92" t="s">
        <v>8497</v>
      </c>
      <c r="B92" t="s">
        <v>8433</v>
      </c>
      <c r="C92" t="s">
        <v>8436</v>
      </c>
      <c r="D92" t="s">
        <v>8437</v>
      </c>
      <c r="G92" t="str">
        <f t="shared" si="12"/>
        <v>Interface {#IFNAME}({#IFALIAS}): High bandwidth usage (&gt;{$IF.UTIL.MAX:{#IFNAME}}%)</v>
      </c>
      <c r="H92" t="e">
        <f>INDEX('7.0.17'!G:G,MATCH(G92,'7.0.17'!F:F,0))</f>
        <v>#N/A</v>
      </c>
      <c r="I92" t="e">
        <f t="shared" si="8"/>
        <v>#N/A</v>
      </c>
    </row>
    <row r="93" spans="1:9">
      <c r="A93" t="s">
        <v>8497</v>
      </c>
      <c r="B93" t="s">
        <v>8498</v>
      </c>
      <c r="C93" t="s">
        <v>8499</v>
      </c>
      <c r="G93" t="str">
        <f t="shared" ref="G93:G105" si="13">B93&amp;":"&amp;C93</f>
        <v>{#SENSOR_INFO}: Fan speed is below the critical threshold of {#THRESHOLD_LO_CRIT}rpm for 5m</v>
      </c>
      <c r="H93" t="e">
        <f>INDEX('7.0.17'!G:G,MATCH(G93,'7.0.17'!F:F,0))</f>
        <v>#N/A</v>
      </c>
      <c r="I93" t="e">
        <f t="shared" si="8"/>
        <v>#N/A</v>
      </c>
    </row>
    <row r="94" spans="1:9">
      <c r="A94" t="s">
        <v>8497</v>
      </c>
      <c r="B94" t="s">
        <v>8498</v>
      </c>
      <c r="C94" t="s">
        <v>8500</v>
      </c>
      <c r="G94" t="str">
        <f t="shared" si="13"/>
        <v>{#SENSOR_INFO}: Fan speed is below the warning threshold of {#THRESHOLD_LO_WARN}rpm for 5m</v>
      </c>
      <c r="H94" t="e">
        <f>INDEX('7.0.17'!G:G,MATCH(G94,'7.0.17'!F:F,0))</f>
        <v>#N/A</v>
      </c>
      <c r="I94" t="e">
        <f t="shared" si="8"/>
        <v>#N/A</v>
      </c>
    </row>
    <row r="95" spans="1:9">
      <c r="A95" t="s">
        <v>8497</v>
      </c>
      <c r="B95" t="s">
        <v>8498</v>
      </c>
      <c r="C95" t="s">
        <v>8501</v>
      </c>
      <c r="G95" t="str">
        <f t="shared" si="13"/>
        <v>{#SENSOR_INFO}: Fan speed is above the critical threshold of {#THRESHOLD_HI_CRIT}rpm for 5m</v>
      </c>
      <c r="H95" t="e">
        <f>INDEX('7.0.17'!G:G,MATCH(G95,'7.0.17'!F:F,0))</f>
        <v>#N/A</v>
      </c>
      <c r="I95" t="e">
        <f t="shared" si="8"/>
        <v>#N/A</v>
      </c>
    </row>
    <row r="96" spans="1:9">
      <c r="A96" t="s">
        <v>8497</v>
      </c>
      <c r="B96" t="s">
        <v>8498</v>
      </c>
      <c r="C96" t="s">
        <v>8502</v>
      </c>
      <c r="G96" t="str">
        <f t="shared" si="13"/>
        <v>{#SENSOR_INFO}: Fan speed is above the warning threshold of {#THRESHOLD_HI_WARN}rpm for 5m</v>
      </c>
      <c r="H96" t="e">
        <f>INDEX('7.0.17'!G:G,MATCH(G96,'7.0.17'!F:F,0))</f>
        <v>#N/A</v>
      </c>
      <c r="I96" t="e">
        <f t="shared" si="8"/>
        <v>#N/A</v>
      </c>
    </row>
    <row r="97" spans="1:9">
      <c r="A97" t="s">
        <v>8497</v>
      </c>
      <c r="B97" t="s">
        <v>8498</v>
      </c>
      <c r="C97" t="s">
        <v>8503</v>
      </c>
      <c r="G97" t="str">
        <f t="shared" si="13"/>
        <v>{#SENSOR_INFO}: Temperature is below the critical threshold of {#THRESHOLD_LO_CRIT}°C for 5m</v>
      </c>
      <c r="H97" t="e">
        <f>INDEX('7.0.17'!G:G,MATCH(G97,'7.0.17'!F:F,0))</f>
        <v>#N/A</v>
      </c>
      <c r="I97" t="e">
        <f t="shared" si="8"/>
        <v>#N/A</v>
      </c>
    </row>
    <row r="98" spans="1:9">
      <c r="A98" t="s">
        <v>8497</v>
      </c>
      <c r="B98" t="s">
        <v>8498</v>
      </c>
      <c r="C98" t="s">
        <v>8504</v>
      </c>
      <c r="G98" t="str">
        <f t="shared" si="13"/>
        <v>{#SENSOR_INFO}: Temperature is below the warning threshold of {#THRESHOLD_LO_WARN}°C for 5m</v>
      </c>
      <c r="H98" t="e">
        <f>INDEX('7.0.17'!G:G,MATCH(G98,'7.0.17'!F:F,0))</f>
        <v>#N/A</v>
      </c>
      <c r="I98" t="e">
        <f t="shared" si="8"/>
        <v>#N/A</v>
      </c>
    </row>
    <row r="99" spans="1:9">
      <c r="A99" t="s">
        <v>8497</v>
      </c>
      <c r="B99" t="s">
        <v>8498</v>
      </c>
      <c r="C99" t="s">
        <v>8505</v>
      </c>
      <c r="G99" t="str">
        <f t="shared" si="13"/>
        <v>{#SENSOR_INFO}: Temperature is above the critical threshold of {#THRESHOLD_HI_CRIT}°C for 5m</v>
      </c>
      <c r="H99" t="e">
        <f>INDEX('7.0.17'!G:G,MATCH(G99,'7.0.17'!F:F,0))</f>
        <v>#N/A</v>
      </c>
      <c r="I99" t="e">
        <f t="shared" si="8"/>
        <v>#N/A</v>
      </c>
    </row>
    <row r="100" spans="1:9">
      <c r="A100" t="s">
        <v>8497</v>
      </c>
      <c r="B100" t="s">
        <v>8498</v>
      </c>
      <c r="C100" t="s">
        <v>8506</v>
      </c>
      <c r="G100" t="str">
        <f t="shared" si="13"/>
        <v>{#SENSOR_INFO}: Temperature is above the warning threshold of {#THRESHOLD_HI_WARN}°C for 5m</v>
      </c>
      <c r="H100" t="e">
        <f>INDEX('7.0.17'!G:G,MATCH(G100,'7.0.17'!F:F,0))</f>
        <v>#N/A</v>
      </c>
      <c r="I100" t="e">
        <f t="shared" si="8"/>
        <v>#N/A</v>
      </c>
    </row>
    <row r="101" spans="1:9">
      <c r="A101" t="s">
        <v>8497</v>
      </c>
      <c r="B101" t="s">
        <v>8498</v>
      </c>
      <c r="C101" t="s">
        <v>8507</v>
      </c>
      <c r="G101" t="str">
        <f t="shared" si="13"/>
        <v>{#SENSOR_INFO}: Voltage is below the critical threshold of {#THRESHOLD_LO_CRIT}V for 5m</v>
      </c>
      <c r="H101" t="e">
        <f>INDEX('7.0.17'!G:G,MATCH(G101,'7.0.17'!F:F,0))</f>
        <v>#N/A</v>
      </c>
      <c r="I101" t="e">
        <f t="shared" si="8"/>
        <v>#N/A</v>
      </c>
    </row>
    <row r="102" spans="1:9">
      <c r="A102" t="s">
        <v>8497</v>
      </c>
      <c r="B102" t="s">
        <v>8498</v>
      </c>
      <c r="C102" t="s">
        <v>8508</v>
      </c>
      <c r="G102" t="str">
        <f t="shared" si="13"/>
        <v>{#SENSOR_INFO}: Voltage is below the warning threshold of {#THRESHOLD_LO_WARN}V for 5m</v>
      </c>
      <c r="H102" t="e">
        <f>INDEX('7.0.17'!G:G,MATCH(G102,'7.0.17'!F:F,0))</f>
        <v>#N/A</v>
      </c>
      <c r="I102" t="e">
        <f t="shared" si="8"/>
        <v>#N/A</v>
      </c>
    </row>
    <row r="103" spans="1:9">
      <c r="A103" t="s">
        <v>8497</v>
      </c>
      <c r="B103" t="s">
        <v>8498</v>
      </c>
      <c r="C103" t="s">
        <v>8509</v>
      </c>
      <c r="G103" t="str">
        <f t="shared" si="13"/>
        <v>{#SENSOR_INFO}: Voltage is above the critical threshold of {#THRESHOLD_HI_CRIT}V for 5m</v>
      </c>
      <c r="H103" t="e">
        <f>INDEX('7.0.17'!G:G,MATCH(G103,'7.0.17'!F:F,0))</f>
        <v>#N/A</v>
      </c>
      <c r="I103" t="e">
        <f t="shared" si="8"/>
        <v>#N/A</v>
      </c>
    </row>
    <row r="104" spans="1:9">
      <c r="A104" t="s">
        <v>8497</v>
      </c>
      <c r="B104" t="s">
        <v>8498</v>
      </c>
      <c r="C104" t="s">
        <v>8510</v>
      </c>
      <c r="G104" t="str">
        <f t="shared" si="13"/>
        <v>{#SENSOR_INFO}: Voltage is above the warning threshold of {#THRESHOLD_HI_WARN}V for 5m</v>
      </c>
      <c r="H104" t="e">
        <f>INDEX('7.0.17'!G:G,MATCH(G104,'7.0.17'!F:F,0))</f>
        <v>#N/A</v>
      </c>
      <c r="I104" t="e">
        <f t="shared" si="8"/>
        <v>#N/A</v>
      </c>
    </row>
    <row r="105" spans="1:9">
      <c r="A105" t="s">
        <v>8497</v>
      </c>
      <c r="B105" t="s">
        <v>8446</v>
      </c>
      <c r="C105" t="s">
        <v>8447</v>
      </c>
      <c r="G105" t="str">
        <f t="shared" si="13"/>
        <v>{#ENT_NAME}: Device has been replaced (new serial number received)</v>
      </c>
      <c r="H105" t="e">
        <f>INDEX('7.0.17'!G:G,MATCH(G105,'7.0.17'!F:F,0))</f>
        <v>#N/A</v>
      </c>
      <c r="I105" t="e">
        <f t="shared" si="8"/>
        <v>#N/A</v>
      </c>
    </row>
    <row r="106" spans="1:9">
      <c r="A106" t="s">
        <v>8497</v>
      </c>
      <c r="B106" t="s">
        <v>8511</v>
      </c>
      <c r="C106" t="s">
        <v>8512</v>
      </c>
      <c r="D106" t="s">
        <v>8384</v>
      </c>
      <c r="G106" t="str">
        <f t="shared" ref="G106:G114" si="14">B106&amp;":"&amp;C106&amp;":"&amp;D106</f>
        <v>{#FSNAME}: Disk space is critically low (used &gt; {$VFS.FS.PUSED.MAX.CRIT:{#FSNAME}}%)</v>
      </c>
      <c r="H106" t="e">
        <f>INDEX('7.0.17'!G:G,MATCH(G106,'7.0.17'!F:F,0))</f>
        <v>#N/A</v>
      </c>
      <c r="I106" t="e">
        <f t="shared" si="8"/>
        <v>#N/A</v>
      </c>
    </row>
    <row r="107" spans="1:9">
      <c r="A107" t="s">
        <v>8497</v>
      </c>
      <c r="B107" t="s">
        <v>8511</v>
      </c>
      <c r="C107" t="s">
        <v>8513</v>
      </c>
      <c r="D107" t="s">
        <v>8384</v>
      </c>
      <c r="G107" t="str">
        <f t="shared" si="14"/>
        <v>{#FSNAME}: Disk space is low (used &gt; {$VFS.FS.PUSED.MAX.WARN:{#FSNAME}}%)</v>
      </c>
      <c r="H107" t="e">
        <f>INDEX('7.0.17'!G:G,MATCH(G107,'7.0.17'!F:F,0))</f>
        <v>#N/A</v>
      </c>
      <c r="I107" t="e">
        <f t="shared" si="8"/>
        <v>#N/A</v>
      </c>
    </row>
    <row r="108" spans="1:9">
      <c r="A108" t="s">
        <v>8497</v>
      </c>
      <c r="B108" t="s">
        <v>8514</v>
      </c>
      <c r="C108" t="s">
        <v>8515</v>
      </c>
      <c r="G108" t="str">
        <f>B108&amp;":"&amp;C108</f>
        <v>{#MEMNAME}: High memory utilization (&gt;{$MEMORY.UTIL.MAX}% for 5m)</v>
      </c>
      <c r="H108" t="e">
        <f>INDEX('7.0.17'!G:G,MATCH(G108,'7.0.17'!F:F,0))</f>
        <v>#N/A</v>
      </c>
      <c r="I108" t="e">
        <f t="shared" si="8"/>
        <v>#N/A</v>
      </c>
    </row>
    <row r="109" spans="1:9">
      <c r="A109" t="s">
        <v>8516</v>
      </c>
      <c r="B109" t="s">
        <v>8517</v>
      </c>
      <c r="C109" t="s">
        <v>8518</v>
      </c>
      <c r="D109" t="s">
        <v>8519</v>
      </c>
      <c r="G109" t="str">
        <f t="shared" si="14"/>
        <v>IAX trunk "{#OBJECTNAME}": Number of the IAX trunk "{#OBJECTNAME}" active channels is too high (over {$AMI.TRUNK_ACTIVE_CHANNELS.MAX.WARN:{#OBJECTNAME}} for 10m)</v>
      </c>
      <c r="H109" t="e">
        <f>INDEX('7.0.17'!G:G,MATCH(G109,'7.0.17'!F:F,0))</f>
        <v>#N/A</v>
      </c>
      <c r="I109" t="e">
        <f t="shared" si="8"/>
        <v>#N/A</v>
      </c>
    </row>
    <row r="110" spans="1:9">
      <c r="A110" t="s">
        <v>8516</v>
      </c>
      <c r="B110" t="s">
        <v>8520</v>
      </c>
      <c r="C110" t="s">
        <v>8521</v>
      </c>
      <c r="D110" t="s">
        <v>8519</v>
      </c>
      <c r="G110" t="str">
        <f t="shared" si="14"/>
        <v>PJSIP trunk "{#OBJECTNAME}": Number of the PJSIP trunk "{#OBJECTNAME}" active channels is too high (over {$AMI.TRUNK_ACTIVE_CHANNELS.MAX.WARN:{#OBJECTNAME}} for 10m)</v>
      </c>
      <c r="H110" t="e">
        <f>INDEX('7.0.17'!G:G,MATCH(G110,'7.0.17'!F:F,0))</f>
        <v>#N/A</v>
      </c>
      <c r="I110" t="e">
        <f t="shared" si="8"/>
        <v>#N/A</v>
      </c>
    </row>
    <row r="111" spans="1:9">
      <c r="A111" t="s">
        <v>8516</v>
      </c>
      <c r="B111" t="s">
        <v>8522</v>
      </c>
      <c r="C111" t="s">
        <v>8523</v>
      </c>
      <c r="D111" t="s">
        <v>8524</v>
      </c>
      <c r="G111" t="str">
        <f t="shared" si="14"/>
        <v>"{#QUEUE}": Number of callers in the queue "{#QUEUE}" is too high (over {$AMI.QUEUE_CALLERS.MAX.WARN:{#QUEUE}} for 10m)</v>
      </c>
      <c r="H111" t="e">
        <f>INDEX('7.0.17'!G:G,MATCH(G111,'7.0.17'!F:F,0))</f>
        <v>#N/A</v>
      </c>
      <c r="I111" t="e">
        <f t="shared" si="8"/>
        <v>#N/A</v>
      </c>
    </row>
    <row r="112" spans="1:9">
      <c r="A112" t="s">
        <v>8516</v>
      </c>
      <c r="B112" t="s">
        <v>8525</v>
      </c>
      <c r="C112" t="s">
        <v>8526</v>
      </c>
      <c r="D112" t="s">
        <v>8519</v>
      </c>
      <c r="G112" t="str">
        <f t="shared" si="14"/>
        <v>SIP trunk "{#OBJECTNAME}": Number of the SIP trunk "{#OBJECTNAME}" active channels is too high (over {$AMI.TRUNK_ACTIVE_CHANNELS.MAX.WARN:{#OBJECTNAME}} for 10m)</v>
      </c>
      <c r="H112" t="e">
        <f>INDEX('7.0.17'!G:G,MATCH(G112,'7.0.17'!F:F,0))</f>
        <v>#N/A</v>
      </c>
      <c r="I112" t="e">
        <f t="shared" si="8"/>
        <v>#N/A</v>
      </c>
    </row>
    <row r="113" spans="1:9">
      <c r="A113" t="s">
        <v>8527</v>
      </c>
      <c r="B113" t="s">
        <v>8433</v>
      </c>
      <c r="C113" t="s">
        <v>8434</v>
      </c>
      <c r="D113" t="s">
        <v>8435</v>
      </c>
      <c r="G113" t="str">
        <f t="shared" si="14"/>
        <v>Interface {#IFNAME}({#IFALIAS}): High error rate (&gt;{$IF.ERRORS.WARN:{#IFNAME}} for 5m)</v>
      </c>
      <c r="H113" t="e">
        <f>INDEX('7.0.17'!G:G,MATCH(G113,'7.0.17'!F:F,0))</f>
        <v>#N/A</v>
      </c>
      <c r="I113" t="e">
        <f t="shared" si="8"/>
        <v>#N/A</v>
      </c>
    </row>
    <row r="114" spans="1:9">
      <c r="A114" t="s">
        <v>8527</v>
      </c>
      <c r="B114" t="s">
        <v>8433</v>
      </c>
      <c r="C114" t="s">
        <v>8436</v>
      </c>
      <c r="D114" t="s">
        <v>8437</v>
      </c>
      <c r="G114" t="str">
        <f t="shared" si="14"/>
        <v>Interface {#IFNAME}({#IFALIAS}): High bandwidth usage (&gt;{$IF.UTIL.MAX:{#IFNAME}}%)</v>
      </c>
      <c r="H114" t="e">
        <f>INDEX('7.0.17'!G:G,MATCH(G114,'7.0.17'!F:F,0))</f>
        <v>#N/A</v>
      </c>
      <c r="I114" t="e">
        <f t="shared" si="8"/>
        <v>#N/A</v>
      </c>
    </row>
    <row r="115" spans="1:9">
      <c r="A115" t="s">
        <v>8527</v>
      </c>
      <c r="B115" t="s">
        <v>8498</v>
      </c>
      <c r="C115" t="s">
        <v>8442</v>
      </c>
      <c r="D115" t="s">
        <v>8443</v>
      </c>
      <c r="E115" t="s">
        <v>8528</v>
      </c>
      <c r="G115" t="str">
        <f t="shared" ref="G115:G117" si="15">B115&amp;":"&amp;C115&amp;":"&amp;D115&amp;":"&amp;E115</f>
        <v>{#SENSOR_INFO}: Temperature is above warning threshold: &gt;{$TEMP_WARN:"{#SENSOR_INFO}"}</v>
      </c>
      <c r="H115" t="e">
        <f>INDEX('7.0.17'!G:G,MATCH(G115,'7.0.17'!F:F,0))</f>
        <v>#N/A</v>
      </c>
      <c r="I115" t="e">
        <f t="shared" si="8"/>
        <v>#N/A</v>
      </c>
    </row>
    <row r="116" spans="1:9">
      <c r="A116" t="s">
        <v>8527</v>
      </c>
      <c r="B116" t="s">
        <v>8498</v>
      </c>
      <c r="C116" t="s">
        <v>8439</v>
      </c>
      <c r="D116" t="s">
        <v>8440</v>
      </c>
      <c r="E116" t="s">
        <v>8528</v>
      </c>
      <c r="G116" t="str">
        <f t="shared" si="15"/>
        <v>{#SENSOR_INFO}: Temperature is above critical threshold: &gt;{$TEMP_CRIT:"{#SENSOR_INFO}"}</v>
      </c>
      <c r="H116" t="e">
        <f>INDEX('7.0.17'!G:G,MATCH(G116,'7.0.17'!F:F,0))</f>
        <v>#N/A</v>
      </c>
      <c r="I116" t="e">
        <f t="shared" si="8"/>
        <v>#N/A</v>
      </c>
    </row>
    <row r="117" spans="1:9">
      <c r="A117" t="s">
        <v>8527</v>
      </c>
      <c r="B117" t="s">
        <v>8498</v>
      </c>
      <c r="C117" t="s">
        <v>8444</v>
      </c>
      <c r="D117" t="s">
        <v>8445</v>
      </c>
      <c r="E117" t="s">
        <v>8528</v>
      </c>
      <c r="G117" t="str">
        <f t="shared" si="15"/>
        <v>{#SENSOR_INFO}: Temperature is too low: &lt;{$TEMP_CRIT_LOW:"{#SENSOR_INFO}"}</v>
      </c>
      <c r="H117" t="e">
        <f>INDEX('7.0.17'!G:G,MATCH(G117,'7.0.17'!F:F,0))</f>
        <v>#N/A</v>
      </c>
      <c r="I117" t="e">
        <f t="shared" si="8"/>
        <v>#N/A</v>
      </c>
    </row>
    <row r="118" spans="1:9">
      <c r="A118" t="s">
        <v>8529</v>
      </c>
      <c r="B118" t="s">
        <v>8433</v>
      </c>
      <c r="C118" t="s">
        <v>8434</v>
      </c>
      <c r="D118" t="s">
        <v>8435</v>
      </c>
      <c r="G118" t="str">
        <f>B118&amp;":"&amp;C118&amp;":"&amp;D118</f>
        <v>Interface {#IFNAME}({#IFALIAS}): High error rate (&gt;{$IF.ERRORS.WARN:{#IFNAME}} for 5m)</v>
      </c>
      <c r="H118" t="e">
        <f>INDEX('7.0.17'!G:G,MATCH(G118,'7.0.17'!F:F,0))</f>
        <v>#N/A</v>
      </c>
      <c r="I118" t="e">
        <f t="shared" si="8"/>
        <v>#N/A</v>
      </c>
    </row>
    <row r="119" spans="1:9">
      <c r="A119" t="s">
        <v>8529</v>
      </c>
      <c r="B119" t="s">
        <v>8433</v>
      </c>
      <c r="C119" t="s">
        <v>8436</v>
      </c>
      <c r="D119" t="s">
        <v>8437</v>
      </c>
      <c r="G119" t="str">
        <f>B119&amp;":"&amp;C119&amp;":"&amp;D119</f>
        <v>Interface {#IFNAME}({#IFALIAS}): High bandwidth usage (&gt;{$IF.UTIL.MAX:{#IFNAME}}%)</v>
      </c>
      <c r="H119" t="e">
        <f>INDEX('7.0.17'!G:G,MATCH(G119,'7.0.17'!F:F,0))</f>
        <v>#N/A</v>
      </c>
      <c r="I119" t="e">
        <f t="shared" si="8"/>
        <v>#N/A</v>
      </c>
    </row>
    <row r="120" spans="1:9">
      <c r="A120" t="s">
        <v>8529</v>
      </c>
      <c r="B120" t="s">
        <v>8530</v>
      </c>
      <c r="C120" t="s">
        <v>8439</v>
      </c>
      <c r="D120" t="s">
        <v>8440</v>
      </c>
      <c r="E120" t="s">
        <v>8531</v>
      </c>
      <c r="G120" t="str">
        <f t="shared" ref="G120:G125" si="16">B120&amp;":"&amp;C120&amp;":"&amp;D120&amp;":"&amp;E120</f>
        <v>{#SENSOR_DESCR}: Temperature is above critical threshold: &gt;{$TEMP_CRIT:{#SENSOR_DESCR}}</v>
      </c>
      <c r="H120" t="e">
        <f>INDEX('7.0.17'!G:G,MATCH(G120,'7.0.17'!F:F,0))</f>
        <v>#N/A</v>
      </c>
      <c r="I120" t="e">
        <f t="shared" si="8"/>
        <v>#N/A</v>
      </c>
    </row>
    <row r="121" spans="1:9">
      <c r="A121" t="s">
        <v>8529</v>
      </c>
      <c r="B121" t="s">
        <v>8530</v>
      </c>
      <c r="C121" t="s">
        <v>8442</v>
      </c>
      <c r="D121" t="s">
        <v>8443</v>
      </c>
      <c r="E121" t="s">
        <v>8531</v>
      </c>
      <c r="G121" t="str">
        <f t="shared" si="16"/>
        <v>{#SENSOR_DESCR}: Temperature is above warning threshold: &gt;{$TEMP_WARN:{#SENSOR_DESCR}}</v>
      </c>
      <c r="H121" t="e">
        <f>INDEX('7.0.17'!G:G,MATCH(G121,'7.0.17'!F:F,0))</f>
        <v>#N/A</v>
      </c>
      <c r="I121" t="e">
        <f t="shared" si="8"/>
        <v>#N/A</v>
      </c>
    </row>
    <row r="122" spans="1:9">
      <c r="A122" t="s">
        <v>8529</v>
      </c>
      <c r="B122" t="s">
        <v>8530</v>
      </c>
      <c r="C122" t="s">
        <v>8444</v>
      </c>
      <c r="D122" t="s">
        <v>8445</v>
      </c>
      <c r="E122" t="s">
        <v>8531</v>
      </c>
      <c r="G122" t="str">
        <f t="shared" si="16"/>
        <v>{#SENSOR_DESCR}: Temperature is too low: &lt;{$TEMP_CRIT_LOW:{#SENSOR_DESCR}}</v>
      </c>
      <c r="H122" t="e">
        <f>INDEX('7.0.17'!G:G,MATCH(G122,'7.0.17'!F:F,0))</f>
        <v>#N/A</v>
      </c>
      <c r="I122" t="e">
        <f t="shared" si="8"/>
        <v>#N/A</v>
      </c>
    </row>
    <row r="123" spans="1:9">
      <c r="A123" t="s">
        <v>8529</v>
      </c>
      <c r="B123" t="s">
        <v>8532</v>
      </c>
      <c r="C123" t="s">
        <v>8442</v>
      </c>
      <c r="D123" t="s">
        <v>8443</v>
      </c>
      <c r="E123" t="s">
        <v>8533</v>
      </c>
      <c r="G123" t="str">
        <f t="shared" si="16"/>
        <v>Chassis #{#SNMPINDEX}: Temperature is above warning threshold: &gt;{$TEMP_WARN:Chassis}</v>
      </c>
      <c r="H123" t="e">
        <f>INDEX('7.0.17'!G:G,MATCH(G123,'7.0.17'!F:F,0))</f>
        <v>#N/A</v>
      </c>
      <c r="I123" t="e">
        <f t="shared" si="8"/>
        <v>#N/A</v>
      </c>
    </row>
    <row r="124" spans="1:9">
      <c r="A124" t="s">
        <v>8529</v>
      </c>
      <c r="B124" t="s">
        <v>8532</v>
      </c>
      <c r="C124" t="s">
        <v>8439</v>
      </c>
      <c r="D124" t="s">
        <v>8440</v>
      </c>
      <c r="E124" t="s">
        <v>8533</v>
      </c>
      <c r="G124" t="str">
        <f t="shared" si="16"/>
        <v>Chassis #{#SNMPINDEX}: Temperature is above critical threshold: &gt;{$TEMP_CRIT:Chassis}</v>
      </c>
      <c r="H124" t="e">
        <f>INDEX('7.0.17'!G:G,MATCH(G124,'7.0.17'!F:F,0))</f>
        <v>#N/A</v>
      </c>
      <c r="I124" t="e">
        <f t="shared" si="8"/>
        <v>#N/A</v>
      </c>
    </row>
    <row r="125" spans="1:9">
      <c r="A125" t="s">
        <v>8529</v>
      </c>
      <c r="B125" t="s">
        <v>8532</v>
      </c>
      <c r="C125" t="s">
        <v>8444</v>
      </c>
      <c r="D125" t="s">
        <v>8445</v>
      </c>
      <c r="E125" t="s">
        <v>8533</v>
      </c>
      <c r="G125" t="str">
        <f t="shared" si="16"/>
        <v>Chassis #{#SNMPINDEX}: Temperature is too low: &lt;{$TEMP_CRIT_LOW:Chassis}</v>
      </c>
      <c r="H125" t="e">
        <f>INDEX('7.0.17'!G:G,MATCH(G125,'7.0.17'!F:F,0))</f>
        <v>#N/A</v>
      </c>
      <c r="I125" t="e">
        <f t="shared" si="8"/>
        <v>#N/A</v>
      </c>
    </row>
    <row r="126" spans="1:9">
      <c r="A126" t="s">
        <v>8534</v>
      </c>
      <c r="B126" t="s">
        <v>8433</v>
      </c>
      <c r="C126" t="s">
        <v>8434</v>
      </c>
      <c r="D126" t="s">
        <v>8435</v>
      </c>
      <c r="G126" t="str">
        <f>B126&amp;":"&amp;C126&amp;":"&amp;D126</f>
        <v>Interface {#IFNAME}({#IFALIAS}): High error rate (&gt;{$IF.ERRORS.WARN:{#IFNAME}} for 5m)</v>
      </c>
      <c r="H126" t="e">
        <f>INDEX('7.0.17'!G:G,MATCH(G126,'7.0.17'!F:F,0))</f>
        <v>#N/A</v>
      </c>
      <c r="I126" t="e">
        <f t="shared" si="8"/>
        <v>#N/A</v>
      </c>
    </row>
    <row r="127" spans="1:9">
      <c r="A127" t="s">
        <v>8534</v>
      </c>
      <c r="B127" t="s">
        <v>8433</v>
      </c>
      <c r="C127" t="s">
        <v>8436</v>
      </c>
      <c r="D127" t="s">
        <v>8437</v>
      </c>
      <c r="G127" t="str">
        <f>B127&amp;":"&amp;C127&amp;":"&amp;D127</f>
        <v>Interface {#IFNAME}({#IFALIAS}): High bandwidth usage (&gt;{$IF.UTIL.MAX:{#IFNAME}}%)</v>
      </c>
      <c r="H127" t="e">
        <f>INDEX('7.0.17'!G:G,MATCH(G127,'7.0.17'!F:F,0))</f>
        <v>#N/A</v>
      </c>
      <c r="I127" t="e">
        <f t="shared" si="8"/>
        <v>#N/A</v>
      </c>
    </row>
    <row r="128" spans="1:9">
      <c r="A128" t="s">
        <v>8534</v>
      </c>
      <c r="B128" t="s">
        <v>8530</v>
      </c>
      <c r="C128" t="s">
        <v>8439</v>
      </c>
      <c r="D128" t="s">
        <v>8440</v>
      </c>
      <c r="E128" t="s">
        <v>8531</v>
      </c>
      <c r="G128" t="str">
        <f t="shared" ref="G128:G130" si="17">B128&amp;":"&amp;C128&amp;":"&amp;D128&amp;":"&amp;E128</f>
        <v>{#SENSOR_DESCR}: Temperature is above critical threshold: &gt;{$TEMP_CRIT:{#SENSOR_DESCR}}</v>
      </c>
      <c r="H128" t="e">
        <f>INDEX('7.0.17'!G:G,MATCH(G128,'7.0.17'!F:F,0))</f>
        <v>#N/A</v>
      </c>
      <c r="I128" t="e">
        <f t="shared" si="8"/>
        <v>#N/A</v>
      </c>
    </row>
    <row r="129" spans="1:9">
      <c r="A129" t="s">
        <v>8534</v>
      </c>
      <c r="B129" t="s">
        <v>8530</v>
      </c>
      <c r="C129" t="s">
        <v>8442</v>
      </c>
      <c r="D129" t="s">
        <v>8443</v>
      </c>
      <c r="E129" t="s">
        <v>8531</v>
      </c>
      <c r="G129" t="str">
        <f t="shared" si="17"/>
        <v>{#SENSOR_DESCR}: Temperature is above warning threshold: &gt;{$TEMP_WARN:{#SENSOR_DESCR}}</v>
      </c>
      <c r="H129" t="e">
        <f>INDEX('7.0.17'!G:G,MATCH(G129,'7.0.17'!F:F,0))</f>
        <v>#N/A</v>
      </c>
      <c r="I129" t="e">
        <f t="shared" si="8"/>
        <v>#N/A</v>
      </c>
    </row>
    <row r="130" spans="1:9">
      <c r="A130" t="s">
        <v>8534</v>
      </c>
      <c r="B130" t="s">
        <v>8530</v>
      </c>
      <c r="C130" t="s">
        <v>8444</v>
      </c>
      <c r="D130" t="s">
        <v>8445</v>
      </c>
      <c r="E130" t="s">
        <v>8531</v>
      </c>
      <c r="G130" t="str">
        <f t="shared" si="17"/>
        <v>{#SENSOR_DESCR}: Temperature is too low: &lt;{$TEMP_CRIT_LOW:{#SENSOR_DESCR}}</v>
      </c>
      <c r="H130" t="e">
        <f>INDEX('7.0.17'!G:G,MATCH(G130,'7.0.17'!F:F,0))</f>
        <v>#N/A</v>
      </c>
      <c r="I130" t="e">
        <f t="shared" si="8"/>
        <v>#N/A</v>
      </c>
    </row>
    <row r="131" spans="1:9">
      <c r="A131" t="s">
        <v>8534</v>
      </c>
      <c r="B131" t="s">
        <v>8535</v>
      </c>
      <c r="C131" t="s">
        <v>8447</v>
      </c>
      <c r="G131" t="str">
        <f>B131&amp;":"&amp;C131</f>
        <v>Unit {#SNMPVALUE}: Device has been replaced (new serial number received)</v>
      </c>
      <c r="H131" t="e">
        <f>INDEX('7.0.17'!G:G,MATCH(G131,'7.0.17'!F:F,0))</f>
        <v>#N/A</v>
      </c>
      <c r="I131" t="e">
        <f t="shared" ref="I131:I194" si="18">A131&amp;": "&amp;H131</f>
        <v>#N/A</v>
      </c>
    </row>
    <row r="132" spans="1:9">
      <c r="A132" t="s">
        <v>8536</v>
      </c>
      <c r="B132" t="s">
        <v>8537</v>
      </c>
      <c r="G132" t="str">
        <f t="shared" ref="G132:G137" si="19">B132</f>
        <v>{#SENSOR_ID} value is below non-critical low (less than {#SENSOR_LO_WARN} for 5m)</v>
      </c>
      <c r="H132" t="e">
        <f>INDEX('7.0.17'!G:G,MATCH(G132,'7.0.17'!F:F,0))</f>
        <v>#N/A</v>
      </c>
      <c r="I132" t="e">
        <f t="shared" si="18"/>
        <v>#N/A</v>
      </c>
    </row>
    <row r="133" spans="1:9">
      <c r="A133" t="s">
        <v>8536</v>
      </c>
      <c r="B133" t="s">
        <v>8538</v>
      </c>
      <c r="G133" t="str">
        <f t="shared" si="19"/>
        <v>{#SENSOR_ID} value is below critical low (less than {#SENSOR_LO_CRIT} for 5m)</v>
      </c>
      <c r="H133" t="e">
        <f>INDEX('7.0.17'!G:G,MATCH(G133,'7.0.17'!F:F,0))</f>
        <v>#N/A</v>
      </c>
      <c r="I133" t="e">
        <f t="shared" si="18"/>
        <v>#N/A</v>
      </c>
    </row>
    <row r="134" spans="1:9">
      <c r="A134" t="s">
        <v>8536</v>
      </c>
      <c r="B134" t="s">
        <v>8539</v>
      </c>
      <c r="G134" t="str">
        <f t="shared" si="19"/>
        <v>{#SENSOR_ID} value is below non-recoverable low (less than {#SENSOR_LO_DISAST} for 5m)</v>
      </c>
      <c r="H134" t="e">
        <f>INDEX('7.0.17'!G:G,MATCH(G134,'7.0.17'!F:F,0))</f>
        <v>#N/A</v>
      </c>
      <c r="I134" t="e">
        <f t="shared" si="18"/>
        <v>#N/A</v>
      </c>
    </row>
    <row r="135" spans="1:9">
      <c r="A135" t="s">
        <v>8536</v>
      </c>
      <c r="B135" t="s">
        <v>8540</v>
      </c>
      <c r="G135" t="str">
        <f t="shared" si="19"/>
        <v>{#SENSOR_ID} value is above non-critical high (greater than {#SENSOR_HI_WARN} for 5m)</v>
      </c>
      <c r="H135" t="e">
        <f>INDEX('7.0.17'!G:G,MATCH(G135,'7.0.17'!F:F,0))</f>
        <v>#N/A</v>
      </c>
      <c r="I135" t="e">
        <f t="shared" si="18"/>
        <v>#N/A</v>
      </c>
    </row>
    <row r="136" spans="1:9">
      <c r="A136" t="s">
        <v>8536</v>
      </c>
      <c r="B136" t="s">
        <v>8541</v>
      </c>
      <c r="G136" t="str">
        <f t="shared" si="19"/>
        <v>{#SENSOR_ID} value is above critical high (greater than {#SENSOR_HI_CRIT} for 5m)</v>
      </c>
      <c r="H136" t="e">
        <f>INDEX('7.0.17'!G:G,MATCH(G136,'7.0.17'!F:F,0))</f>
        <v>#N/A</v>
      </c>
      <c r="I136" t="e">
        <f t="shared" si="18"/>
        <v>#N/A</v>
      </c>
    </row>
    <row r="137" spans="1:9">
      <c r="A137" t="s">
        <v>8536</v>
      </c>
      <c r="B137" t="s">
        <v>8542</v>
      </c>
      <c r="G137" t="str">
        <f t="shared" si="19"/>
        <v>{#SENSOR_ID} value is above non-recoverable high (greater than {#SENSOR_HI_DISAST} for 5m)</v>
      </c>
      <c r="H137" t="e">
        <f>INDEX('7.0.17'!G:G,MATCH(G137,'7.0.17'!F:F,0))</f>
        <v>#N/A</v>
      </c>
      <c r="I137" t="e">
        <f t="shared" si="18"/>
        <v>#N/A</v>
      </c>
    </row>
    <row r="138" spans="1:9">
      <c r="A138" t="s">
        <v>8543</v>
      </c>
      <c r="B138" t="s">
        <v>8433</v>
      </c>
      <c r="C138" t="s">
        <v>8544</v>
      </c>
      <c r="D138" t="s">
        <v>8435</v>
      </c>
      <c r="G138" t="str">
        <f t="shared" ref="G138:G149" si="20">B138&amp;":"&amp;C138&amp;":"&amp;D138</f>
        <v>Interface {#IFNAME}({#IFALIAS}): High error rate (&gt;{$NET.IF.ERRORS.WARN:{#IFNAME}} for 5m)</v>
      </c>
      <c r="H138" t="e">
        <f>INDEX('7.0.17'!G:G,MATCH(G138,'7.0.17'!F:F,0))</f>
        <v>#N/A</v>
      </c>
      <c r="I138" t="e">
        <f t="shared" si="18"/>
        <v>#N/A</v>
      </c>
    </row>
    <row r="139" spans="1:9">
      <c r="A139" t="s">
        <v>8543</v>
      </c>
      <c r="B139" t="s">
        <v>8433</v>
      </c>
      <c r="C139" t="s">
        <v>8545</v>
      </c>
      <c r="D139" t="s">
        <v>8437</v>
      </c>
      <c r="G139" t="str">
        <f t="shared" si="20"/>
        <v>Interface {#IFNAME}({#IFALIAS}): High bandwidth usage (&gt;{$NET.IF.UTIL.MAX:{#IFNAME}}%)</v>
      </c>
      <c r="H139" t="e">
        <f>INDEX('7.0.17'!G:G,MATCH(G139,'7.0.17'!F:F,0))</f>
        <v>#N/A</v>
      </c>
      <c r="I139" t="e">
        <f t="shared" si="18"/>
        <v>#N/A</v>
      </c>
    </row>
    <row r="140" spans="1:9">
      <c r="A140" t="s">
        <v>8543</v>
      </c>
      <c r="B140" t="s">
        <v>8546</v>
      </c>
      <c r="C140" t="s">
        <v>8439</v>
      </c>
      <c r="D140" t="s">
        <v>8547</v>
      </c>
      <c r="E140" t="s">
        <v>8548</v>
      </c>
      <c r="G140" t="str">
        <f t="shared" ref="G140:G142" si="21">B140&amp;":"&amp;C140&amp;":"&amp;D140&amp;":"&amp;E140</f>
        <v>{#SENSOR.NAME}: Temperature is above critical threshold: &gt;{$TEMP.VALUE.CRIT:"{#SENSOR.NAME}"}</v>
      </c>
      <c r="H140" t="e">
        <f>INDEX('7.0.17'!G:G,MATCH(G140,'7.0.17'!F:F,0))</f>
        <v>#N/A</v>
      </c>
      <c r="I140" t="e">
        <f t="shared" si="18"/>
        <v>#N/A</v>
      </c>
    </row>
    <row r="141" spans="1:9">
      <c r="A141" t="s">
        <v>8543</v>
      </c>
      <c r="B141" t="s">
        <v>8546</v>
      </c>
      <c r="C141" t="s">
        <v>8442</v>
      </c>
      <c r="D141" t="s">
        <v>8549</v>
      </c>
      <c r="E141" t="s">
        <v>8548</v>
      </c>
      <c r="G141" t="str">
        <f t="shared" si="21"/>
        <v>{#SENSOR.NAME}: Temperature is above warning threshold: &gt;{$TEMP.VALUE.WARN:"{#SENSOR.NAME}"}</v>
      </c>
      <c r="H141" t="e">
        <f>INDEX('7.0.17'!G:G,MATCH(G141,'7.0.17'!F:F,0))</f>
        <v>#N/A</v>
      </c>
      <c r="I141" t="e">
        <f t="shared" si="18"/>
        <v>#N/A</v>
      </c>
    </row>
    <row r="142" spans="1:9">
      <c r="A142" t="s">
        <v>8543</v>
      </c>
      <c r="B142" t="s">
        <v>8546</v>
      </c>
      <c r="C142" t="s">
        <v>8444</v>
      </c>
      <c r="D142" t="s">
        <v>8550</v>
      </c>
      <c r="E142" t="s">
        <v>8548</v>
      </c>
      <c r="G142" t="str">
        <f t="shared" si="21"/>
        <v>{#SENSOR.NAME}: Temperature is too low: &lt;{$TEMP.VALUE.LOW:"{#SENSOR.NAME}"}</v>
      </c>
      <c r="H142" t="e">
        <f>INDEX('7.0.17'!G:G,MATCH(G142,'7.0.17'!F:F,0))</f>
        <v>#N/A</v>
      </c>
      <c r="I142" t="e">
        <f t="shared" si="18"/>
        <v>#N/A</v>
      </c>
    </row>
    <row r="143" spans="1:9">
      <c r="A143" t="s">
        <v>8543</v>
      </c>
      <c r="B143" t="s">
        <v>8551</v>
      </c>
      <c r="C143" t="s">
        <v>8552</v>
      </c>
      <c r="D143" t="s">
        <v>8553</v>
      </c>
      <c r="G143" t="str">
        <f t="shared" si="20"/>
        <v>{#SW.NAME}: License expires soon (less than {$LICENSE.EXPIRY.WARN:"{#SW.NAME}"} days)</v>
      </c>
      <c r="H143" t="e">
        <f>INDEX('7.0.17'!G:G,MATCH(G143,'7.0.17'!F:F,0))</f>
        <v>#N/A</v>
      </c>
      <c r="I143" t="e">
        <f t="shared" si="18"/>
        <v>#N/A</v>
      </c>
    </row>
    <row r="144" spans="1:9">
      <c r="A144" t="s">
        <v>8543</v>
      </c>
      <c r="B144" t="s">
        <v>8554</v>
      </c>
      <c r="C144" t="s">
        <v>8555</v>
      </c>
      <c r="D144" t="s">
        <v>8556</v>
      </c>
      <c r="G144" t="str">
        <f t="shared" si="20"/>
        <v>{#DISK.NAME}: Disk space is critically low (used &gt; {$DISK.PUSED.MAX.CRIT:"{#DISK.NAME}"}%)</v>
      </c>
      <c r="H144" t="e">
        <f>INDEX('7.0.17'!G:G,MATCH(G144,'7.0.17'!F:F,0))</f>
        <v>#N/A</v>
      </c>
      <c r="I144" t="e">
        <f t="shared" si="18"/>
        <v>#N/A</v>
      </c>
    </row>
    <row r="145" spans="1:9">
      <c r="A145" t="s">
        <v>8543</v>
      </c>
      <c r="B145" t="s">
        <v>8554</v>
      </c>
      <c r="C145" t="s">
        <v>8557</v>
      </c>
      <c r="D145" t="s">
        <v>8556</v>
      </c>
      <c r="G145" t="str">
        <f t="shared" si="20"/>
        <v>{#DISK.NAME}: Disk space is low (used &gt; {$DISK.PUSED.MAX.WARN:"{#DISK.NAME}"}%)</v>
      </c>
      <c r="H145" t="e">
        <f>INDEX('7.0.17'!G:G,MATCH(G145,'7.0.17'!F:F,0))</f>
        <v>#N/A</v>
      </c>
      <c r="I145" t="e">
        <f t="shared" si="18"/>
        <v>#N/A</v>
      </c>
    </row>
    <row r="146" spans="1:9">
      <c r="A146" t="s">
        <v>8558</v>
      </c>
      <c r="B146" t="s">
        <v>8433</v>
      </c>
      <c r="C146" t="s">
        <v>8559</v>
      </c>
      <c r="D146" t="s">
        <v>8435</v>
      </c>
      <c r="G146" t="str">
        <f t="shared" si="20"/>
        <v>Interface {#IFNAME}({#IFALIAS}): High input error rate ( &gt; {$IF.ERRORS.WARN:{#IFNAME}} for 5m)</v>
      </c>
      <c r="H146" t="e">
        <f>INDEX('7.0.17'!G:G,MATCH(G146,'7.0.17'!F:F,0))</f>
        <v>#N/A</v>
      </c>
      <c r="I146" t="e">
        <f t="shared" si="18"/>
        <v>#N/A</v>
      </c>
    </row>
    <row r="147" spans="1:9">
      <c r="A147" t="s">
        <v>8558</v>
      </c>
      <c r="B147" t="s">
        <v>8433</v>
      </c>
      <c r="C147" t="s">
        <v>8560</v>
      </c>
      <c r="D147" t="s">
        <v>8561</v>
      </c>
      <c r="G147" t="str">
        <f t="shared" si="20"/>
        <v>Interface {#IFNAME}({#IFALIAS}): High inbound bandwidth usage ( &gt; {$IF.UTIL.MAX:{#IFNAME}}% )</v>
      </c>
      <c r="H147" t="e">
        <f>INDEX('7.0.17'!G:G,MATCH(G147,'7.0.17'!F:F,0))</f>
        <v>#N/A</v>
      </c>
      <c r="I147" t="e">
        <f t="shared" si="18"/>
        <v>#N/A</v>
      </c>
    </row>
    <row r="148" spans="1:9">
      <c r="A148" t="s">
        <v>8558</v>
      </c>
      <c r="B148" t="s">
        <v>8433</v>
      </c>
      <c r="C148" t="s">
        <v>8562</v>
      </c>
      <c r="D148" t="s">
        <v>8435</v>
      </c>
      <c r="G148" t="str">
        <f t="shared" si="20"/>
        <v>Interface {#IFNAME}({#IFALIAS}): High output error rate ( &gt; {$IF.ERRORS.WARN:{#IFNAME}} for 5m)</v>
      </c>
      <c r="H148" t="e">
        <f>INDEX('7.0.17'!G:G,MATCH(G148,'7.0.17'!F:F,0))</f>
        <v>#N/A</v>
      </c>
      <c r="I148" t="e">
        <f t="shared" si="18"/>
        <v>#N/A</v>
      </c>
    </row>
    <row r="149" spans="1:9">
      <c r="A149" t="s">
        <v>8558</v>
      </c>
      <c r="B149" t="s">
        <v>8433</v>
      </c>
      <c r="C149" t="s">
        <v>8563</v>
      </c>
      <c r="D149" t="s">
        <v>8561</v>
      </c>
      <c r="G149" t="str">
        <f t="shared" si="20"/>
        <v>Interface {#IFNAME}({#IFALIAS}): High outbound bandwidth usage ( &gt; {$IF.UTIL.MAX:{#IFNAME}}% )</v>
      </c>
      <c r="H149" t="e">
        <f>INDEX('7.0.17'!G:G,MATCH(G149,'7.0.17'!F:F,0))</f>
        <v>#N/A</v>
      </c>
      <c r="I149" t="e">
        <f t="shared" si="18"/>
        <v>#N/A</v>
      </c>
    </row>
    <row r="150" spans="1:9">
      <c r="A150" t="s">
        <v>8558</v>
      </c>
      <c r="B150" t="s">
        <v>8438</v>
      </c>
      <c r="C150" t="s">
        <v>8439</v>
      </c>
      <c r="D150" t="s">
        <v>8440</v>
      </c>
      <c r="E150" t="s">
        <v>8441</v>
      </c>
      <c r="G150" t="str">
        <f t="shared" ref="G150:G152" si="22">B150&amp;":"&amp;C150&amp;":"&amp;D150&amp;":"&amp;E150</f>
        <v>{#SNMPVALUE}: Temperature is above critical threshold: &gt;{$TEMP_CRIT:{#SNMPVALUE}}</v>
      </c>
      <c r="H150" t="e">
        <f>INDEX('7.0.17'!G:G,MATCH(G150,'7.0.17'!F:F,0))</f>
        <v>#N/A</v>
      </c>
      <c r="I150" t="e">
        <f t="shared" si="18"/>
        <v>#N/A</v>
      </c>
    </row>
    <row r="151" spans="1:9">
      <c r="A151" t="s">
        <v>8558</v>
      </c>
      <c r="B151" t="s">
        <v>8438</v>
      </c>
      <c r="C151" t="s">
        <v>8442</v>
      </c>
      <c r="D151" t="s">
        <v>8443</v>
      </c>
      <c r="E151" t="s">
        <v>8441</v>
      </c>
      <c r="G151" t="str">
        <f t="shared" si="22"/>
        <v>{#SNMPVALUE}: Temperature is above warning threshold: &gt;{$TEMP_WARN:{#SNMPVALUE}}</v>
      </c>
      <c r="H151" t="e">
        <f>INDEX('7.0.17'!G:G,MATCH(G151,'7.0.17'!F:F,0))</f>
        <v>#N/A</v>
      </c>
      <c r="I151" t="e">
        <f t="shared" si="18"/>
        <v>#N/A</v>
      </c>
    </row>
    <row r="152" spans="1:9">
      <c r="A152" t="s">
        <v>8558</v>
      </c>
      <c r="B152" t="s">
        <v>8438</v>
      </c>
      <c r="C152" t="s">
        <v>8444</v>
      </c>
      <c r="D152" t="s">
        <v>8445</v>
      </c>
      <c r="E152" t="s">
        <v>8441</v>
      </c>
      <c r="G152" t="str">
        <f t="shared" si="22"/>
        <v>{#SNMPVALUE}: Temperature is too low: &lt;{$TEMP_CRIT_LOW:{#SNMPVALUE}}</v>
      </c>
      <c r="H152" t="e">
        <f>INDEX('7.0.17'!G:G,MATCH(G152,'7.0.17'!F:F,0))</f>
        <v>#N/A</v>
      </c>
      <c r="I152" t="e">
        <f t="shared" si="18"/>
        <v>#N/A</v>
      </c>
    </row>
    <row r="153" spans="1:9">
      <c r="A153" t="s">
        <v>8558</v>
      </c>
      <c r="B153" t="s">
        <v>8564</v>
      </c>
      <c r="C153" t="s">
        <v>8565</v>
      </c>
      <c r="G153" t="str">
        <f t="shared" ref="G153:G155" si="23">B153&amp;":"&amp;C153</f>
        <v>#{#SNMPINDEX}: High CPU utilization (over {$CPU.UTIL.CRIT}% for 5m)</v>
      </c>
      <c r="H153" t="e">
        <f>INDEX('7.0.17'!G:G,MATCH(G153,'7.0.17'!F:F,0))</f>
        <v>#N/A</v>
      </c>
      <c r="I153" t="e">
        <f t="shared" si="18"/>
        <v>#N/A</v>
      </c>
    </row>
    <row r="154" spans="1:9">
      <c r="A154" t="s">
        <v>8558</v>
      </c>
      <c r="B154" t="s">
        <v>8446</v>
      </c>
      <c r="C154" t="s">
        <v>8447</v>
      </c>
      <c r="G154" t="str">
        <f t="shared" si="23"/>
        <v>{#ENT_NAME}: Device has been replaced (new serial number received)</v>
      </c>
      <c r="H154" t="e">
        <f>INDEX('7.0.17'!G:G,MATCH(G154,'7.0.17'!F:F,0))</f>
        <v>#N/A</v>
      </c>
      <c r="I154" t="e">
        <f t="shared" si="18"/>
        <v>#N/A</v>
      </c>
    </row>
    <row r="155" spans="1:9">
      <c r="A155" t="s">
        <v>8558</v>
      </c>
      <c r="B155" t="s">
        <v>8438</v>
      </c>
      <c r="C155" t="s">
        <v>8566</v>
      </c>
      <c r="G155" t="str">
        <f t="shared" si="23"/>
        <v>{#SNMPVALUE}: High memory utilization ( &gt;{$MEMORY.UTIL.MAX}% for 5m)</v>
      </c>
      <c r="H155" t="e">
        <f>INDEX('7.0.17'!G:G,MATCH(G155,'7.0.17'!F:F,0))</f>
        <v>#N/A</v>
      </c>
      <c r="I155" t="e">
        <f t="shared" si="18"/>
        <v>#N/A</v>
      </c>
    </row>
    <row r="156" spans="1:9">
      <c r="A156" t="s">
        <v>8567</v>
      </c>
      <c r="B156" t="s">
        <v>8433</v>
      </c>
      <c r="C156" t="s">
        <v>8559</v>
      </c>
      <c r="D156" t="s">
        <v>8435</v>
      </c>
      <c r="G156" t="str">
        <f t="shared" ref="G156:G159" si="24">B156&amp;":"&amp;C156&amp;":"&amp;D156</f>
        <v>Interface {#IFNAME}({#IFALIAS}): High input error rate ( &gt; {$IF.ERRORS.WARN:{#IFNAME}} for 5m)</v>
      </c>
      <c r="H156" t="e">
        <f>INDEX('7.0.17'!G:G,MATCH(G156,'7.0.17'!F:F,0))</f>
        <v>#N/A</v>
      </c>
      <c r="I156" t="e">
        <f t="shared" si="18"/>
        <v>#N/A</v>
      </c>
    </row>
    <row r="157" spans="1:9">
      <c r="A157" t="s">
        <v>8567</v>
      </c>
      <c r="B157" t="s">
        <v>8433</v>
      </c>
      <c r="C157" t="s">
        <v>8560</v>
      </c>
      <c r="D157" t="s">
        <v>8561</v>
      </c>
      <c r="G157" t="str">
        <f t="shared" si="24"/>
        <v>Interface {#IFNAME}({#IFALIAS}): High inbound bandwidth usage ( &gt; {$IF.UTIL.MAX:{#IFNAME}}% )</v>
      </c>
      <c r="H157" t="e">
        <f>INDEX('7.0.17'!G:G,MATCH(G157,'7.0.17'!F:F,0))</f>
        <v>#N/A</v>
      </c>
      <c r="I157" t="e">
        <f t="shared" si="18"/>
        <v>#N/A</v>
      </c>
    </row>
    <row r="158" spans="1:9">
      <c r="A158" t="s">
        <v>8567</v>
      </c>
      <c r="B158" t="s">
        <v>8433</v>
      </c>
      <c r="C158" t="s">
        <v>8562</v>
      </c>
      <c r="D158" t="s">
        <v>8435</v>
      </c>
      <c r="G158" t="str">
        <f t="shared" si="24"/>
        <v>Interface {#IFNAME}({#IFALIAS}): High output error rate ( &gt; {$IF.ERRORS.WARN:{#IFNAME}} for 5m)</v>
      </c>
      <c r="H158" t="e">
        <f>INDEX('7.0.17'!G:G,MATCH(G158,'7.0.17'!F:F,0))</f>
        <v>#N/A</v>
      </c>
      <c r="I158" t="e">
        <f t="shared" si="18"/>
        <v>#N/A</v>
      </c>
    </row>
    <row r="159" spans="1:9">
      <c r="A159" t="s">
        <v>8567</v>
      </c>
      <c r="B159" t="s">
        <v>8433</v>
      </c>
      <c r="C159" t="s">
        <v>8563</v>
      </c>
      <c r="D159" t="s">
        <v>8561</v>
      </c>
      <c r="G159" t="str">
        <f t="shared" si="24"/>
        <v>Interface {#IFNAME}({#IFALIAS}): High outbound bandwidth usage ( &gt; {$IF.UTIL.MAX:{#IFNAME}}% )</v>
      </c>
      <c r="H159" t="e">
        <f>INDEX('7.0.17'!G:G,MATCH(G159,'7.0.17'!F:F,0))</f>
        <v>#N/A</v>
      </c>
      <c r="I159" t="e">
        <f t="shared" si="18"/>
        <v>#N/A</v>
      </c>
    </row>
    <row r="160" spans="1:9">
      <c r="A160" t="s">
        <v>8567</v>
      </c>
      <c r="B160" t="s">
        <v>8438</v>
      </c>
      <c r="C160" t="s">
        <v>8439</v>
      </c>
      <c r="D160" t="s">
        <v>8440</v>
      </c>
      <c r="E160" t="s">
        <v>8441</v>
      </c>
      <c r="G160" t="str">
        <f t="shared" ref="G160:G162" si="25">B160&amp;":"&amp;C160&amp;":"&amp;D160&amp;":"&amp;E160</f>
        <v>{#SNMPVALUE}: Temperature is above critical threshold: &gt;{$TEMP_CRIT:{#SNMPVALUE}}</v>
      </c>
      <c r="H160" t="e">
        <f>INDEX('7.0.17'!G:G,MATCH(G160,'7.0.17'!F:F,0))</f>
        <v>#N/A</v>
      </c>
      <c r="I160" t="e">
        <f t="shared" si="18"/>
        <v>#N/A</v>
      </c>
    </row>
    <row r="161" spans="1:9">
      <c r="A161" t="s">
        <v>8567</v>
      </c>
      <c r="B161" t="s">
        <v>8438</v>
      </c>
      <c r="C161" t="s">
        <v>8442</v>
      </c>
      <c r="D161" t="s">
        <v>8443</v>
      </c>
      <c r="E161" t="s">
        <v>8441</v>
      </c>
      <c r="G161" t="str">
        <f t="shared" si="25"/>
        <v>{#SNMPVALUE}: Temperature is above warning threshold: &gt;{$TEMP_WARN:{#SNMPVALUE}}</v>
      </c>
      <c r="H161" t="e">
        <f>INDEX('7.0.17'!G:G,MATCH(G161,'7.0.17'!F:F,0))</f>
        <v>#N/A</v>
      </c>
      <c r="I161" t="e">
        <f t="shared" si="18"/>
        <v>#N/A</v>
      </c>
    </row>
    <row r="162" spans="1:9">
      <c r="A162" t="s">
        <v>8567</v>
      </c>
      <c r="B162" t="s">
        <v>8438</v>
      </c>
      <c r="C162" t="s">
        <v>8444</v>
      </c>
      <c r="D162" t="s">
        <v>8445</v>
      </c>
      <c r="E162" t="s">
        <v>8441</v>
      </c>
      <c r="G162" t="str">
        <f t="shared" si="25"/>
        <v>{#SNMPVALUE}: Temperature is too low: &lt;{$TEMP_CRIT_LOW:{#SNMPVALUE}}</v>
      </c>
      <c r="H162" t="e">
        <f>INDEX('7.0.17'!G:G,MATCH(G162,'7.0.17'!F:F,0))</f>
        <v>#N/A</v>
      </c>
      <c r="I162" t="e">
        <f t="shared" si="18"/>
        <v>#N/A</v>
      </c>
    </row>
    <row r="163" spans="1:9">
      <c r="A163" t="s">
        <v>8567</v>
      </c>
      <c r="B163" t="s">
        <v>8564</v>
      </c>
      <c r="C163" t="s">
        <v>8565</v>
      </c>
      <c r="G163" t="str">
        <f t="shared" ref="G163:G165" si="26">B163&amp;":"&amp;C163</f>
        <v>#{#SNMPINDEX}: High CPU utilization (over {$CPU.UTIL.CRIT}% for 5m)</v>
      </c>
      <c r="H163" t="e">
        <f>INDEX('7.0.17'!G:G,MATCH(G163,'7.0.17'!F:F,0))</f>
        <v>#N/A</v>
      </c>
      <c r="I163" t="e">
        <f t="shared" si="18"/>
        <v>#N/A</v>
      </c>
    </row>
    <row r="164" spans="1:9">
      <c r="A164" t="s">
        <v>8567</v>
      </c>
      <c r="B164" t="s">
        <v>8446</v>
      </c>
      <c r="C164" t="s">
        <v>8447</v>
      </c>
      <c r="G164" t="str">
        <f t="shared" si="26"/>
        <v>{#ENT_NAME}: Device has been replaced (new serial number received)</v>
      </c>
      <c r="H164" t="e">
        <f>INDEX('7.0.17'!G:G,MATCH(G164,'7.0.17'!F:F,0))</f>
        <v>#N/A</v>
      </c>
      <c r="I164" t="e">
        <f t="shared" si="18"/>
        <v>#N/A</v>
      </c>
    </row>
    <row r="165" spans="1:9">
      <c r="A165" t="s">
        <v>8567</v>
      </c>
      <c r="B165" t="s">
        <v>8438</v>
      </c>
      <c r="C165" t="s">
        <v>8566</v>
      </c>
      <c r="G165" t="str">
        <f t="shared" si="26"/>
        <v>{#SNMPVALUE}: High memory utilization ( &gt;{$MEMORY.UTIL.MAX}% for 5m)</v>
      </c>
      <c r="H165" t="e">
        <f>INDEX('7.0.17'!G:G,MATCH(G165,'7.0.17'!F:F,0))</f>
        <v>#N/A</v>
      </c>
      <c r="I165" t="e">
        <f t="shared" si="18"/>
        <v>#N/A</v>
      </c>
    </row>
    <row r="166" spans="1:9">
      <c r="A166" t="s">
        <v>8568</v>
      </c>
      <c r="B166" t="s">
        <v>8433</v>
      </c>
      <c r="C166" t="s">
        <v>8559</v>
      </c>
      <c r="D166" t="s">
        <v>8435</v>
      </c>
      <c r="G166" t="str">
        <f t="shared" ref="G166:G169" si="27">B166&amp;":"&amp;C166&amp;":"&amp;D166</f>
        <v>Interface {#IFNAME}({#IFALIAS}): High input error rate ( &gt; {$IF.ERRORS.WARN:{#IFNAME}} for 5m)</v>
      </c>
      <c r="H166" t="e">
        <f>INDEX('7.0.17'!G:G,MATCH(G166,'7.0.17'!F:F,0))</f>
        <v>#N/A</v>
      </c>
      <c r="I166" t="e">
        <f t="shared" si="18"/>
        <v>#N/A</v>
      </c>
    </row>
    <row r="167" spans="1:9">
      <c r="A167" t="s">
        <v>8568</v>
      </c>
      <c r="B167" t="s">
        <v>8433</v>
      </c>
      <c r="C167" t="s">
        <v>8560</v>
      </c>
      <c r="D167" t="s">
        <v>8561</v>
      </c>
      <c r="G167" t="str">
        <f t="shared" si="27"/>
        <v>Interface {#IFNAME}({#IFALIAS}): High inbound bandwidth usage ( &gt; {$IF.UTIL.MAX:{#IFNAME}}% )</v>
      </c>
      <c r="H167" t="e">
        <f>INDEX('7.0.17'!G:G,MATCH(G167,'7.0.17'!F:F,0))</f>
        <v>#N/A</v>
      </c>
      <c r="I167" t="e">
        <f t="shared" si="18"/>
        <v>#N/A</v>
      </c>
    </row>
    <row r="168" spans="1:9">
      <c r="A168" t="s">
        <v>8568</v>
      </c>
      <c r="B168" t="s">
        <v>8433</v>
      </c>
      <c r="C168" t="s">
        <v>8562</v>
      </c>
      <c r="D168" t="s">
        <v>8435</v>
      </c>
      <c r="G168" t="str">
        <f t="shared" si="27"/>
        <v>Interface {#IFNAME}({#IFALIAS}): High output error rate ( &gt; {$IF.ERRORS.WARN:{#IFNAME}} for 5m)</v>
      </c>
      <c r="H168" t="e">
        <f>INDEX('7.0.17'!G:G,MATCH(G168,'7.0.17'!F:F,0))</f>
        <v>#N/A</v>
      </c>
      <c r="I168" t="e">
        <f t="shared" si="18"/>
        <v>#N/A</v>
      </c>
    </row>
    <row r="169" spans="1:9">
      <c r="A169" t="s">
        <v>8568</v>
      </c>
      <c r="B169" t="s">
        <v>8433</v>
      </c>
      <c r="C169" t="s">
        <v>8563</v>
      </c>
      <c r="D169" t="s">
        <v>8561</v>
      </c>
      <c r="G169" t="str">
        <f t="shared" si="27"/>
        <v>Interface {#IFNAME}({#IFALIAS}): High outbound bandwidth usage ( &gt; {$IF.UTIL.MAX:{#IFNAME}}% )</v>
      </c>
      <c r="H169" t="e">
        <f>INDEX('7.0.17'!G:G,MATCH(G169,'7.0.17'!F:F,0))</f>
        <v>#N/A</v>
      </c>
      <c r="I169" t="e">
        <f t="shared" si="18"/>
        <v>#N/A</v>
      </c>
    </row>
    <row r="170" spans="1:9">
      <c r="A170" t="s">
        <v>8568</v>
      </c>
      <c r="B170" t="s">
        <v>8438</v>
      </c>
      <c r="C170" t="s">
        <v>8439</v>
      </c>
      <c r="D170" t="s">
        <v>8440</v>
      </c>
      <c r="E170" t="s">
        <v>8441</v>
      </c>
      <c r="G170" t="str">
        <f t="shared" ref="G170:G172" si="28">B170&amp;":"&amp;C170&amp;":"&amp;D170&amp;":"&amp;E170</f>
        <v>{#SNMPVALUE}: Temperature is above critical threshold: &gt;{$TEMP_CRIT:{#SNMPVALUE}}</v>
      </c>
      <c r="H170" t="e">
        <f>INDEX('7.0.17'!G:G,MATCH(G170,'7.0.17'!F:F,0))</f>
        <v>#N/A</v>
      </c>
      <c r="I170" t="e">
        <f t="shared" si="18"/>
        <v>#N/A</v>
      </c>
    </row>
    <row r="171" spans="1:9">
      <c r="A171" t="s">
        <v>8568</v>
      </c>
      <c r="B171" t="s">
        <v>8438</v>
      </c>
      <c r="C171" t="s">
        <v>8442</v>
      </c>
      <c r="D171" t="s">
        <v>8443</v>
      </c>
      <c r="E171" t="s">
        <v>8441</v>
      </c>
      <c r="G171" t="str">
        <f t="shared" si="28"/>
        <v>{#SNMPVALUE}: Temperature is above warning threshold: &gt;{$TEMP_WARN:{#SNMPVALUE}}</v>
      </c>
      <c r="H171" t="e">
        <f>INDEX('7.0.17'!G:G,MATCH(G171,'7.0.17'!F:F,0))</f>
        <v>#N/A</v>
      </c>
      <c r="I171" t="e">
        <f t="shared" si="18"/>
        <v>#N/A</v>
      </c>
    </row>
    <row r="172" spans="1:9">
      <c r="A172" t="s">
        <v>8568</v>
      </c>
      <c r="B172" t="s">
        <v>8438</v>
      </c>
      <c r="C172" t="s">
        <v>8444</v>
      </c>
      <c r="D172" t="s">
        <v>8445</v>
      </c>
      <c r="E172" t="s">
        <v>8441</v>
      </c>
      <c r="G172" t="str">
        <f t="shared" si="28"/>
        <v>{#SNMPVALUE}: Temperature is too low: &lt;{$TEMP_CRIT_LOW:{#SNMPVALUE}}</v>
      </c>
      <c r="H172" t="e">
        <f>INDEX('7.0.17'!G:G,MATCH(G172,'7.0.17'!F:F,0))</f>
        <v>#N/A</v>
      </c>
      <c r="I172" t="e">
        <f t="shared" si="18"/>
        <v>#N/A</v>
      </c>
    </row>
    <row r="173" spans="1:9">
      <c r="A173" t="s">
        <v>8568</v>
      </c>
      <c r="B173" t="s">
        <v>8564</v>
      </c>
      <c r="C173" t="s">
        <v>8565</v>
      </c>
      <c r="G173" t="str">
        <f t="shared" ref="G173:G175" si="29">B173&amp;":"&amp;C173</f>
        <v>#{#SNMPINDEX}: High CPU utilization (over {$CPU.UTIL.CRIT}% for 5m)</v>
      </c>
      <c r="H173" t="e">
        <f>INDEX('7.0.17'!G:G,MATCH(G173,'7.0.17'!F:F,0))</f>
        <v>#N/A</v>
      </c>
      <c r="I173" t="e">
        <f t="shared" si="18"/>
        <v>#N/A</v>
      </c>
    </row>
    <row r="174" spans="1:9">
      <c r="A174" t="s">
        <v>8568</v>
      </c>
      <c r="B174" t="s">
        <v>8446</v>
      </c>
      <c r="C174" t="s">
        <v>8447</v>
      </c>
      <c r="G174" t="str">
        <f t="shared" si="29"/>
        <v>{#ENT_NAME}: Device has been replaced (new serial number received)</v>
      </c>
      <c r="H174" t="e">
        <f>INDEX('7.0.17'!G:G,MATCH(G174,'7.0.17'!F:F,0))</f>
        <v>#N/A</v>
      </c>
      <c r="I174" t="e">
        <f t="shared" si="18"/>
        <v>#N/A</v>
      </c>
    </row>
    <row r="175" spans="1:9">
      <c r="A175" t="s">
        <v>8568</v>
      </c>
      <c r="B175" t="s">
        <v>8438</v>
      </c>
      <c r="C175" t="s">
        <v>8566</v>
      </c>
      <c r="G175" t="str">
        <f t="shared" si="29"/>
        <v>{#SNMPVALUE}: High memory utilization ( &gt;{$MEMORY.UTIL.MAX}% for 5m)</v>
      </c>
      <c r="H175" t="e">
        <f>INDEX('7.0.17'!G:G,MATCH(G175,'7.0.17'!F:F,0))</f>
        <v>#N/A</v>
      </c>
      <c r="I175" t="e">
        <f t="shared" si="18"/>
        <v>#N/A</v>
      </c>
    </row>
    <row r="176" spans="1:9">
      <c r="A176" t="s">
        <v>8569</v>
      </c>
      <c r="B176" t="s">
        <v>8433</v>
      </c>
      <c r="C176" t="s">
        <v>8559</v>
      </c>
      <c r="D176" t="s">
        <v>8435</v>
      </c>
      <c r="G176" t="str">
        <f t="shared" ref="G176:G179" si="30">B176&amp;":"&amp;C176&amp;":"&amp;D176</f>
        <v>Interface {#IFNAME}({#IFALIAS}): High input error rate ( &gt; {$IF.ERRORS.WARN:{#IFNAME}} for 5m)</v>
      </c>
      <c r="H176" t="e">
        <f>INDEX('7.0.17'!G:G,MATCH(G176,'7.0.17'!F:F,0))</f>
        <v>#N/A</v>
      </c>
      <c r="I176" t="e">
        <f t="shared" si="18"/>
        <v>#N/A</v>
      </c>
    </row>
    <row r="177" spans="1:9">
      <c r="A177" t="s">
        <v>8569</v>
      </c>
      <c r="B177" t="s">
        <v>8433</v>
      </c>
      <c r="C177" t="s">
        <v>8560</v>
      </c>
      <c r="D177" t="s">
        <v>8561</v>
      </c>
      <c r="G177" t="str">
        <f t="shared" si="30"/>
        <v>Interface {#IFNAME}({#IFALIAS}): High inbound bandwidth usage ( &gt; {$IF.UTIL.MAX:{#IFNAME}}% )</v>
      </c>
      <c r="H177" t="e">
        <f>INDEX('7.0.17'!G:G,MATCH(G177,'7.0.17'!F:F,0))</f>
        <v>#N/A</v>
      </c>
      <c r="I177" t="e">
        <f t="shared" si="18"/>
        <v>#N/A</v>
      </c>
    </row>
    <row r="178" spans="1:9">
      <c r="A178" t="s">
        <v>8569</v>
      </c>
      <c r="B178" t="s">
        <v>8433</v>
      </c>
      <c r="C178" t="s">
        <v>8562</v>
      </c>
      <c r="D178" t="s">
        <v>8435</v>
      </c>
      <c r="G178" t="str">
        <f t="shared" si="30"/>
        <v>Interface {#IFNAME}({#IFALIAS}): High output error rate ( &gt; {$IF.ERRORS.WARN:{#IFNAME}} for 5m)</v>
      </c>
      <c r="H178" t="e">
        <f>INDEX('7.0.17'!G:G,MATCH(G178,'7.0.17'!F:F,0))</f>
        <v>#N/A</v>
      </c>
      <c r="I178" t="e">
        <f t="shared" si="18"/>
        <v>#N/A</v>
      </c>
    </row>
    <row r="179" spans="1:9">
      <c r="A179" t="s">
        <v>8569</v>
      </c>
      <c r="B179" t="s">
        <v>8433</v>
      </c>
      <c r="C179" t="s">
        <v>8563</v>
      </c>
      <c r="D179" t="s">
        <v>8561</v>
      </c>
      <c r="G179" t="str">
        <f t="shared" si="30"/>
        <v>Interface {#IFNAME}({#IFALIAS}): High outbound bandwidth usage ( &gt; {$IF.UTIL.MAX:{#IFNAME}}% )</v>
      </c>
      <c r="H179" t="e">
        <f>INDEX('7.0.17'!G:G,MATCH(G179,'7.0.17'!F:F,0))</f>
        <v>#N/A</v>
      </c>
      <c r="I179" t="e">
        <f t="shared" si="18"/>
        <v>#N/A</v>
      </c>
    </row>
    <row r="180" spans="1:9">
      <c r="A180" t="s">
        <v>8569</v>
      </c>
      <c r="B180" t="s">
        <v>8438</v>
      </c>
      <c r="C180" t="s">
        <v>8439</v>
      </c>
      <c r="D180" t="s">
        <v>8440</v>
      </c>
      <c r="E180" t="s">
        <v>8441</v>
      </c>
      <c r="G180" t="str">
        <f t="shared" ref="G180:G182" si="31">B180&amp;":"&amp;C180&amp;":"&amp;D180&amp;":"&amp;E180</f>
        <v>{#SNMPVALUE}: Temperature is above critical threshold: &gt;{$TEMP_CRIT:{#SNMPVALUE}}</v>
      </c>
      <c r="H180" t="e">
        <f>INDEX('7.0.17'!G:G,MATCH(G180,'7.0.17'!F:F,0))</f>
        <v>#N/A</v>
      </c>
      <c r="I180" t="e">
        <f t="shared" si="18"/>
        <v>#N/A</v>
      </c>
    </row>
    <row r="181" spans="1:9">
      <c r="A181" t="s">
        <v>8569</v>
      </c>
      <c r="B181" t="s">
        <v>8438</v>
      </c>
      <c r="C181" t="s">
        <v>8442</v>
      </c>
      <c r="D181" t="s">
        <v>8443</v>
      </c>
      <c r="E181" t="s">
        <v>8441</v>
      </c>
      <c r="G181" t="str">
        <f t="shared" si="31"/>
        <v>{#SNMPVALUE}: Temperature is above warning threshold: &gt;{$TEMP_WARN:{#SNMPVALUE}}</v>
      </c>
      <c r="H181" t="e">
        <f>INDEX('7.0.17'!G:G,MATCH(G181,'7.0.17'!F:F,0))</f>
        <v>#N/A</v>
      </c>
      <c r="I181" t="e">
        <f t="shared" si="18"/>
        <v>#N/A</v>
      </c>
    </row>
    <row r="182" spans="1:9">
      <c r="A182" t="s">
        <v>8569</v>
      </c>
      <c r="B182" t="s">
        <v>8438</v>
      </c>
      <c r="C182" t="s">
        <v>8444</v>
      </c>
      <c r="D182" t="s">
        <v>8445</v>
      </c>
      <c r="E182" t="s">
        <v>8441</v>
      </c>
      <c r="G182" t="str">
        <f t="shared" si="31"/>
        <v>{#SNMPVALUE}: Temperature is too low: &lt;{$TEMP_CRIT_LOW:{#SNMPVALUE}}</v>
      </c>
      <c r="H182" t="e">
        <f>INDEX('7.0.17'!G:G,MATCH(G182,'7.0.17'!F:F,0))</f>
        <v>#N/A</v>
      </c>
      <c r="I182" t="e">
        <f t="shared" si="18"/>
        <v>#N/A</v>
      </c>
    </row>
    <row r="183" spans="1:9">
      <c r="A183" t="s">
        <v>8569</v>
      </c>
      <c r="B183" t="s">
        <v>8564</v>
      </c>
      <c r="C183" t="s">
        <v>8565</v>
      </c>
      <c r="G183" t="str">
        <f t="shared" ref="G183:G185" si="32">B183&amp;":"&amp;C183</f>
        <v>#{#SNMPINDEX}: High CPU utilization (over {$CPU.UTIL.CRIT}% for 5m)</v>
      </c>
      <c r="H183" t="e">
        <f>INDEX('7.0.17'!G:G,MATCH(G183,'7.0.17'!F:F,0))</f>
        <v>#N/A</v>
      </c>
      <c r="I183" t="e">
        <f t="shared" si="18"/>
        <v>#N/A</v>
      </c>
    </row>
    <row r="184" spans="1:9">
      <c r="A184" t="s">
        <v>8569</v>
      </c>
      <c r="B184" t="s">
        <v>8446</v>
      </c>
      <c r="C184" t="s">
        <v>8447</v>
      </c>
      <c r="G184" t="str">
        <f t="shared" si="32"/>
        <v>{#ENT_NAME}: Device has been replaced (new serial number received)</v>
      </c>
      <c r="H184" t="e">
        <f>INDEX('7.0.17'!G:G,MATCH(G184,'7.0.17'!F:F,0))</f>
        <v>#N/A</v>
      </c>
      <c r="I184" t="e">
        <f t="shared" si="18"/>
        <v>#N/A</v>
      </c>
    </row>
    <row r="185" spans="1:9">
      <c r="A185" t="s">
        <v>8569</v>
      </c>
      <c r="B185" t="s">
        <v>8438</v>
      </c>
      <c r="C185" t="s">
        <v>8566</v>
      </c>
      <c r="G185" t="str">
        <f t="shared" si="32"/>
        <v>{#SNMPVALUE}: High memory utilization ( &gt;{$MEMORY.UTIL.MAX}% for 5m)</v>
      </c>
      <c r="H185" t="e">
        <f>INDEX('7.0.17'!G:G,MATCH(G185,'7.0.17'!F:F,0))</f>
        <v>#N/A</v>
      </c>
      <c r="I185" t="e">
        <f t="shared" si="18"/>
        <v>#N/A</v>
      </c>
    </row>
    <row r="186" spans="1:9">
      <c r="A186" t="s">
        <v>8570</v>
      </c>
      <c r="B186" t="s">
        <v>8433</v>
      </c>
      <c r="C186" t="s">
        <v>8559</v>
      </c>
      <c r="D186" t="s">
        <v>8435</v>
      </c>
      <c r="G186" t="str">
        <f t="shared" ref="G186:G189" si="33">B186&amp;":"&amp;C186&amp;":"&amp;D186</f>
        <v>Interface {#IFNAME}({#IFALIAS}): High input error rate ( &gt; {$IF.ERRORS.WARN:{#IFNAME}} for 5m)</v>
      </c>
      <c r="H186" t="e">
        <f>INDEX('7.0.17'!G:G,MATCH(G186,'7.0.17'!F:F,0))</f>
        <v>#N/A</v>
      </c>
      <c r="I186" t="e">
        <f t="shared" si="18"/>
        <v>#N/A</v>
      </c>
    </row>
    <row r="187" spans="1:9">
      <c r="A187" t="s">
        <v>8570</v>
      </c>
      <c r="B187" t="s">
        <v>8433</v>
      </c>
      <c r="C187" t="s">
        <v>8560</v>
      </c>
      <c r="D187" t="s">
        <v>8561</v>
      </c>
      <c r="G187" t="str">
        <f t="shared" si="33"/>
        <v>Interface {#IFNAME}({#IFALIAS}): High inbound bandwidth usage ( &gt; {$IF.UTIL.MAX:{#IFNAME}}% )</v>
      </c>
      <c r="H187" t="e">
        <f>INDEX('7.0.17'!G:G,MATCH(G187,'7.0.17'!F:F,0))</f>
        <v>#N/A</v>
      </c>
      <c r="I187" t="e">
        <f t="shared" si="18"/>
        <v>#N/A</v>
      </c>
    </row>
    <row r="188" spans="1:9">
      <c r="A188" t="s">
        <v>8570</v>
      </c>
      <c r="B188" t="s">
        <v>8433</v>
      </c>
      <c r="C188" t="s">
        <v>8562</v>
      </c>
      <c r="D188" t="s">
        <v>8435</v>
      </c>
      <c r="G188" t="str">
        <f t="shared" si="33"/>
        <v>Interface {#IFNAME}({#IFALIAS}): High output error rate ( &gt; {$IF.ERRORS.WARN:{#IFNAME}} for 5m)</v>
      </c>
      <c r="H188" t="e">
        <f>INDEX('7.0.17'!G:G,MATCH(G188,'7.0.17'!F:F,0))</f>
        <v>#N/A</v>
      </c>
      <c r="I188" t="e">
        <f t="shared" si="18"/>
        <v>#N/A</v>
      </c>
    </row>
    <row r="189" spans="1:9">
      <c r="A189" t="s">
        <v>8570</v>
      </c>
      <c r="B189" t="s">
        <v>8433</v>
      </c>
      <c r="C189" t="s">
        <v>8563</v>
      </c>
      <c r="D189" t="s">
        <v>8561</v>
      </c>
      <c r="G189" t="str">
        <f t="shared" si="33"/>
        <v>Interface {#IFNAME}({#IFALIAS}): High outbound bandwidth usage ( &gt; {$IF.UTIL.MAX:{#IFNAME}}% )</v>
      </c>
      <c r="H189" t="e">
        <f>INDEX('7.0.17'!G:G,MATCH(G189,'7.0.17'!F:F,0))</f>
        <v>#N/A</v>
      </c>
      <c r="I189" t="e">
        <f t="shared" si="18"/>
        <v>#N/A</v>
      </c>
    </row>
    <row r="190" spans="1:9">
      <c r="A190" t="s">
        <v>8570</v>
      </c>
      <c r="B190" t="s">
        <v>8438</v>
      </c>
      <c r="C190" t="s">
        <v>8439</v>
      </c>
      <c r="D190" t="s">
        <v>8440</v>
      </c>
      <c r="E190" t="s">
        <v>8441</v>
      </c>
      <c r="G190" t="str">
        <f t="shared" ref="G190:G192" si="34">B190&amp;":"&amp;C190&amp;":"&amp;D190&amp;":"&amp;E190</f>
        <v>{#SNMPVALUE}: Temperature is above critical threshold: &gt;{$TEMP_CRIT:{#SNMPVALUE}}</v>
      </c>
      <c r="H190" t="e">
        <f>INDEX('7.0.17'!G:G,MATCH(G190,'7.0.17'!F:F,0))</f>
        <v>#N/A</v>
      </c>
      <c r="I190" t="e">
        <f t="shared" si="18"/>
        <v>#N/A</v>
      </c>
    </row>
    <row r="191" spans="1:9">
      <c r="A191" t="s">
        <v>8570</v>
      </c>
      <c r="B191" t="s">
        <v>8438</v>
      </c>
      <c r="C191" t="s">
        <v>8442</v>
      </c>
      <c r="D191" t="s">
        <v>8443</v>
      </c>
      <c r="E191" t="s">
        <v>8441</v>
      </c>
      <c r="G191" t="str">
        <f t="shared" si="34"/>
        <v>{#SNMPVALUE}: Temperature is above warning threshold: &gt;{$TEMP_WARN:{#SNMPVALUE}}</v>
      </c>
      <c r="H191" t="e">
        <f>INDEX('7.0.17'!G:G,MATCH(G191,'7.0.17'!F:F,0))</f>
        <v>#N/A</v>
      </c>
      <c r="I191" t="e">
        <f t="shared" si="18"/>
        <v>#N/A</v>
      </c>
    </row>
    <row r="192" spans="1:9">
      <c r="A192" t="s">
        <v>8570</v>
      </c>
      <c r="B192" t="s">
        <v>8438</v>
      </c>
      <c r="C192" t="s">
        <v>8444</v>
      </c>
      <c r="D192" t="s">
        <v>8445</v>
      </c>
      <c r="E192" t="s">
        <v>8441</v>
      </c>
      <c r="G192" t="str">
        <f t="shared" si="34"/>
        <v>{#SNMPVALUE}: Temperature is too low: &lt;{$TEMP_CRIT_LOW:{#SNMPVALUE}}</v>
      </c>
      <c r="H192" t="e">
        <f>INDEX('7.0.17'!G:G,MATCH(G192,'7.0.17'!F:F,0))</f>
        <v>#N/A</v>
      </c>
      <c r="I192" t="e">
        <f t="shared" si="18"/>
        <v>#N/A</v>
      </c>
    </row>
    <row r="193" spans="1:9">
      <c r="A193" t="s">
        <v>8570</v>
      </c>
      <c r="B193" t="s">
        <v>8564</v>
      </c>
      <c r="C193" t="s">
        <v>8565</v>
      </c>
      <c r="G193" t="str">
        <f t="shared" ref="G193:G195" si="35">B193&amp;":"&amp;C193</f>
        <v>#{#SNMPINDEX}: High CPU utilization (over {$CPU.UTIL.CRIT}% for 5m)</v>
      </c>
      <c r="H193" t="e">
        <f>INDEX('7.0.17'!G:G,MATCH(G193,'7.0.17'!F:F,0))</f>
        <v>#N/A</v>
      </c>
      <c r="I193" t="e">
        <f t="shared" si="18"/>
        <v>#N/A</v>
      </c>
    </row>
    <row r="194" spans="1:9">
      <c r="A194" t="s">
        <v>8570</v>
      </c>
      <c r="B194" t="s">
        <v>8446</v>
      </c>
      <c r="C194" t="s">
        <v>8447</v>
      </c>
      <c r="G194" t="str">
        <f t="shared" si="35"/>
        <v>{#ENT_NAME}: Device has been replaced (new serial number received)</v>
      </c>
      <c r="H194" t="e">
        <f>INDEX('7.0.17'!G:G,MATCH(G194,'7.0.17'!F:F,0))</f>
        <v>#N/A</v>
      </c>
      <c r="I194" t="e">
        <f t="shared" si="18"/>
        <v>#N/A</v>
      </c>
    </row>
    <row r="195" spans="1:9">
      <c r="A195" t="s">
        <v>8570</v>
      </c>
      <c r="B195" t="s">
        <v>8438</v>
      </c>
      <c r="C195" t="s">
        <v>8566</v>
      </c>
      <c r="G195" t="str">
        <f t="shared" si="35"/>
        <v>{#SNMPVALUE}: High memory utilization ( &gt;{$MEMORY.UTIL.MAX}% for 5m)</v>
      </c>
      <c r="H195" t="e">
        <f>INDEX('7.0.17'!G:G,MATCH(G195,'7.0.17'!F:F,0))</f>
        <v>#N/A</v>
      </c>
      <c r="I195" t="e">
        <f t="shared" ref="I195:I258" si="36">A195&amp;": "&amp;H195</f>
        <v>#N/A</v>
      </c>
    </row>
    <row r="196" spans="1:9">
      <c r="A196" t="s">
        <v>8571</v>
      </c>
      <c r="B196" t="s">
        <v>8433</v>
      </c>
      <c r="C196" t="s">
        <v>8434</v>
      </c>
      <c r="D196" t="s">
        <v>8435</v>
      </c>
      <c r="G196" t="str">
        <f>B196&amp;":"&amp;C196&amp;":"&amp;D196</f>
        <v>Interface {#IFNAME}({#IFALIAS}): High error rate (&gt;{$IF.ERRORS.WARN:{#IFNAME}} for 5m)</v>
      </c>
      <c r="H196" t="e">
        <f>INDEX('7.0.17'!G:G,MATCH(G196,'7.0.17'!F:F,0))</f>
        <v>#N/A</v>
      </c>
      <c r="I196" t="e">
        <f t="shared" si="36"/>
        <v>#N/A</v>
      </c>
    </row>
    <row r="197" spans="1:9">
      <c r="A197" t="s">
        <v>8571</v>
      </c>
      <c r="B197" t="s">
        <v>8433</v>
      </c>
      <c r="C197" t="s">
        <v>8436</v>
      </c>
      <c r="D197" t="s">
        <v>8437</v>
      </c>
      <c r="G197" t="str">
        <f>B197&amp;":"&amp;C197&amp;":"&amp;D197</f>
        <v>Interface {#IFNAME}({#IFALIAS}): High bandwidth usage (&gt;{$IF.UTIL.MAX:{#IFNAME}}%)</v>
      </c>
      <c r="H197" t="e">
        <f>INDEX('7.0.17'!G:G,MATCH(G197,'7.0.17'!F:F,0))</f>
        <v>#N/A</v>
      </c>
      <c r="I197" t="e">
        <f t="shared" si="36"/>
        <v>#N/A</v>
      </c>
    </row>
    <row r="198" spans="1:9">
      <c r="A198" t="s">
        <v>8571</v>
      </c>
      <c r="B198" t="s">
        <v>8438</v>
      </c>
      <c r="C198" t="s">
        <v>8439</v>
      </c>
      <c r="D198" t="s">
        <v>8440</v>
      </c>
      <c r="E198" t="s">
        <v>8441</v>
      </c>
      <c r="G198" t="str">
        <f t="shared" ref="G198:G200" si="37">B198&amp;":"&amp;C198&amp;":"&amp;D198&amp;":"&amp;E198</f>
        <v>{#SNMPVALUE}: Temperature is above critical threshold: &gt;{$TEMP_CRIT:{#SNMPVALUE}}</v>
      </c>
      <c r="H198" t="e">
        <f>INDEX('7.0.17'!G:G,MATCH(G198,'7.0.17'!F:F,0))</f>
        <v>#N/A</v>
      </c>
      <c r="I198" t="e">
        <f t="shared" si="36"/>
        <v>#N/A</v>
      </c>
    </row>
    <row r="199" spans="1:9">
      <c r="A199" t="s">
        <v>8571</v>
      </c>
      <c r="B199" t="s">
        <v>8438</v>
      </c>
      <c r="C199" t="s">
        <v>8442</v>
      </c>
      <c r="D199" t="s">
        <v>8443</v>
      </c>
      <c r="E199" t="s">
        <v>8441</v>
      </c>
      <c r="G199" t="str">
        <f t="shared" si="37"/>
        <v>{#SNMPVALUE}: Temperature is above warning threshold: &gt;{$TEMP_WARN:{#SNMPVALUE}}</v>
      </c>
      <c r="H199" t="e">
        <f>INDEX('7.0.17'!G:G,MATCH(G199,'7.0.17'!F:F,0))</f>
        <v>#N/A</v>
      </c>
      <c r="I199" t="e">
        <f t="shared" si="36"/>
        <v>#N/A</v>
      </c>
    </row>
    <row r="200" spans="1:9">
      <c r="A200" t="s">
        <v>8571</v>
      </c>
      <c r="B200" t="s">
        <v>8438</v>
      </c>
      <c r="C200" t="s">
        <v>8444</v>
      </c>
      <c r="D200" t="s">
        <v>8445</v>
      </c>
      <c r="E200" t="s">
        <v>8441</v>
      </c>
      <c r="G200" t="str">
        <f t="shared" si="37"/>
        <v>{#SNMPVALUE}: Temperature is too low: &lt;{$TEMP_CRIT_LOW:{#SNMPVALUE}}</v>
      </c>
      <c r="H200" t="e">
        <f>INDEX('7.0.17'!G:G,MATCH(G200,'7.0.17'!F:F,0))</f>
        <v>#N/A</v>
      </c>
      <c r="I200" t="e">
        <f t="shared" si="36"/>
        <v>#N/A</v>
      </c>
    </row>
    <row r="201" spans="1:9">
      <c r="A201" t="s">
        <v>8571</v>
      </c>
      <c r="B201" t="s">
        <v>8564</v>
      </c>
      <c r="C201" t="s">
        <v>8565</v>
      </c>
      <c r="G201" t="str">
        <f t="shared" ref="G201:G203" si="38">B201&amp;":"&amp;C201</f>
        <v>#{#SNMPINDEX}: High CPU utilization (over {$CPU.UTIL.CRIT}% for 5m)</v>
      </c>
      <c r="H201" t="e">
        <f>INDEX('7.0.17'!G:G,MATCH(G201,'7.0.17'!F:F,0))</f>
        <v>#N/A</v>
      </c>
      <c r="I201" t="e">
        <f t="shared" si="36"/>
        <v>#N/A</v>
      </c>
    </row>
    <row r="202" spans="1:9">
      <c r="A202" t="s">
        <v>8571</v>
      </c>
      <c r="B202" t="s">
        <v>8446</v>
      </c>
      <c r="C202" t="s">
        <v>8447</v>
      </c>
      <c r="G202" t="str">
        <f t="shared" si="38"/>
        <v>{#ENT_NAME}: Device has been replaced (new serial number received)</v>
      </c>
      <c r="H202" t="e">
        <f>INDEX('7.0.17'!G:G,MATCH(G202,'7.0.17'!F:F,0))</f>
        <v>#N/A</v>
      </c>
      <c r="I202" t="e">
        <f t="shared" si="36"/>
        <v>#N/A</v>
      </c>
    </row>
    <row r="203" spans="1:9">
      <c r="A203" t="s">
        <v>8571</v>
      </c>
      <c r="B203" t="s">
        <v>8438</v>
      </c>
      <c r="C203" t="s">
        <v>8515</v>
      </c>
      <c r="G203" t="str">
        <f t="shared" si="38"/>
        <v>{#SNMPVALUE}: High memory utilization (&gt;{$MEMORY.UTIL.MAX}% for 5m)</v>
      </c>
      <c r="H203" t="e">
        <f>INDEX('7.0.17'!G:G,MATCH(G203,'7.0.17'!F:F,0))</f>
        <v>#N/A</v>
      </c>
      <c r="I203" t="e">
        <f t="shared" si="36"/>
        <v>#N/A</v>
      </c>
    </row>
    <row r="204" spans="1:9">
      <c r="A204" t="s">
        <v>8571</v>
      </c>
      <c r="B204" t="s">
        <v>8438</v>
      </c>
      <c r="C204" t="s">
        <v>8439</v>
      </c>
      <c r="D204" t="s">
        <v>8440</v>
      </c>
      <c r="E204" t="s">
        <v>8441</v>
      </c>
      <c r="G204" t="str">
        <f t="shared" ref="G204:G206" si="39">B204&amp;":"&amp;C204&amp;":"&amp;D204&amp;":"&amp;E204</f>
        <v>{#SNMPVALUE}: Temperature is above critical threshold: &gt;{$TEMP_CRIT:{#SNMPVALUE}}</v>
      </c>
      <c r="H204" t="e">
        <f>INDEX('7.0.17'!G:G,MATCH(G204,'7.0.17'!F:F,0))</f>
        <v>#N/A</v>
      </c>
      <c r="I204" t="e">
        <f t="shared" si="36"/>
        <v>#N/A</v>
      </c>
    </row>
    <row r="205" spans="1:9">
      <c r="A205" t="s">
        <v>8571</v>
      </c>
      <c r="B205" t="s">
        <v>8438</v>
      </c>
      <c r="C205" t="s">
        <v>8442</v>
      </c>
      <c r="D205" t="s">
        <v>8443</v>
      </c>
      <c r="E205" t="s">
        <v>8441</v>
      </c>
      <c r="G205" t="str">
        <f t="shared" si="39"/>
        <v>{#SNMPVALUE}: Temperature is above warning threshold: &gt;{$TEMP_WARN:{#SNMPVALUE}}</v>
      </c>
      <c r="H205" t="e">
        <f>INDEX('7.0.17'!G:G,MATCH(G205,'7.0.17'!F:F,0))</f>
        <v>#N/A</v>
      </c>
      <c r="I205" t="e">
        <f t="shared" si="36"/>
        <v>#N/A</v>
      </c>
    </row>
    <row r="206" spans="1:9">
      <c r="A206" t="s">
        <v>8571</v>
      </c>
      <c r="B206" t="s">
        <v>8438</v>
      </c>
      <c r="C206" t="s">
        <v>8444</v>
      </c>
      <c r="D206" t="s">
        <v>8445</v>
      </c>
      <c r="E206" t="s">
        <v>8441</v>
      </c>
      <c r="G206" t="str">
        <f t="shared" si="39"/>
        <v>{#SNMPVALUE}: Temperature is too low: &lt;{$TEMP_CRIT_LOW:{#SNMPVALUE}}</v>
      </c>
      <c r="H206" t="e">
        <f>INDEX('7.0.17'!G:G,MATCH(G206,'7.0.17'!F:F,0))</f>
        <v>#N/A</v>
      </c>
      <c r="I206" t="e">
        <f t="shared" si="36"/>
        <v>#N/A</v>
      </c>
    </row>
    <row r="207" spans="1:9">
      <c r="A207" t="s">
        <v>8571</v>
      </c>
      <c r="B207" t="s">
        <v>8446</v>
      </c>
      <c r="C207" t="s">
        <v>8447</v>
      </c>
      <c r="G207" t="str">
        <f>B207&amp;":"&amp;C207</f>
        <v>{#ENT_NAME}: Device has been replaced (new serial number received)</v>
      </c>
      <c r="H207" t="e">
        <f>INDEX('7.0.17'!G:G,MATCH(G207,'7.0.17'!F:F,0))</f>
        <v>#N/A</v>
      </c>
      <c r="I207" t="e">
        <f t="shared" si="36"/>
        <v>#N/A</v>
      </c>
    </row>
    <row r="208" spans="1:9">
      <c r="A208" t="s">
        <v>8571</v>
      </c>
      <c r="B208" t="s">
        <v>8438</v>
      </c>
      <c r="C208" t="s">
        <v>8515</v>
      </c>
      <c r="G208" t="str">
        <f>B208&amp;":"&amp;C208</f>
        <v>{#SNMPVALUE}: High memory utilization (&gt;{$MEMORY.UTIL.MAX}% for 5m)</v>
      </c>
      <c r="H208" t="e">
        <f>INDEX('7.0.17'!G:G,MATCH(G208,'7.0.17'!F:F,0))</f>
        <v>#N/A</v>
      </c>
      <c r="I208" t="e">
        <f t="shared" si="36"/>
        <v>#N/A</v>
      </c>
    </row>
    <row r="209" spans="1:9">
      <c r="A209" t="s">
        <v>8571</v>
      </c>
      <c r="B209" t="s">
        <v>8433</v>
      </c>
      <c r="C209" t="s">
        <v>8434</v>
      </c>
      <c r="D209" t="s">
        <v>8435</v>
      </c>
      <c r="G209" t="str">
        <f>B209&amp;":"&amp;C209&amp;":"&amp;D209</f>
        <v>Interface {#IFNAME}({#IFALIAS}): High error rate (&gt;{$IF.ERRORS.WARN:{#IFNAME}} for 5m)</v>
      </c>
      <c r="H209" t="e">
        <f>INDEX('7.0.17'!G:G,MATCH(G209,'7.0.17'!F:F,0))</f>
        <v>#N/A</v>
      </c>
      <c r="I209" t="e">
        <f t="shared" si="36"/>
        <v>#N/A</v>
      </c>
    </row>
    <row r="210" spans="1:9">
      <c r="A210" t="s">
        <v>8571</v>
      </c>
      <c r="B210" t="s">
        <v>8433</v>
      </c>
      <c r="C210" t="s">
        <v>8436</v>
      </c>
      <c r="D210" t="s">
        <v>8437</v>
      </c>
      <c r="G210" t="str">
        <f>B210&amp;":"&amp;C210&amp;":"&amp;D210</f>
        <v>Interface {#IFNAME}({#IFALIAS}): High bandwidth usage (&gt;{$IF.UTIL.MAX:{#IFNAME}}%)</v>
      </c>
      <c r="H210" t="e">
        <f>INDEX('7.0.17'!G:G,MATCH(G210,'7.0.17'!F:F,0))</f>
        <v>#N/A</v>
      </c>
      <c r="I210" t="e">
        <f t="shared" si="36"/>
        <v>#N/A</v>
      </c>
    </row>
    <row r="211" spans="1:9">
      <c r="A211" t="s">
        <v>8571</v>
      </c>
      <c r="B211" t="s">
        <v>8438</v>
      </c>
      <c r="C211" t="s">
        <v>8439</v>
      </c>
      <c r="D211" t="s">
        <v>8440</v>
      </c>
      <c r="E211" t="s">
        <v>8441</v>
      </c>
      <c r="G211" t="str">
        <f t="shared" ref="G211:G213" si="40">B211&amp;":"&amp;C211&amp;":"&amp;D211&amp;":"&amp;E211</f>
        <v>{#SNMPVALUE}: Temperature is above critical threshold: &gt;{$TEMP_CRIT:{#SNMPVALUE}}</v>
      </c>
      <c r="H211" t="e">
        <f>INDEX('7.0.17'!G:G,MATCH(G211,'7.0.17'!F:F,0))</f>
        <v>#N/A</v>
      </c>
      <c r="I211" t="e">
        <f t="shared" si="36"/>
        <v>#N/A</v>
      </c>
    </row>
    <row r="212" spans="1:9">
      <c r="A212" t="s">
        <v>8571</v>
      </c>
      <c r="B212" t="s">
        <v>8438</v>
      </c>
      <c r="C212" t="s">
        <v>8442</v>
      </c>
      <c r="D212" t="s">
        <v>8443</v>
      </c>
      <c r="E212" t="s">
        <v>8441</v>
      </c>
      <c r="G212" t="str">
        <f t="shared" si="40"/>
        <v>{#SNMPVALUE}: Temperature is above warning threshold: &gt;{$TEMP_WARN:{#SNMPVALUE}}</v>
      </c>
      <c r="H212" t="e">
        <f>INDEX('7.0.17'!G:G,MATCH(G212,'7.0.17'!F:F,0))</f>
        <v>#N/A</v>
      </c>
      <c r="I212" t="e">
        <f t="shared" si="36"/>
        <v>#N/A</v>
      </c>
    </row>
    <row r="213" spans="1:9">
      <c r="A213" t="s">
        <v>8571</v>
      </c>
      <c r="B213" t="s">
        <v>8438</v>
      </c>
      <c r="C213" t="s">
        <v>8444</v>
      </c>
      <c r="D213" t="s">
        <v>8445</v>
      </c>
      <c r="E213" t="s">
        <v>8441</v>
      </c>
      <c r="G213" t="str">
        <f t="shared" si="40"/>
        <v>{#SNMPVALUE}: Temperature is too low: &lt;{$TEMP_CRIT_LOW:{#SNMPVALUE}}</v>
      </c>
      <c r="H213" t="e">
        <f>INDEX('7.0.17'!G:G,MATCH(G213,'7.0.17'!F:F,0))</f>
        <v>#N/A</v>
      </c>
      <c r="I213" t="e">
        <f t="shared" si="36"/>
        <v>#N/A</v>
      </c>
    </row>
    <row r="214" spans="1:9">
      <c r="A214" t="s">
        <v>8571</v>
      </c>
      <c r="B214" t="s">
        <v>8438</v>
      </c>
      <c r="C214" t="s">
        <v>8565</v>
      </c>
      <c r="G214" t="str">
        <f t="shared" ref="G214:G217" si="41">B214&amp;":"&amp;C214</f>
        <v>{#SNMPVALUE}: High CPU utilization (over {$CPU.UTIL.CRIT}% for 5m)</v>
      </c>
      <c r="H214" t="e">
        <f>INDEX('7.0.17'!G:G,MATCH(G214,'7.0.17'!F:F,0))</f>
        <v>#N/A</v>
      </c>
      <c r="I214" t="e">
        <f t="shared" si="36"/>
        <v>#N/A</v>
      </c>
    </row>
    <row r="215" spans="1:9">
      <c r="A215" t="s">
        <v>8571</v>
      </c>
      <c r="B215" t="s">
        <v>8446</v>
      </c>
      <c r="C215" t="s">
        <v>8447</v>
      </c>
      <c r="G215" t="str">
        <f t="shared" si="41"/>
        <v>{#ENT_NAME}: Device has been replaced (new serial number received)</v>
      </c>
      <c r="H215" t="e">
        <f>INDEX('7.0.17'!G:G,MATCH(G215,'7.0.17'!F:F,0))</f>
        <v>#N/A</v>
      </c>
      <c r="I215" t="e">
        <f t="shared" si="36"/>
        <v>#N/A</v>
      </c>
    </row>
    <row r="216" spans="1:9">
      <c r="A216" t="s">
        <v>8571</v>
      </c>
      <c r="B216" t="s">
        <v>8438</v>
      </c>
      <c r="C216" t="s">
        <v>8515</v>
      </c>
      <c r="G216" t="str">
        <f t="shared" si="41"/>
        <v>{#SNMPVALUE}: High memory utilization (&gt;{$MEMORY.UTIL.MAX}% for 5m)</v>
      </c>
      <c r="H216" t="e">
        <f>INDEX('7.0.17'!G:G,MATCH(G216,'7.0.17'!F:F,0))</f>
        <v>#N/A</v>
      </c>
      <c r="I216" t="e">
        <f t="shared" si="36"/>
        <v>#N/A</v>
      </c>
    </row>
    <row r="217" spans="1:9">
      <c r="A217" t="s">
        <v>8572</v>
      </c>
      <c r="B217" t="s">
        <v>8573</v>
      </c>
      <c r="C217" t="s">
        <v>8574</v>
      </c>
      <c r="G217" t="str">
        <f t="shared" si="41"/>
        <v>VPN [{#NETWORK.NAME}][{#SENDER.UPLINK}]=&gt;[{#PEER.NETWORK.NAME}][{#RECEIVER.UPLINK}]: High average VPN connection loss (over &gt;= {$MERAKI.VPN.LOSS.PERCENTILE%)</v>
      </c>
      <c r="H217" t="e">
        <f>INDEX('7.0.17'!G:G,MATCH(G217,'7.0.17'!F:F,0))</f>
        <v>#N/A</v>
      </c>
      <c r="I217" t="e">
        <f t="shared" si="36"/>
        <v>#N/A</v>
      </c>
    </row>
    <row r="218" spans="1:9">
      <c r="A218" t="s">
        <v>8575</v>
      </c>
      <c r="B218" t="s">
        <v>8433</v>
      </c>
      <c r="C218" t="s">
        <v>8559</v>
      </c>
      <c r="D218" t="s">
        <v>8435</v>
      </c>
      <c r="G218" t="str">
        <f t="shared" ref="G218:G221" si="42">B218&amp;":"&amp;C218&amp;":"&amp;D218</f>
        <v>Interface {#IFNAME}({#IFALIAS}): High input error rate ( &gt; {$IF.ERRORS.WARN:{#IFNAME}} for 5m)</v>
      </c>
      <c r="H218" t="e">
        <f>INDEX('7.0.17'!G:G,MATCH(G218,'7.0.17'!F:F,0))</f>
        <v>#N/A</v>
      </c>
      <c r="I218" t="e">
        <f t="shared" si="36"/>
        <v>#N/A</v>
      </c>
    </row>
    <row r="219" spans="1:9">
      <c r="A219" t="s">
        <v>8575</v>
      </c>
      <c r="B219" t="s">
        <v>8433</v>
      </c>
      <c r="C219" t="s">
        <v>8560</v>
      </c>
      <c r="D219" t="s">
        <v>8561</v>
      </c>
      <c r="G219" t="str">
        <f t="shared" si="42"/>
        <v>Interface {#IFNAME}({#IFALIAS}): High inbound bandwidth usage ( &gt; {$IF.UTIL.MAX:{#IFNAME}}% )</v>
      </c>
      <c r="H219" t="e">
        <f>INDEX('7.0.17'!G:G,MATCH(G219,'7.0.17'!F:F,0))</f>
        <v>#N/A</v>
      </c>
      <c r="I219" t="e">
        <f t="shared" si="36"/>
        <v>#N/A</v>
      </c>
    </row>
    <row r="220" spans="1:9">
      <c r="A220" t="s">
        <v>8575</v>
      </c>
      <c r="B220" t="s">
        <v>8433</v>
      </c>
      <c r="C220" t="s">
        <v>8562</v>
      </c>
      <c r="D220" t="s">
        <v>8435</v>
      </c>
      <c r="G220" t="str">
        <f t="shared" si="42"/>
        <v>Interface {#IFNAME}({#IFALIAS}): High output error rate ( &gt; {$IF.ERRORS.WARN:{#IFNAME}} for 5m)</v>
      </c>
      <c r="H220" t="e">
        <f>INDEX('7.0.17'!G:G,MATCH(G220,'7.0.17'!F:F,0))</f>
        <v>#N/A</v>
      </c>
      <c r="I220" t="e">
        <f t="shared" si="36"/>
        <v>#N/A</v>
      </c>
    </row>
    <row r="221" spans="1:9">
      <c r="A221" t="s">
        <v>8575</v>
      </c>
      <c r="B221" t="s">
        <v>8433</v>
      </c>
      <c r="C221" t="s">
        <v>8563</v>
      </c>
      <c r="D221" t="s">
        <v>8561</v>
      </c>
      <c r="G221" t="str">
        <f t="shared" si="42"/>
        <v>Interface {#IFNAME}({#IFALIAS}): High outbound bandwidth usage ( &gt; {$IF.UTIL.MAX:{#IFNAME}}% )</v>
      </c>
      <c r="H221" t="e">
        <f>INDEX('7.0.17'!G:G,MATCH(G221,'7.0.17'!F:F,0))</f>
        <v>#N/A</v>
      </c>
      <c r="I221" t="e">
        <f t="shared" si="36"/>
        <v>#N/A</v>
      </c>
    </row>
    <row r="222" spans="1:9">
      <c r="A222" t="s">
        <v>8575</v>
      </c>
      <c r="B222" t="s">
        <v>8438</v>
      </c>
      <c r="C222" t="s">
        <v>8439</v>
      </c>
      <c r="D222" t="s">
        <v>8440</v>
      </c>
      <c r="E222" t="s">
        <v>8576</v>
      </c>
      <c r="G222" t="str">
        <f t="shared" ref="G222:G224" si="43">B222&amp;":"&amp;C222&amp;":"&amp;D222&amp;":"&amp;E222</f>
        <v>{#SNMPVALUE}: Temperature is above critical threshold: &gt;{$TEMP_CRIT:{#SNMPVALUE}}°C</v>
      </c>
      <c r="H222" t="e">
        <f>INDEX('7.0.17'!G:G,MATCH(G222,'7.0.17'!F:F,0))</f>
        <v>#N/A</v>
      </c>
      <c r="I222" t="e">
        <f t="shared" si="36"/>
        <v>#N/A</v>
      </c>
    </row>
    <row r="223" spans="1:9">
      <c r="A223" t="s">
        <v>8575</v>
      </c>
      <c r="B223" t="s">
        <v>8438</v>
      </c>
      <c r="C223" t="s">
        <v>8442</v>
      </c>
      <c r="D223" t="s">
        <v>8443</v>
      </c>
      <c r="E223" t="s">
        <v>8577</v>
      </c>
      <c r="G223" t="str">
        <f t="shared" si="43"/>
        <v>{#SNMPVALUE}: Temperature is above warning threshold: &gt;{$TEMP_WARN:"{#SNMPVALUE}°C"}</v>
      </c>
      <c r="H223" t="e">
        <f>INDEX('7.0.17'!G:G,MATCH(G223,'7.0.17'!F:F,0))</f>
        <v>#N/A</v>
      </c>
      <c r="I223" t="e">
        <f t="shared" si="36"/>
        <v>#N/A</v>
      </c>
    </row>
    <row r="224" spans="1:9">
      <c r="A224" t="s">
        <v>8575</v>
      </c>
      <c r="B224" t="s">
        <v>8438</v>
      </c>
      <c r="C224" t="s">
        <v>8444</v>
      </c>
      <c r="D224" t="s">
        <v>8445</v>
      </c>
      <c r="E224" t="s">
        <v>8577</v>
      </c>
      <c r="G224" t="str">
        <f t="shared" si="43"/>
        <v>{#SNMPVALUE}: Temperature is too low: &lt;{$TEMP_CRIT_LOW:"{#SNMPVALUE}°C"}</v>
      </c>
      <c r="H224" t="e">
        <f>INDEX('7.0.17'!G:G,MATCH(G224,'7.0.17'!F:F,0))</f>
        <v>#N/A</v>
      </c>
      <c r="I224" t="e">
        <f t="shared" si="36"/>
        <v>#N/A</v>
      </c>
    </row>
    <row r="225" spans="1:9">
      <c r="A225" t="s">
        <v>8575</v>
      </c>
      <c r="B225" t="s">
        <v>8564</v>
      </c>
      <c r="C225" t="s">
        <v>8565</v>
      </c>
      <c r="G225" t="str">
        <f t="shared" ref="G225:G227" si="44">B225&amp;":"&amp;C225</f>
        <v>#{#SNMPINDEX}: High CPU utilization (over {$CPU.UTIL.CRIT}% for 5m)</v>
      </c>
      <c r="H225" t="e">
        <f>INDEX('7.0.17'!G:G,MATCH(G225,'7.0.17'!F:F,0))</f>
        <v>#N/A</v>
      </c>
      <c r="I225" t="e">
        <f t="shared" si="36"/>
        <v>#N/A</v>
      </c>
    </row>
    <row r="226" spans="1:9">
      <c r="A226" t="s">
        <v>8575</v>
      </c>
      <c r="B226" t="s">
        <v>8446</v>
      </c>
      <c r="C226" t="s">
        <v>8447</v>
      </c>
      <c r="G226" t="str">
        <f t="shared" si="44"/>
        <v>{#ENT_NAME}: Device has been replaced (new serial number received)</v>
      </c>
      <c r="H226" t="e">
        <f>INDEX('7.0.17'!G:G,MATCH(G226,'7.0.17'!F:F,0))</f>
        <v>#N/A</v>
      </c>
      <c r="I226" t="e">
        <f t="shared" si="36"/>
        <v>#N/A</v>
      </c>
    </row>
    <row r="227" spans="1:9">
      <c r="A227" t="s">
        <v>8575</v>
      </c>
      <c r="B227" t="s">
        <v>8438</v>
      </c>
      <c r="C227" t="s">
        <v>8566</v>
      </c>
      <c r="G227" t="str">
        <f t="shared" si="44"/>
        <v>{#SNMPVALUE}: High memory utilization ( &gt;{$MEMORY.UTIL.MAX}% for 5m)</v>
      </c>
      <c r="H227" t="e">
        <f>INDEX('7.0.17'!G:G,MATCH(G227,'7.0.17'!F:F,0))</f>
        <v>#N/A</v>
      </c>
      <c r="I227" t="e">
        <f t="shared" si="36"/>
        <v>#N/A</v>
      </c>
    </row>
    <row r="228" spans="1:9">
      <c r="A228" t="s">
        <v>8578</v>
      </c>
      <c r="B228" t="s">
        <v>8579</v>
      </c>
      <c r="C228" t="s">
        <v>8580</v>
      </c>
      <c r="D228" t="s">
        <v>8384</v>
      </c>
      <c r="G228" t="str">
        <f t="shared" ref="G228:G231" si="45">B228&amp;":"&amp;C228&amp;":"&amp;D228</f>
        <v>[{#FSNAME}]: Disk space is critically low (used &gt; {$SDWAN.FS.PUSED.MAX.CRIT:{#FSNAME}}%)</v>
      </c>
      <c r="H228" t="e">
        <f>INDEX('7.0.17'!G:G,MATCH(G228,'7.0.17'!F:F,0))</f>
        <v>#N/A</v>
      </c>
      <c r="I228" t="e">
        <f t="shared" si="36"/>
        <v>#N/A</v>
      </c>
    </row>
    <row r="229" spans="1:9">
      <c r="A229" t="s">
        <v>8578</v>
      </c>
      <c r="B229" t="s">
        <v>8579</v>
      </c>
      <c r="C229" t="s">
        <v>8581</v>
      </c>
      <c r="D229" t="s">
        <v>8384</v>
      </c>
      <c r="G229" t="str">
        <f t="shared" si="45"/>
        <v>[{#FSNAME}]: Disk space is low (used &gt; {$SDWAN.FS.PUSED.MAX.WARN:{#FSNAME}}%)</v>
      </c>
      <c r="H229" t="e">
        <f>INDEX('7.0.17'!G:G,MATCH(G229,'7.0.17'!F:F,0))</f>
        <v>#N/A</v>
      </c>
      <c r="I229" t="e">
        <f t="shared" si="36"/>
        <v>#N/A</v>
      </c>
    </row>
    <row r="230" spans="1:9">
      <c r="A230" t="s">
        <v>8578</v>
      </c>
      <c r="B230" t="s">
        <v>8582</v>
      </c>
      <c r="C230" t="s">
        <v>8583</v>
      </c>
      <c r="D230" t="s">
        <v>8435</v>
      </c>
      <c r="G230" t="str">
        <f t="shared" si="45"/>
        <v>Interface [{#IFNAME}]: High error rate (&gt;{$SDWAN.IF.ERRORS.WARN:{#IFNAME}} for 5m)</v>
      </c>
      <c r="H230" t="e">
        <f>INDEX('7.0.17'!G:G,MATCH(G230,'7.0.17'!F:F,0))</f>
        <v>#N/A</v>
      </c>
      <c r="I230" t="e">
        <f t="shared" si="36"/>
        <v>#N/A</v>
      </c>
    </row>
    <row r="231" spans="1:9">
      <c r="A231" t="s">
        <v>8578</v>
      </c>
      <c r="B231" t="s">
        <v>8582</v>
      </c>
      <c r="C231" t="s">
        <v>8584</v>
      </c>
      <c r="D231" t="s">
        <v>8437</v>
      </c>
      <c r="G231" t="str">
        <f t="shared" si="45"/>
        <v>Interface [{#IFNAME}]: High bandwidth usage (&gt;{$SDWAN.IF.UTIL.MAX:{#IFNAME}}%)</v>
      </c>
      <c r="H231" t="e">
        <f>INDEX('7.0.17'!G:G,MATCH(G231,'7.0.17'!F:F,0))</f>
        <v>#N/A</v>
      </c>
      <c r="I231" t="e">
        <f t="shared" si="36"/>
        <v>#N/A</v>
      </c>
    </row>
    <row r="232" spans="1:9">
      <c r="A232" t="s">
        <v>8585</v>
      </c>
      <c r="B232" t="s">
        <v>8586</v>
      </c>
      <c r="C232" t="s">
        <v>8587</v>
      </c>
      <c r="G232" t="str">
        <f>B232&amp;":"&amp;C232</f>
        <v>{#DISK_LOCATION}: Disk has been replaced (new serial number received)</v>
      </c>
      <c r="H232" t="e">
        <f>INDEX('7.0.17'!G:G,MATCH(G232,'7.0.17'!F:F,0))</f>
        <v>#N/A</v>
      </c>
      <c r="I232" t="e">
        <f t="shared" si="36"/>
        <v>#N/A</v>
      </c>
    </row>
    <row r="233" spans="1:9">
      <c r="A233" t="s">
        <v>8585</v>
      </c>
      <c r="B233" t="s">
        <v>8588</v>
      </c>
      <c r="C233" t="s">
        <v>8447</v>
      </c>
      <c r="G233" t="str">
        <f>B233&amp;":"&amp;C233</f>
        <v>{#UNIT_LOCATION}: Device has been replaced (new serial number received)</v>
      </c>
      <c r="H233" t="e">
        <f>INDEX('7.0.17'!G:G,MATCH(G233,'7.0.17'!F:F,0))</f>
        <v>#N/A</v>
      </c>
      <c r="I233" t="e">
        <f t="shared" si="36"/>
        <v>#N/A</v>
      </c>
    </row>
    <row r="234" spans="1:9">
      <c r="A234" t="s">
        <v>8585</v>
      </c>
      <c r="B234" t="s">
        <v>8433</v>
      </c>
      <c r="C234" t="s">
        <v>8589</v>
      </c>
      <c r="D234" t="s">
        <v>8435</v>
      </c>
      <c r="G234" t="str">
        <f>B234&amp;":"&amp;C234&amp;":"&amp;D234</f>
        <v>Interface {#IFNAME}({#IFALIAS}): High error rate on {#IFNAME} ( &gt; {$IF.ERRORS.WARN:{#IFNAME}} for 5m)</v>
      </c>
      <c r="H234" t="e">
        <f>INDEX('7.0.17'!G:G,MATCH(G234,'7.0.17'!F:F,0))</f>
        <v>#N/A</v>
      </c>
      <c r="I234" t="e">
        <f t="shared" si="36"/>
        <v>#N/A</v>
      </c>
    </row>
    <row r="235" spans="1:9">
      <c r="A235" t="s">
        <v>8585</v>
      </c>
      <c r="B235" t="s">
        <v>8590</v>
      </c>
      <c r="C235" t="s">
        <v>8439</v>
      </c>
      <c r="D235" t="s">
        <v>8591</v>
      </c>
      <c r="E235" t="s">
        <v>8592</v>
      </c>
      <c r="G235" t="str">
        <f t="shared" ref="G235:G259" si="46">B235&amp;":"&amp;C235&amp;":"&amp;D235&amp;":"&amp;E235</f>
        <v>{#SENSOR_LOCATION}.IOH: Temperature is above critical threshold: &gt;{$TEMP.MAX.CRIT:"Ambient"}</v>
      </c>
      <c r="H235" t="e">
        <f>INDEX('7.0.17'!G:G,MATCH(G235,'7.0.17'!F:F,0))</f>
        <v>#N/A</v>
      </c>
      <c r="I235" t="e">
        <f t="shared" si="36"/>
        <v>#N/A</v>
      </c>
    </row>
    <row r="236" spans="1:9">
      <c r="A236" t="s">
        <v>8585</v>
      </c>
      <c r="B236" t="s">
        <v>8590</v>
      </c>
      <c r="C236" t="s">
        <v>8442</v>
      </c>
      <c r="D236" t="s">
        <v>8593</v>
      </c>
      <c r="E236" t="s">
        <v>8592</v>
      </c>
      <c r="G236" t="str">
        <f t="shared" si="46"/>
        <v>{#SENSOR_LOCATION}.IOH: Temperature is above warning threshold: &gt;{$TEMP.MAX.WARN:"Ambient"}</v>
      </c>
      <c r="H236" t="e">
        <f>INDEX('7.0.17'!G:G,MATCH(G236,'7.0.17'!F:F,0))</f>
        <v>#N/A</v>
      </c>
      <c r="I236" t="e">
        <f t="shared" si="36"/>
        <v>#N/A</v>
      </c>
    </row>
    <row r="237" spans="1:9">
      <c r="A237" t="s">
        <v>8585</v>
      </c>
      <c r="B237" t="s">
        <v>8594</v>
      </c>
      <c r="C237" t="s">
        <v>8439</v>
      </c>
      <c r="D237" t="s">
        <v>8591</v>
      </c>
      <c r="E237" t="s">
        <v>8592</v>
      </c>
      <c r="G237" t="str">
        <f t="shared" si="46"/>
        <v>{#SENSOR_LOCATION}.Ambient: Temperature is above critical threshold: &gt;{$TEMP.MAX.CRIT:"Ambient"}</v>
      </c>
      <c r="H237" t="e">
        <f>INDEX('7.0.17'!G:G,MATCH(G237,'7.0.17'!F:F,0))</f>
        <v>#N/A</v>
      </c>
      <c r="I237" t="e">
        <f t="shared" si="36"/>
        <v>#N/A</v>
      </c>
    </row>
    <row r="238" spans="1:9">
      <c r="A238" t="s">
        <v>8585</v>
      </c>
      <c r="B238" t="s">
        <v>8594</v>
      </c>
      <c r="C238" t="s">
        <v>8442</v>
      </c>
      <c r="D238" t="s">
        <v>8593</v>
      </c>
      <c r="E238" t="s">
        <v>8592</v>
      </c>
      <c r="G238" t="str">
        <f t="shared" si="46"/>
        <v>{#SENSOR_LOCATION}.Ambient: Temperature is above warning threshold: &gt;{$TEMP.MAX.WARN:"Ambient"}</v>
      </c>
      <c r="H238" t="e">
        <f>INDEX('7.0.17'!G:G,MATCH(G238,'7.0.17'!F:F,0))</f>
        <v>#N/A</v>
      </c>
      <c r="I238" t="e">
        <f t="shared" si="36"/>
        <v>#N/A</v>
      </c>
    </row>
    <row r="239" spans="1:9">
      <c r="A239" t="s">
        <v>8585</v>
      </c>
      <c r="B239" t="s">
        <v>8595</v>
      </c>
      <c r="C239" t="s">
        <v>8439</v>
      </c>
      <c r="D239" t="s">
        <v>8591</v>
      </c>
      <c r="E239" t="s">
        <v>8592</v>
      </c>
      <c r="G239" t="str">
        <f t="shared" si="46"/>
        <v>{#SENSOR_LOCATION}.Front: Temperature is above critical threshold: &gt;{$TEMP.MAX.CRIT:"Ambient"}</v>
      </c>
      <c r="H239" t="e">
        <f>INDEX('7.0.17'!G:G,MATCH(G239,'7.0.17'!F:F,0))</f>
        <v>#N/A</v>
      </c>
      <c r="I239" t="e">
        <f t="shared" si="36"/>
        <v>#N/A</v>
      </c>
    </row>
    <row r="240" spans="1:9">
      <c r="A240" t="s">
        <v>8585</v>
      </c>
      <c r="B240" t="s">
        <v>8595</v>
      </c>
      <c r="C240" t="s">
        <v>8442</v>
      </c>
      <c r="D240" t="s">
        <v>8593</v>
      </c>
      <c r="E240" t="s">
        <v>8592</v>
      </c>
      <c r="G240" t="str">
        <f t="shared" si="46"/>
        <v>{#SENSOR_LOCATION}.Front: Temperature is above warning threshold: &gt;{$TEMP.MAX.WARN:"Ambient"}</v>
      </c>
      <c r="H240" t="e">
        <f>INDEX('7.0.17'!G:G,MATCH(G240,'7.0.17'!F:F,0))</f>
        <v>#N/A</v>
      </c>
      <c r="I240" t="e">
        <f t="shared" si="36"/>
        <v>#N/A</v>
      </c>
    </row>
    <row r="241" spans="1:9">
      <c r="A241" t="s">
        <v>8585</v>
      </c>
      <c r="B241" t="s">
        <v>8596</v>
      </c>
      <c r="C241" t="s">
        <v>8439</v>
      </c>
      <c r="D241" t="s">
        <v>8591</v>
      </c>
      <c r="E241" t="s">
        <v>8592</v>
      </c>
      <c r="G241" t="str">
        <f t="shared" si="46"/>
        <v>{#SENSOR_LOCATION}.Rear: Temperature is above critical threshold: &gt;{$TEMP.MAX.CRIT:"Ambient"}</v>
      </c>
      <c r="H241" t="e">
        <f>INDEX('7.0.17'!G:G,MATCH(G241,'7.0.17'!F:F,0))</f>
        <v>#N/A</v>
      </c>
      <c r="I241" t="e">
        <f t="shared" si="36"/>
        <v>#N/A</v>
      </c>
    </row>
    <row r="242" spans="1:9">
      <c r="A242" t="s">
        <v>8585</v>
      </c>
      <c r="B242" t="s">
        <v>8596</v>
      </c>
      <c r="C242" t="s">
        <v>8442</v>
      </c>
      <c r="D242" t="s">
        <v>8593</v>
      </c>
      <c r="E242" t="s">
        <v>8592</v>
      </c>
      <c r="G242" t="str">
        <f t="shared" si="46"/>
        <v>{#SENSOR_LOCATION}.Rear: Temperature is above warning threshold: &gt;{$TEMP.MAX.WARN:"Ambient"}</v>
      </c>
      <c r="H242" t="e">
        <f>INDEX('7.0.17'!G:G,MATCH(G242,'7.0.17'!F:F,0))</f>
        <v>#N/A</v>
      </c>
      <c r="I242" t="e">
        <f t="shared" si="36"/>
        <v>#N/A</v>
      </c>
    </row>
    <row r="243" spans="1:9">
      <c r="A243" t="s">
        <v>8585</v>
      </c>
      <c r="B243" t="s">
        <v>8597</v>
      </c>
      <c r="C243" t="s">
        <v>8439</v>
      </c>
      <c r="D243" t="s">
        <v>8591</v>
      </c>
      <c r="E243" t="s">
        <v>8598</v>
      </c>
      <c r="G243" t="str">
        <f t="shared" si="46"/>
        <v>{#SENSOR_LOCATION}: Temperature is above critical threshold: &gt;{$TEMP.MAX.CRIT:"CPU"}</v>
      </c>
      <c r="H243" t="e">
        <f>INDEX('7.0.17'!G:G,MATCH(G243,'7.0.17'!F:F,0))</f>
        <v>#N/A</v>
      </c>
      <c r="I243" t="e">
        <f t="shared" si="36"/>
        <v>#N/A</v>
      </c>
    </row>
    <row r="244" spans="1:9">
      <c r="A244" t="s">
        <v>8585</v>
      </c>
      <c r="B244" t="s">
        <v>8597</v>
      </c>
      <c r="C244" t="s">
        <v>8442</v>
      </c>
      <c r="D244" t="s">
        <v>8593</v>
      </c>
      <c r="E244" t="s">
        <v>8598</v>
      </c>
      <c r="G244" t="str">
        <f t="shared" si="46"/>
        <v>{#SENSOR_LOCATION}: Temperature is above warning threshold: &gt;{$TEMP.MAX.WARN:"CPU"}</v>
      </c>
      <c r="H244" t="e">
        <f>INDEX('7.0.17'!G:G,MATCH(G244,'7.0.17'!F:F,0))</f>
        <v>#N/A</v>
      </c>
      <c r="I244" t="e">
        <f t="shared" si="36"/>
        <v>#N/A</v>
      </c>
    </row>
    <row r="245" spans="1:9">
      <c r="A245" t="s">
        <v>8599</v>
      </c>
      <c r="B245" t="s">
        <v>8590</v>
      </c>
      <c r="C245" t="s">
        <v>8442</v>
      </c>
      <c r="D245" t="s">
        <v>8443</v>
      </c>
      <c r="E245" t="s">
        <v>8592</v>
      </c>
      <c r="G245" t="str">
        <f t="shared" si="46"/>
        <v>{#SENSOR_LOCATION}.IOH: Temperature is above warning threshold: &gt;{$TEMP_WARN:"Ambient"}</v>
      </c>
      <c r="H245" t="e">
        <f>INDEX('7.0.17'!G:G,MATCH(G245,'7.0.17'!F:F,0))</f>
        <v>#N/A</v>
      </c>
      <c r="I245" t="e">
        <f t="shared" si="36"/>
        <v>#N/A</v>
      </c>
    </row>
    <row r="246" spans="1:9">
      <c r="A246" t="s">
        <v>8599</v>
      </c>
      <c r="B246" t="s">
        <v>8590</v>
      </c>
      <c r="C246" t="s">
        <v>8439</v>
      </c>
      <c r="D246" t="s">
        <v>8440</v>
      </c>
      <c r="E246" t="s">
        <v>8592</v>
      </c>
      <c r="G246" t="str">
        <f t="shared" si="46"/>
        <v>{#SENSOR_LOCATION}.IOH: Temperature is above critical threshold: &gt;{$TEMP_CRIT:"Ambient"}</v>
      </c>
      <c r="H246" t="e">
        <f>INDEX('7.0.17'!G:G,MATCH(G246,'7.0.17'!F:F,0))</f>
        <v>#N/A</v>
      </c>
      <c r="I246" t="e">
        <f t="shared" si="36"/>
        <v>#N/A</v>
      </c>
    </row>
    <row r="247" spans="1:9">
      <c r="A247" t="s">
        <v>8599</v>
      </c>
      <c r="B247" t="s">
        <v>8590</v>
      </c>
      <c r="C247" t="s">
        <v>8444</v>
      </c>
      <c r="D247" t="s">
        <v>8445</v>
      </c>
      <c r="E247" t="s">
        <v>8592</v>
      </c>
      <c r="G247" t="str">
        <f t="shared" si="46"/>
        <v>{#SENSOR_LOCATION}.IOH: Temperature is too low: &lt;{$TEMP_CRIT_LOW:"Ambient"}</v>
      </c>
      <c r="H247" t="e">
        <f>INDEX('7.0.17'!G:G,MATCH(G247,'7.0.17'!F:F,0))</f>
        <v>#N/A</v>
      </c>
      <c r="I247" t="e">
        <f t="shared" si="36"/>
        <v>#N/A</v>
      </c>
    </row>
    <row r="248" spans="1:9">
      <c r="A248" t="s">
        <v>8599</v>
      </c>
      <c r="B248" t="s">
        <v>8594</v>
      </c>
      <c r="C248" t="s">
        <v>8442</v>
      </c>
      <c r="D248" t="s">
        <v>8443</v>
      </c>
      <c r="E248" t="s">
        <v>8592</v>
      </c>
      <c r="G248" t="str">
        <f t="shared" si="46"/>
        <v>{#SENSOR_LOCATION}.Ambient: Temperature is above warning threshold: &gt;{$TEMP_WARN:"Ambient"}</v>
      </c>
      <c r="H248" t="e">
        <f>INDEX('7.0.17'!G:G,MATCH(G248,'7.0.17'!F:F,0))</f>
        <v>#N/A</v>
      </c>
      <c r="I248" t="e">
        <f t="shared" si="36"/>
        <v>#N/A</v>
      </c>
    </row>
    <row r="249" spans="1:9">
      <c r="A249" t="s">
        <v>8599</v>
      </c>
      <c r="B249" t="s">
        <v>8594</v>
      </c>
      <c r="C249" t="s">
        <v>8439</v>
      </c>
      <c r="D249" t="s">
        <v>8440</v>
      </c>
      <c r="E249" t="s">
        <v>8592</v>
      </c>
      <c r="G249" t="str">
        <f t="shared" si="46"/>
        <v>{#SENSOR_LOCATION}.Ambient: Temperature is above critical threshold: &gt;{$TEMP_CRIT:"Ambient"}</v>
      </c>
      <c r="H249" t="e">
        <f>INDEX('7.0.17'!G:G,MATCH(G249,'7.0.17'!F:F,0))</f>
        <v>#N/A</v>
      </c>
      <c r="I249" t="e">
        <f t="shared" si="36"/>
        <v>#N/A</v>
      </c>
    </row>
    <row r="250" spans="1:9">
      <c r="A250" t="s">
        <v>8599</v>
      </c>
      <c r="B250" t="s">
        <v>8594</v>
      </c>
      <c r="C250" t="s">
        <v>8444</v>
      </c>
      <c r="D250" t="s">
        <v>8445</v>
      </c>
      <c r="E250" t="s">
        <v>8592</v>
      </c>
      <c r="G250" t="str">
        <f t="shared" si="46"/>
        <v>{#SENSOR_LOCATION}.Ambient: Temperature is too low: &lt;{$TEMP_CRIT_LOW:"Ambient"}</v>
      </c>
      <c r="H250" t="e">
        <f>INDEX('7.0.17'!G:G,MATCH(G250,'7.0.17'!F:F,0))</f>
        <v>#N/A</v>
      </c>
      <c r="I250" t="e">
        <f t="shared" si="36"/>
        <v>#N/A</v>
      </c>
    </row>
    <row r="251" spans="1:9">
      <c r="A251" t="s">
        <v>8599</v>
      </c>
      <c r="B251" t="s">
        <v>8595</v>
      </c>
      <c r="C251" t="s">
        <v>8442</v>
      </c>
      <c r="D251" t="s">
        <v>8443</v>
      </c>
      <c r="E251" t="s">
        <v>8592</v>
      </c>
      <c r="G251" t="str">
        <f t="shared" si="46"/>
        <v>{#SENSOR_LOCATION}.Front: Temperature is above warning threshold: &gt;{$TEMP_WARN:"Ambient"}</v>
      </c>
      <c r="H251" t="e">
        <f>INDEX('7.0.17'!G:G,MATCH(G251,'7.0.17'!F:F,0))</f>
        <v>#N/A</v>
      </c>
      <c r="I251" t="e">
        <f t="shared" si="36"/>
        <v>#N/A</v>
      </c>
    </row>
    <row r="252" spans="1:9">
      <c r="A252" t="s">
        <v>8599</v>
      </c>
      <c r="B252" t="s">
        <v>8595</v>
      </c>
      <c r="C252" t="s">
        <v>8439</v>
      </c>
      <c r="D252" t="s">
        <v>8440</v>
      </c>
      <c r="E252" t="s">
        <v>8592</v>
      </c>
      <c r="G252" t="str">
        <f t="shared" si="46"/>
        <v>{#SENSOR_LOCATION}.Front: Temperature is above critical threshold: &gt;{$TEMP_CRIT:"Ambient"}</v>
      </c>
      <c r="H252" t="e">
        <f>INDEX('7.0.17'!G:G,MATCH(G252,'7.0.17'!F:F,0))</f>
        <v>#N/A</v>
      </c>
      <c r="I252" t="e">
        <f t="shared" si="36"/>
        <v>#N/A</v>
      </c>
    </row>
    <row r="253" spans="1:9">
      <c r="A253" t="s">
        <v>8599</v>
      </c>
      <c r="B253" t="s">
        <v>8595</v>
      </c>
      <c r="C253" t="s">
        <v>8444</v>
      </c>
      <c r="D253" t="s">
        <v>8445</v>
      </c>
      <c r="E253" t="s">
        <v>8592</v>
      </c>
      <c r="G253" t="str">
        <f t="shared" si="46"/>
        <v>{#SENSOR_LOCATION}.Front: Temperature is too low: &lt;{$TEMP_CRIT_LOW:"Ambient"}</v>
      </c>
      <c r="H253" t="e">
        <f>INDEX('7.0.17'!G:G,MATCH(G253,'7.0.17'!F:F,0))</f>
        <v>#N/A</v>
      </c>
      <c r="I253" t="e">
        <f t="shared" si="36"/>
        <v>#N/A</v>
      </c>
    </row>
    <row r="254" spans="1:9">
      <c r="A254" t="s">
        <v>8599</v>
      </c>
      <c r="B254" t="s">
        <v>8596</v>
      </c>
      <c r="C254" t="s">
        <v>8442</v>
      </c>
      <c r="D254" t="s">
        <v>8443</v>
      </c>
      <c r="E254" t="s">
        <v>8592</v>
      </c>
      <c r="G254" t="str">
        <f t="shared" si="46"/>
        <v>{#SENSOR_LOCATION}.Rear: Temperature is above warning threshold: &gt;{$TEMP_WARN:"Ambient"}</v>
      </c>
      <c r="H254" t="e">
        <f>INDEX('7.0.17'!G:G,MATCH(G254,'7.0.17'!F:F,0))</f>
        <v>#N/A</v>
      </c>
      <c r="I254" t="e">
        <f t="shared" si="36"/>
        <v>#N/A</v>
      </c>
    </row>
    <row r="255" spans="1:9">
      <c r="A255" t="s">
        <v>8599</v>
      </c>
      <c r="B255" t="s">
        <v>8596</v>
      </c>
      <c r="C255" t="s">
        <v>8439</v>
      </c>
      <c r="D255" t="s">
        <v>8440</v>
      </c>
      <c r="E255" t="s">
        <v>8592</v>
      </c>
      <c r="G255" t="str">
        <f t="shared" si="46"/>
        <v>{#SENSOR_LOCATION}.Rear: Temperature is above critical threshold: &gt;{$TEMP_CRIT:"Ambient"}</v>
      </c>
      <c r="H255" t="e">
        <f>INDEX('7.0.17'!G:G,MATCH(G255,'7.0.17'!F:F,0))</f>
        <v>#N/A</v>
      </c>
      <c r="I255" t="e">
        <f t="shared" si="36"/>
        <v>#N/A</v>
      </c>
    </row>
    <row r="256" spans="1:9">
      <c r="A256" t="s">
        <v>8599</v>
      </c>
      <c r="B256" t="s">
        <v>8596</v>
      </c>
      <c r="C256" t="s">
        <v>8444</v>
      </c>
      <c r="D256" t="s">
        <v>8445</v>
      </c>
      <c r="E256" t="s">
        <v>8592</v>
      </c>
      <c r="G256" t="str">
        <f t="shared" si="46"/>
        <v>{#SENSOR_LOCATION}.Rear: Temperature is too low: &lt;{$TEMP_CRIT_LOW:"Ambient"}</v>
      </c>
      <c r="H256" t="e">
        <f>INDEX('7.0.17'!G:G,MATCH(G256,'7.0.17'!F:F,0))</f>
        <v>#N/A</v>
      </c>
      <c r="I256" t="e">
        <f t="shared" si="36"/>
        <v>#N/A</v>
      </c>
    </row>
    <row r="257" spans="1:9">
      <c r="A257" t="s">
        <v>8599</v>
      </c>
      <c r="B257" t="s">
        <v>8597</v>
      </c>
      <c r="C257" t="s">
        <v>8442</v>
      </c>
      <c r="D257" t="s">
        <v>8443</v>
      </c>
      <c r="E257" t="s">
        <v>8598</v>
      </c>
      <c r="G257" t="str">
        <f t="shared" si="46"/>
        <v>{#SENSOR_LOCATION}: Temperature is above warning threshold: &gt;{$TEMP_WARN:"CPU"}</v>
      </c>
      <c r="H257" t="e">
        <f>INDEX('7.0.17'!G:G,MATCH(G257,'7.0.17'!F:F,0))</f>
        <v>#N/A</v>
      </c>
      <c r="I257" t="e">
        <f t="shared" si="36"/>
        <v>#N/A</v>
      </c>
    </row>
    <row r="258" spans="1:9">
      <c r="A258" t="s">
        <v>8599</v>
      </c>
      <c r="B258" t="s">
        <v>8597</v>
      </c>
      <c r="C258" t="s">
        <v>8439</v>
      </c>
      <c r="D258" t="s">
        <v>8440</v>
      </c>
      <c r="E258" t="s">
        <v>8598</v>
      </c>
      <c r="G258" t="str">
        <f t="shared" si="46"/>
        <v>{#SENSOR_LOCATION}: Temperature is above critical threshold: &gt;{$TEMP_CRIT:"CPU"}</v>
      </c>
      <c r="H258" t="e">
        <f>INDEX('7.0.17'!G:G,MATCH(G258,'7.0.17'!F:F,0))</f>
        <v>#N/A</v>
      </c>
      <c r="I258" t="e">
        <f t="shared" si="36"/>
        <v>#N/A</v>
      </c>
    </row>
    <row r="259" spans="1:9">
      <c r="A259" t="s">
        <v>8599</v>
      </c>
      <c r="B259" t="s">
        <v>8597</v>
      </c>
      <c r="C259" t="s">
        <v>8444</v>
      </c>
      <c r="D259" t="s">
        <v>8445</v>
      </c>
      <c r="E259" t="s">
        <v>8598</v>
      </c>
      <c r="G259" t="str">
        <f t="shared" si="46"/>
        <v>{#SENSOR_LOCATION}: Temperature is too low: &lt;{$TEMP_CRIT_LOW:"CPU"}</v>
      </c>
      <c r="H259" t="e">
        <f>INDEX('7.0.17'!G:G,MATCH(G259,'7.0.17'!F:F,0))</f>
        <v>#N/A</v>
      </c>
      <c r="I259" t="e">
        <f t="shared" ref="I259:I322" si="47">A259&amp;": "&amp;H259</f>
        <v>#N/A</v>
      </c>
    </row>
    <row r="260" spans="1:9">
      <c r="A260" t="s">
        <v>8599</v>
      </c>
      <c r="B260" t="s">
        <v>8588</v>
      </c>
      <c r="C260" t="s">
        <v>8447</v>
      </c>
      <c r="G260" t="str">
        <f>B260&amp;":"&amp;C260</f>
        <v>{#UNIT_LOCATION}: Device has been replaced (new serial number received)</v>
      </c>
      <c r="H260" t="e">
        <f>INDEX('7.0.17'!G:G,MATCH(G260,'7.0.17'!F:F,0))</f>
        <v>#N/A</v>
      </c>
      <c r="I260" t="e">
        <f t="shared" si="47"/>
        <v>#N/A</v>
      </c>
    </row>
    <row r="261" spans="1:9">
      <c r="A261" t="s">
        <v>8600</v>
      </c>
      <c r="B261" t="s">
        <v>8433</v>
      </c>
      <c r="C261" t="s">
        <v>8434</v>
      </c>
      <c r="D261" t="s">
        <v>8435</v>
      </c>
      <c r="G261" t="str">
        <f>B261&amp;":"&amp;C261&amp;":"&amp;D261</f>
        <v>Interface {#IFNAME}({#IFALIAS}): High error rate (&gt;{$IF.ERRORS.WARN:{#IFNAME}} for 5m)</v>
      </c>
      <c r="H261" t="e">
        <f>INDEX('7.0.17'!G:G,MATCH(G261,'7.0.17'!F:F,0))</f>
        <v>#N/A</v>
      </c>
      <c r="I261" t="e">
        <f t="shared" si="47"/>
        <v>#N/A</v>
      </c>
    </row>
    <row r="262" spans="1:9">
      <c r="A262" t="s">
        <v>8600</v>
      </c>
      <c r="B262" t="s">
        <v>8433</v>
      </c>
      <c r="C262" t="s">
        <v>8436</v>
      </c>
      <c r="D262" t="s">
        <v>8437</v>
      </c>
      <c r="G262" t="str">
        <f>B262&amp;":"&amp;C262&amp;":"&amp;D262</f>
        <v>Interface {#IFNAME}({#IFALIAS}): High bandwidth usage (&gt;{$IF.UTIL.MAX:{#IFNAME}}%)</v>
      </c>
      <c r="H262" t="e">
        <f>INDEX('7.0.17'!G:G,MATCH(G262,'7.0.17'!F:F,0))</f>
        <v>#N/A</v>
      </c>
      <c r="I262" t="e">
        <f t="shared" si="47"/>
        <v>#N/A</v>
      </c>
    </row>
    <row r="263" spans="1:9">
      <c r="A263" t="s">
        <v>8600</v>
      </c>
      <c r="B263" t="s">
        <v>8438</v>
      </c>
      <c r="C263" t="s">
        <v>8439</v>
      </c>
      <c r="D263" t="s">
        <v>8440</v>
      </c>
      <c r="E263" t="s">
        <v>8441</v>
      </c>
      <c r="G263" t="str">
        <f t="shared" ref="G263:G265" si="48">B263&amp;":"&amp;C263&amp;":"&amp;D263&amp;":"&amp;E263</f>
        <v>{#SNMPVALUE}: Temperature is above critical threshold: &gt;{$TEMP_CRIT:{#SNMPVALUE}}</v>
      </c>
      <c r="H263" t="e">
        <f>INDEX('7.0.17'!G:G,MATCH(G263,'7.0.17'!F:F,0))</f>
        <v>#N/A</v>
      </c>
      <c r="I263" t="e">
        <f t="shared" si="47"/>
        <v>#N/A</v>
      </c>
    </row>
    <row r="264" spans="1:9">
      <c r="A264" t="s">
        <v>8600</v>
      </c>
      <c r="B264" t="s">
        <v>8438</v>
      </c>
      <c r="C264" t="s">
        <v>8442</v>
      </c>
      <c r="D264" t="s">
        <v>8443</v>
      </c>
      <c r="E264" t="s">
        <v>8441</v>
      </c>
      <c r="G264" t="str">
        <f t="shared" si="48"/>
        <v>{#SNMPVALUE}: Temperature is above warning threshold: &gt;{$TEMP_WARN:{#SNMPVALUE}}</v>
      </c>
      <c r="H264" t="e">
        <f>INDEX('7.0.17'!G:G,MATCH(G264,'7.0.17'!F:F,0))</f>
        <v>#N/A</v>
      </c>
      <c r="I264" t="e">
        <f t="shared" si="47"/>
        <v>#N/A</v>
      </c>
    </row>
    <row r="265" spans="1:9">
      <c r="A265" t="s">
        <v>8600</v>
      </c>
      <c r="B265" t="s">
        <v>8438</v>
      </c>
      <c r="C265" t="s">
        <v>8444</v>
      </c>
      <c r="D265" t="s">
        <v>8445</v>
      </c>
      <c r="E265" t="s">
        <v>8441</v>
      </c>
      <c r="G265" t="str">
        <f t="shared" si="48"/>
        <v>{#SNMPVALUE}: Temperature is too low: &lt;{$TEMP_CRIT_LOW:{#SNMPVALUE}}</v>
      </c>
      <c r="H265" t="e">
        <f>INDEX('7.0.17'!G:G,MATCH(G265,'7.0.17'!F:F,0))</f>
        <v>#N/A</v>
      </c>
      <c r="I265" t="e">
        <f t="shared" si="47"/>
        <v>#N/A</v>
      </c>
    </row>
    <row r="266" spans="1:9">
      <c r="A266" t="s">
        <v>8600</v>
      </c>
      <c r="B266" t="s">
        <v>8601</v>
      </c>
      <c r="C266" t="s">
        <v>8515</v>
      </c>
      <c r="G266" t="str">
        <f>B266&amp;":"&amp;C266</f>
        <v>{#SNMPINDEX}: High memory utilization (&gt;{$MEMORY.UTIL.MAX}% for 5m)</v>
      </c>
      <c r="H266" t="e">
        <f>INDEX('7.0.17'!G:G,MATCH(G266,'7.0.17'!F:F,0))</f>
        <v>#N/A</v>
      </c>
      <c r="I266" t="e">
        <f t="shared" si="47"/>
        <v>#N/A</v>
      </c>
    </row>
    <row r="267" spans="1:9">
      <c r="A267" t="s">
        <v>8602</v>
      </c>
      <c r="B267" t="s">
        <v>8433</v>
      </c>
      <c r="C267" t="s">
        <v>8434</v>
      </c>
      <c r="D267" t="s">
        <v>8435</v>
      </c>
      <c r="G267" t="str">
        <f>B267&amp;":"&amp;C267&amp;":"&amp;D267</f>
        <v>Interface {#IFNAME}({#IFALIAS}): High error rate (&gt;{$IF.ERRORS.WARN:{#IFNAME}} for 5m)</v>
      </c>
      <c r="H267" t="e">
        <f>INDEX('7.0.17'!G:G,MATCH(G267,'7.0.17'!F:F,0))</f>
        <v>#N/A</v>
      </c>
      <c r="I267" t="e">
        <f t="shared" si="47"/>
        <v>#N/A</v>
      </c>
    </row>
    <row r="268" spans="1:9">
      <c r="A268" t="s">
        <v>8602</v>
      </c>
      <c r="B268" t="s">
        <v>8433</v>
      </c>
      <c r="C268" t="s">
        <v>8436</v>
      </c>
      <c r="D268" t="s">
        <v>8437</v>
      </c>
      <c r="G268" t="str">
        <f>B268&amp;":"&amp;C268&amp;":"&amp;D268</f>
        <v>Interface {#IFNAME}({#IFALIAS}): High bandwidth usage (&gt;{$IF.UTIL.MAX:{#IFNAME}}%)</v>
      </c>
      <c r="H268" t="e">
        <f>INDEX('7.0.17'!G:G,MATCH(G268,'7.0.17'!F:F,0))</f>
        <v>#N/A</v>
      </c>
      <c r="I268" t="e">
        <f t="shared" si="47"/>
        <v>#N/A</v>
      </c>
    </row>
    <row r="269" spans="1:9">
      <c r="A269" t="s">
        <v>8602</v>
      </c>
      <c r="B269" t="s">
        <v>8603</v>
      </c>
      <c r="C269" t="s">
        <v>8439</v>
      </c>
      <c r="D269" t="s">
        <v>8440</v>
      </c>
      <c r="E269" t="s">
        <v>8441</v>
      </c>
      <c r="G269" t="str">
        <f t="shared" ref="G269:G271" si="49">B269&amp;":"&amp;C269&amp;":"&amp;D269&amp;":"&amp;E269</f>
        <v>#{#SNMPVALUE}: Temperature is above critical threshold: &gt;{$TEMP_CRIT:{#SNMPVALUE}}</v>
      </c>
      <c r="H269" t="e">
        <f>INDEX('7.0.17'!G:G,MATCH(G269,'7.0.17'!F:F,0))</f>
        <v>#N/A</v>
      </c>
      <c r="I269" t="e">
        <f t="shared" si="47"/>
        <v>#N/A</v>
      </c>
    </row>
    <row r="270" spans="1:9">
      <c r="A270" t="s">
        <v>8602</v>
      </c>
      <c r="B270" t="s">
        <v>8603</v>
      </c>
      <c r="C270" t="s">
        <v>8442</v>
      </c>
      <c r="D270" t="s">
        <v>8443</v>
      </c>
      <c r="E270" t="s">
        <v>8441</v>
      </c>
      <c r="G270" t="str">
        <f t="shared" si="49"/>
        <v>#{#SNMPVALUE}: Temperature is above warning threshold: &gt;{$TEMP_WARN:{#SNMPVALUE}}</v>
      </c>
      <c r="H270" t="e">
        <f>INDEX('7.0.17'!G:G,MATCH(G270,'7.0.17'!F:F,0))</f>
        <v>#N/A</v>
      </c>
      <c r="I270" t="e">
        <f t="shared" si="47"/>
        <v>#N/A</v>
      </c>
    </row>
    <row r="271" spans="1:9">
      <c r="A271" t="s">
        <v>8602</v>
      </c>
      <c r="B271" t="s">
        <v>8603</v>
      </c>
      <c r="C271" t="s">
        <v>8444</v>
      </c>
      <c r="D271" t="s">
        <v>8445</v>
      </c>
      <c r="E271" t="s">
        <v>8441</v>
      </c>
      <c r="G271" t="str">
        <f t="shared" si="49"/>
        <v>#{#SNMPVALUE}: Temperature is too low: &lt;{$TEMP_CRIT_LOW:{#SNMPVALUE}}</v>
      </c>
      <c r="H271" t="e">
        <f>INDEX('7.0.17'!G:G,MATCH(G271,'7.0.17'!F:F,0))</f>
        <v>#N/A</v>
      </c>
      <c r="I271" t="e">
        <f t="shared" si="47"/>
        <v>#N/A</v>
      </c>
    </row>
    <row r="272" spans="1:9">
      <c r="A272" t="s">
        <v>8602</v>
      </c>
      <c r="B272" t="s">
        <v>8603</v>
      </c>
      <c r="C272" t="s">
        <v>8515</v>
      </c>
      <c r="G272" t="str">
        <f>B272&amp;":"&amp;C272</f>
        <v>#{#SNMPVALUE}: High memory utilization (&gt;{$MEMORY.UTIL.MAX}% for 5m)</v>
      </c>
      <c r="H272" t="e">
        <f>INDEX('7.0.17'!G:G,MATCH(G272,'7.0.17'!F:F,0))</f>
        <v>#N/A</v>
      </c>
      <c r="I272" t="e">
        <f t="shared" si="47"/>
        <v>#N/A</v>
      </c>
    </row>
    <row r="273" spans="1:9">
      <c r="A273" t="s">
        <v>8604</v>
      </c>
      <c r="B273" t="s">
        <v>8605</v>
      </c>
      <c r="G273" t="str">
        <f t="shared" ref="G273:G280" si="50">B273</f>
        <v>{#DISK_NAME} has been replaced (new serial number received)</v>
      </c>
      <c r="H273" t="e">
        <f>INDEX('7.0.17'!G:G,MATCH(G273,'7.0.17'!F:F,0))</f>
        <v>#N/A</v>
      </c>
      <c r="I273" t="e">
        <f t="shared" si="47"/>
        <v>#N/A</v>
      </c>
    </row>
    <row r="274" spans="1:9">
      <c r="A274" t="s">
        <v>8604</v>
      </c>
      <c r="B274" t="s">
        <v>8605</v>
      </c>
      <c r="G274" t="str">
        <f t="shared" si="50"/>
        <v>{#DISK_NAME} has been replaced (new serial number received)</v>
      </c>
      <c r="H274" t="e">
        <f>INDEX('7.0.17'!G:G,MATCH(G274,'7.0.17'!F:F,0))</f>
        <v>#N/A</v>
      </c>
      <c r="I274" t="e">
        <f t="shared" si="47"/>
        <v>#N/A</v>
      </c>
    </row>
    <row r="275" spans="1:9">
      <c r="A275" t="s">
        <v>8606</v>
      </c>
      <c r="B275" t="s">
        <v>8605</v>
      </c>
      <c r="G275" t="str">
        <f t="shared" si="50"/>
        <v>{#DISK_NAME} has been replaced (new serial number received)</v>
      </c>
      <c r="H275" t="e">
        <f>INDEX('7.0.17'!G:G,MATCH(G275,'7.0.17'!F:F,0))</f>
        <v>#N/A</v>
      </c>
      <c r="I275" t="e">
        <f t="shared" si="47"/>
        <v>#N/A</v>
      </c>
    </row>
    <row r="276" spans="1:9">
      <c r="A276" t="s">
        <v>8606</v>
      </c>
      <c r="B276" t="s">
        <v>8605</v>
      </c>
      <c r="G276" t="str">
        <f t="shared" si="50"/>
        <v>{#DISK_NAME} has been replaced (new serial number received)</v>
      </c>
      <c r="H276" t="e">
        <f>INDEX('7.0.17'!G:G,MATCH(G276,'7.0.17'!F:F,0))</f>
        <v>#N/A</v>
      </c>
      <c r="I276" t="e">
        <f t="shared" si="47"/>
        <v>#N/A</v>
      </c>
    </row>
    <row r="277" spans="1:9">
      <c r="A277" t="s">
        <v>8607</v>
      </c>
      <c r="B277" t="s">
        <v>8605</v>
      </c>
      <c r="G277" t="str">
        <f t="shared" si="50"/>
        <v>{#DISK_NAME} has been replaced (new serial number received)</v>
      </c>
      <c r="H277" t="e">
        <f>INDEX('7.0.17'!G:G,MATCH(G277,'7.0.17'!F:F,0))</f>
        <v>#N/A</v>
      </c>
      <c r="I277" t="e">
        <f t="shared" si="47"/>
        <v>#N/A</v>
      </c>
    </row>
    <row r="278" spans="1:9">
      <c r="A278" t="s">
        <v>8607</v>
      </c>
      <c r="B278" t="s">
        <v>8605</v>
      </c>
      <c r="G278" t="str">
        <f t="shared" si="50"/>
        <v>{#DISK_NAME} has been replaced (new serial number received)</v>
      </c>
      <c r="H278" t="e">
        <f>INDEX('7.0.17'!G:G,MATCH(G278,'7.0.17'!F:F,0))</f>
        <v>#N/A</v>
      </c>
      <c r="I278" t="e">
        <f t="shared" si="47"/>
        <v>#N/A</v>
      </c>
    </row>
    <row r="279" spans="1:9">
      <c r="A279" t="s">
        <v>8608</v>
      </c>
      <c r="B279" t="s">
        <v>8605</v>
      </c>
      <c r="G279" t="str">
        <f t="shared" si="50"/>
        <v>{#DISK_NAME} has been replaced (new serial number received)</v>
      </c>
      <c r="H279" t="e">
        <f>INDEX('7.0.17'!G:G,MATCH(G279,'7.0.17'!F:F,0))</f>
        <v>#N/A</v>
      </c>
      <c r="I279" t="e">
        <f t="shared" si="47"/>
        <v>#N/A</v>
      </c>
    </row>
    <row r="280" spans="1:9">
      <c r="A280" t="s">
        <v>8608</v>
      </c>
      <c r="B280" t="s">
        <v>8605</v>
      </c>
      <c r="G280" t="str">
        <f t="shared" si="50"/>
        <v>{#DISK_NAME} has been replaced (new serial number received)</v>
      </c>
      <c r="H280" t="e">
        <f>INDEX('7.0.17'!G:G,MATCH(G280,'7.0.17'!F:F,0))</f>
        <v>#N/A</v>
      </c>
      <c r="I280" t="e">
        <f t="shared" si="47"/>
        <v>#N/A</v>
      </c>
    </row>
    <row r="281" spans="1:9">
      <c r="A281" t="s">
        <v>8609</v>
      </c>
      <c r="B281" t="s">
        <v>8433</v>
      </c>
      <c r="C281" t="s">
        <v>8434</v>
      </c>
      <c r="D281" t="s">
        <v>8435</v>
      </c>
      <c r="G281" t="str">
        <f>B281&amp;":"&amp;C281&amp;":"&amp;D281</f>
        <v>Interface {#IFNAME}({#IFALIAS}): High error rate (&gt;{$IF.ERRORS.WARN:{#IFNAME}} for 5m)</v>
      </c>
      <c r="H281" t="e">
        <f>INDEX('7.0.17'!G:G,MATCH(G281,'7.0.17'!F:F,0))</f>
        <v>#N/A</v>
      </c>
      <c r="I281" t="e">
        <f t="shared" si="47"/>
        <v>#N/A</v>
      </c>
    </row>
    <row r="282" spans="1:9">
      <c r="A282" t="s">
        <v>8609</v>
      </c>
      <c r="B282" t="s">
        <v>8433</v>
      </c>
      <c r="C282" t="s">
        <v>8436</v>
      </c>
      <c r="D282" t="s">
        <v>8437</v>
      </c>
      <c r="G282" t="str">
        <f>B282&amp;":"&amp;C282&amp;":"&amp;D282</f>
        <v>Interface {#IFNAME}({#IFALIAS}): High bandwidth usage (&gt;{$IF.UTIL.MAX:{#IFNAME}}%)</v>
      </c>
      <c r="H282" t="e">
        <f>INDEX('7.0.17'!G:G,MATCH(G282,'7.0.17'!F:F,0))</f>
        <v>#N/A</v>
      </c>
      <c r="I282" t="e">
        <f t="shared" si="47"/>
        <v>#N/A</v>
      </c>
    </row>
    <row r="283" spans="1:9">
      <c r="A283" t="s">
        <v>8609</v>
      </c>
      <c r="B283" t="s">
        <v>8610</v>
      </c>
      <c r="C283" t="s">
        <v>8439</v>
      </c>
      <c r="D283" t="s">
        <v>8440</v>
      </c>
      <c r="E283" t="s">
        <v>8441</v>
      </c>
      <c r="G283" t="str">
        <f t="shared" ref="G283:G285" si="51">B283&amp;":"&amp;C283&amp;":"&amp;D283&amp;":"&amp;E283</f>
        <v>Device {#SNMPVALUE}: Temperature is above critical threshold: &gt;{$TEMP_CRIT:{#SNMPVALUE}}</v>
      </c>
      <c r="H283" t="e">
        <f>INDEX('7.0.17'!G:G,MATCH(G283,'7.0.17'!F:F,0))</f>
        <v>#N/A</v>
      </c>
      <c r="I283" t="e">
        <f t="shared" si="47"/>
        <v>#N/A</v>
      </c>
    </row>
    <row r="284" spans="1:9">
      <c r="A284" t="s">
        <v>8609</v>
      </c>
      <c r="B284" t="s">
        <v>8610</v>
      </c>
      <c r="C284" t="s">
        <v>8442</v>
      </c>
      <c r="D284" t="s">
        <v>8443</v>
      </c>
      <c r="E284" t="s">
        <v>8441</v>
      </c>
      <c r="G284" t="str">
        <f t="shared" si="51"/>
        <v>Device {#SNMPVALUE}: Temperature is above warning threshold: &gt;{$TEMP_WARN:{#SNMPVALUE}}</v>
      </c>
      <c r="H284" t="e">
        <f>INDEX('7.0.17'!G:G,MATCH(G284,'7.0.17'!F:F,0))</f>
        <v>#N/A</v>
      </c>
      <c r="I284" t="e">
        <f t="shared" si="47"/>
        <v>#N/A</v>
      </c>
    </row>
    <row r="285" spans="1:9">
      <c r="A285" t="s">
        <v>8609</v>
      </c>
      <c r="B285" t="s">
        <v>8610</v>
      </c>
      <c r="C285" t="s">
        <v>8444</v>
      </c>
      <c r="D285" t="s">
        <v>8445</v>
      </c>
      <c r="E285" t="s">
        <v>8441</v>
      </c>
      <c r="G285" t="str">
        <f t="shared" si="51"/>
        <v>Device {#SNMPVALUE}: Temperature is too low: &lt;{$TEMP_CRIT_LOW:{#SNMPVALUE}}</v>
      </c>
      <c r="H285" t="e">
        <f>INDEX('7.0.17'!G:G,MATCH(G285,'7.0.17'!F:F,0))</f>
        <v>#N/A</v>
      </c>
      <c r="I285" t="e">
        <f t="shared" si="47"/>
        <v>#N/A</v>
      </c>
    </row>
    <row r="286" spans="1:9">
      <c r="A286" t="s">
        <v>8609</v>
      </c>
      <c r="B286" t="s">
        <v>8564</v>
      </c>
      <c r="C286" t="s">
        <v>8565</v>
      </c>
      <c r="G286" t="str">
        <f t="shared" ref="G286:G288" si="52">B286&amp;":"&amp;C286</f>
        <v>#{#SNMPINDEX}: High CPU utilization (over {$CPU.UTIL.CRIT}% for 5m)</v>
      </c>
      <c r="H286" t="e">
        <f>INDEX('7.0.17'!G:G,MATCH(G286,'7.0.17'!F:F,0))</f>
        <v>#N/A</v>
      </c>
      <c r="I286" t="e">
        <f t="shared" si="47"/>
        <v>#N/A</v>
      </c>
    </row>
    <row r="287" spans="1:9">
      <c r="A287" t="s">
        <v>8609</v>
      </c>
      <c r="B287" t="s">
        <v>8603</v>
      </c>
      <c r="C287" t="s">
        <v>8447</v>
      </c>
      <c r="G287" t="str">
        <f t="shared" si="52"/>
        <v>#{#SNMPVALUE}: Device has been replaced (new serial number received)</v>
      </c>
      <c r="H287" t="e">
        <f>INDEX('7.0.17'!G:G,MATCH(G287,'7.0.17'!F:F,0))</f>
        <v>#N/A</v>
      </c>
      <c r="I287" t="e">
        <f t="shared" si="47"/>
        <v>#N/A</v>
      </c>
    </row>
    <row r="288" spans="1:9">
      <c r="A288" t="s">
        <v>8609</v>
      </c>
      <c r="B288" t="s">
        <v>8564</v>
      </c>
      <c r="C288" t="s">
        <v>8515</v>
      </c>
      <c r="G288" t="str">
        <f t="shared" si="52"/>
        <v>#{#SNMPINDEX}: High memory utilization (&gt;{$MEMORY.UTIL.MAX}% for 5m)</v>
      </c>
      <c r="H288" t="e">
        <f>INDEX('7.0.17'!G:G,MATCH(G288,'7.0.17'!F:F,0))</f>
        <v>#N/A</v>
      </c>
      <c r="I288" t="e">
        <f t="shared" si="47"/>
        <v>#N/A</v>
      </c>
    </row>
    <row r="289" spans="1:9">
      <c r="A289" t="s">
        <v>8611</v>
      </c>
      <c r="B289" t="s">
        <v>8612</v>
      </c>
      <c r="C289" t="s">
        <v>8439</v>
      </c>
      <c r="D289" t="s">
        <v>8440</v>
      </c>
      <c r="E289" t="s">
        <v>8592</v>
      </c>
      <c r="G289" t="str">
        <f t="shared" ref="G289:G294" si="53">B289&amp;":"&amp;C289&amp;":"&amp;D289&amp;":"&amp;E289</f>
        <v>{#SENSOR_LOCALE}: Temperature is above critical threshold: &gt;{$TEMP_CRIT:"Ambient"}</v>
      </c>
      <c r="H289" t="e">
        <f>INDEX('7.0.17'!G:G,MATCH(G289,'7.0.17'!F:F,0))</f>
        <v>#N/A</v>
      </c>
      <c r="I289" t="e">
        <f t="shared" si="47"/>
        <v>#N/A</v>
      </c>
    </row>
    <row r="290" spans="1:9">
      <c r="A290" t="s">
        <v>8611</v>
      </c>
      <c r="B290" t="s">
        <v>8612</v>
      </c>
      <c r="C290" t="s">
        <v>8442</v>
      </c>
      <c r="D290" t="s">
        <v>8443</v>
      </c>
      <c r="E290" t="s">
        <v>8592</v>
      </c>
      <c r="G290" t="str">
        <f t="shared" si="53"/>
        <v>{#SENSOR_LOCALE}: Temperature is above warning threshold: &gt;{$TEMP_WARN:"Ambient"}</v>
      </c>
      <c r="H290" t="e">
        <f>INDEX('7.0.17'!G:G,MATCH(G290,'7.0.17'!F:F,0))</f>
        <v>#N/A</v>
      </c>
      <c r="I290" t="e">
        <f t="shared" si="47"/>
        <v>#N/A</v>
      </c>
    </row>
    <row r="291" spans="1:9">
      <c r="A291" t="s">
        <v>8611</v>
      </c>
      <c r="B291" t="s">
        <v>8612</v>
      </c>
      <c r="C291" t="s">
        <v>8439</v>
      </c>
      <c r="D291" t="s">
        <v>8440</v>
      </c>
      <c r="E291" t="s">
        <v>8598</v>
      </c>
      <c r="G291" t="str">
        <f t="shared" si="53"/>
        <v>{#SENSOR_LOCALE}: Temperature is above critical threshold: &gt;{$TEMP_CRIT:"CPU"}</v>
      </c>
      <c r="H291" t="e">
        <f>INDEX('7.0.17'!G:G,MATCH(G291,'7.0.17'!F:F,0))</f>
        <v>#N/A</v>
      </c>
      <c r="I291" t="e">
        <f t="shared" si="47"/>
        <v>#N/A</v>
      </c>
    </row>
    <row r="292" spans="1:9">
      <c r="A292" t="s">
        <v>8611</v>
      </c>
      <c r="B292" t="s">
        <v>8612</v>
      </c>
      <c r="C292" t="s">
        <v>8442</v>
      </c>
      <c r="D292" t="s">
        <v>8443</v>
      </c>
      <c r="E292" t="s">
        <v>8598</v>
      </c>
      <c r="G292" t="str">
        <f t="shared" si="53"/>
        <v>{#SENSOR_LOCALE}: Temperature is above warning threshold: &gt;{$TEMP_WARN:"CPU"}</v>
      </c>
      <c r="H292" t="e">
        <f>INDEX('7.0.17'!G:G,MATCH(G292,'7.0.17'!F:F,0))</f>
        <v>#N/A</v>
      </c>
      <c r="I292" t="e">
        <f t="shared" si="47"/>
        <v>#N/A</v>
      </c>
    </row>
    <row r="293" spans="1:9">
      <c r="A293" t="s">
        <v>8611</v>
      </c>
      <c r="B293" t="s">
        <v>8612</v>
      </c>
      <c r="C293" t="s">
        <v>8444</v>
      </c>
      <c r="D293" t="s">
        <v>8445</v>
      </c>
      <c r="E293" t="s">
        <v>8592</v>
      </c>
      <c r="G293" t="str">
        <f t="shared" si="53"/>
        <v>{#SENSOR_LOCALE}: Temperature is too low: &lt;{$TEMP_CRIT_LOW:"Ambient"}</v>
      </c>
      <c r="H293" t="e">
        <f>INDEX('7.0.17'!G:G,MATCH(G293,'7.0.17'!F:F,0))</f>
        <v>#N/A</v>
      </c>
      <c r="I293" t="e">
        <f t="shared" si="47"/>
        <v>#N/A</v>
      </c>
    </row>
    <row r="294" spans="1:9">
      <c r="A294" t="s">
        <v>8611</v>
      </c>
      <c r="B294" t="s">
        <v>8612</v>
      </c>
      <c r="C294" t="s">
        <v>8444</v>
      </c>
      <c r="D294" t="s">
        <v>8445</v>
      </c>
      <c r="E294" t="s">
        <v>8598</v>
      </c>
      <c r="G294" t="str">
        <f t="shared" si="53"/>
        <v>{#SENSOR_LOCALE}: Temperature is too low: &lt;{$TEMP_CRIT_LOW:"CPU"}</v>
      </c>
      <c r="H294" t="e">
        <f>INDEX('7.0.17'!G:G,MATCH(G294,'7.0.17'!F:F,0))</f>
        <v>#N/A</v>
      </c>
      <c r="I294" t="e">
        <f t="shared" si="47"/>
        <v>#N/A</v>
      </c>
    </row>
    <row r="295" spans="1:9">
      <c r="A295" t="s">
        <v>8611</v>
      </c>
      <c r="B295" t="s">
        <v>8613</v>
      </c>
      <c r="C295" t="s">
        <v>8587</v>
      </c>
      <c r="G295" t="str">
        <f t="shared" ref="G295:G306" si="54">B295&amp;":"&amp;C295</f>
        <v>{#DISK_NAME}: Disk has been replaced (new serial number received)</v>
      </c>
      <c r="H295" t="e">
        <f>INDEX('7.0.17'!G:G,MATCH(G295,'7.0.17'!F:F,0))</f>
        <v>#N/A</v>
      </c>
      <c r="I295" t="e">
        <f t="shared" si="47"/>
        <v>#N/A</v>
      </c>
    </row>
    <row r="296" spans="1:9">
      <c r="A296" t="s">
        <v>8614</v>
      </c>
      <c r="B296" t="s">
        <v>8615</v>
      </c>
      <c r="C296" t="s">
        <v>8460</v>
      </c>
      <c r="D296" t="s">
        <v>8461</v>
      </c>
      <c r="G296" t="str">
        <f>B296&amp;":"&amp;C296&amp;":"&amp;D296</f>
        <v>Container {#NAME}: Version has changed (new version: {ITEM.VALUE})</v>
      </c>
      <c r="H296" t="e">
        <f>INDEX('7.0.17'!G:G,MATCH(G296,'7.0.17'!F:F,0))</f>
        <v>#N/A</v>
      </c>
      <c r="I296" t="e">
        <f t="shared" si="47"/>
        <v>#N/A</v>
      </c>
    </row>
    <row r="297" spans="1:9">
      <c r="A297" t="s">
        <v>8616</v>
      </c>
      <c r="B297" t="s">
        <v>8617</v>
      </c>
      <c r="C297" t="s">
        <v>8618</v>
      </c>
      <c r="G297" t="str">
        <f t="shared" si="54"/>
        <v>ES {#ES.NODE}: Flush latency is too high (over {$ELASTICSEARCH.FLUSH_LATENCY.MAX.WARN}ms for 5m)</v>
      </c>
      <c r="H297" t="e">
        <f>INDEX('7.0.17'!G:G,MATCH(G297,'7.0.17'!F:F,0))</f>
        <v>#N/A</v>
      </c>
      <c r="I297" t="e">
        <f t="shared" si="47"/>
        <v>#N/A</v>
      </c>
    </row>
    <row r="298" spans="1:9">
      <c r="A298" t="s">
        <v>8616</v>
      </c>
      <c r="B298" t="s">
        <v>8617</v>
      </c>
      <c r="C298" t="s">
        <v>8619</v>
      </c>
      <c r="G298" t="str">
        <f t="shared" si="54"/>
        <v>ES {#ES.NODE}: Indexing latency is too high (over {$ELASTICSEARCH.INDEXING_LATENCY.MAX.WARN}ms for 5m)</v>
      </c>
      <c r="H298" t="e">
        <f>INDEX('7.0.17'!G:G,MATCH(G298,'7.0.17'!F:F,0))</f>
        <v>#N/A</v>
      </c>
      <c r="I298" t="e">
        <f t="shared" si="47"/>
        <v>#N/A</v>
      </c>
    </row>
    <row r="299" spans="1:9">
      <c r="A299" t="s">
        <v>8616</v>
      </c>
      <c r="B299" t="s">
        <v>8617</v>
      </c>
      <c r="C299" t="s">
        <v>8620</v>
      </c>
      <c r="G299" t="str">
        <f t="shared" si="54"/>
        <v>ES {#ES.NODE}: Fetch latency is too high (over {$ELASTICSEARCH.FETCH_LATENCY.MAX.WARN}ms for 5m)</v>
      </c>
      <c r="H299" t="e">
        <f>INDEX('7.0.17'!G:G,MATCH(G299,'7.0.17'!F:F,0))</f>
        <v>#N/A</v>
      </c>
      <c r="I299" t="e">
        <f t="shared" si="47"/>
        <v>#N/A</v>
      </c>
    </row>
    <row r="300" spans="1:9">
      <c r="A300" t="s">
        <v>8616</v>
      </c>
      <c r="B300" t="s">
        <v>8617</v>
      </c>
      <c r="C300" t="s">
        <v>8621</v>
      </c>
      <c r="G300" t="str">
        <f t="shared" si="54"/>
        <v>ES {#ES.NODE}: Query latency is too high (over {$ELASTICSEARCH.QUERY_LATENCY.MAX.WARN}ms for 5m)</v>
      </c>
      <c r="H300" t="e">
        <f>INDEX('7.0.17'!G:G,MATCH(G300,'7.0.17'!F:F,0))</f>
        <v>#N/A</v>
      </c>
      <c r="I300" t="e">
        <f t="shared" si="47"/>
        <v>#N/A</v>
      </c>
    </row>
    <row r="301" spans="1:9">
      <c r="A301" t="s">
        <v>8616</v>
      </c>
      <c r="B301" t="s">
        <v>8617</v>
      </c>
      <c r="C301" t="s">
        <v>8622</v>
      </c>
      <c r="G301" t="str">
        <f t="shared" si="54"/>
        <v>ES {#ES.NODE}: Percent of JVM heap in use is high (over {$ELASTICSEARCH.HEAP_USED.MAX.WARN}% for 1h)</v>
      </c>
      <c r="H301" t="e">
        <f>INDEX('7.0.17'!G:G,MATCH(G301,'7.0.17'!F:F,0))</f>
        <v>#N/A</v>
      </c>
      <c r="I301" t="e">
        <f t="shared" si="47"/>
        <v>#N/A</v>
      </c>
    </row>
    <row r="302" spans="1:9">
      <c r="A302" t="s">
        <v>8616</v>
      </c>
      <c r="B302" t="s">
        <v>8617</v>
      </c>
      <c r="C302" t="s">
        <v>8623</v>
      </c>
      <c r="G302" t="str">
        <f t="shared" si="54"/>
        <v>ES {#ES.NODE}: Percent of JVM heap in use is critical (over {$ELASTICSEARCH.HEAP_USED.MAX.CRIT}% for 1h)</v>
      </c>
      <c r="H302" t="e">
        <f>INDEX('7.0.17'!G:G,MATCH(G302,'7.0.17'!F:F,0))</f>
        <v>#N/A</v>
      </c>
      <c r="I302" t="e">
        <f t="shared" si="47"/>
        <v>#N/A</v>
      </c>
    </row>
    <row r="303" spans="1:9">
      <c r="A303" t="s">
        <v>8616</v>
      </c>
      <c r="B303" t="s">
        <v>8617</v>
      </c>
      <c r="C303" t="s">
        <v>8624</v>
      </c>
      <c r="G303" t="str">
        <f t="shared" si="54"/>
        <v>ES {#ES.NODE}: has been restarted (uptime &lt; 10m)</v>
      </c>
      <c r="H303" t="e">
        <f>INDEX('7.0.17'!G:G,MATCH(G303,'7.0.17'!F:F,0))</f>
        <v>#N/A</v>
      </c>
      <c r="I303" t="e">
        <f t="shared" si="47"/>
        <v>#N/A</v>
      </c>
    </row>
    <row r="304" spans="1:9">
      <c r="A304" t="s">
        <v>8616</v>
      </c>
      <c r="B304" t="s">
        <v>8617</v>
      </c>
      <c r="C304" t="s">
        <v>8625</v>
      </c>
      <c r="G304" t="str">
        <f t="shared" si="54"/>
        <v>ES {#ES.NODE}: Refresh thread pool executor has the rejected tasks (for 5m)</v>
      </c>
      <c r="H304" t="e">
        <f>INDEX('7.0.17'!G:G,MATCH(G304,'7.0.17'!F:F,0))</f>
        <v>#N/A</v>
      </c>
      <c r="I304" t="e">
        <f t="shared" si="47"/>
        <v>#N/A</v>
      </c>
    </row>
    <row r="305" spans="1:9">
      <c r="A305" t="s">
        <v>8616</v>
      </c>
      <c r="B305" t="s">
        <v>8617</v>
      </c>
      <c r="C305" t="s">
        <v>8626</v>
      </c>
      <c r="G305" t="str">
        <f t="shared" si="54"/>
        <v>ES {#ES.NODE}: Search thread pool executor has the rejected tasks (for 5m)</v>
      </c>
      <c r="H305" t="e">
        <f>INDEX('7.0.17'!G:G,MATCH(G305,'7.0.17'!F:F,0))</f>
        <v>#N/A</v>
      </c>
      <c r="I305" t="e">
        <f t="shared" si="47"/>
        <v>#N/A</v>
      </c>
    </row>
    <row r="306" spans="1:9">
      <c r="A306" t="s">
        <v>8616</v>
      </c>
      <c r="B306" t="s">
        <v>8617</v>
      </c>
      <c r="C306" t="s">
        <v>8627</v>
      </c>
      <c r="G306" t="str">
        <f t="shared" si="54"/>
        <v>ES {#ES.NODE}: Write thread pool executor has the rejected tasks (for 5m)</v>
      </c>
      <c r="H306" t="e">
        <f>INDEX('7.0.17'!G:G,MATCH(G306,'7.0.17'!F:F,0))</f>
        <v>#N/A</v>
      </c>
      <c r="I306" t="e">
        <f t="shared" si="47"/>
        <v>#N/A</v>
      </c>
    </row>
    <row r="307" spans="1:9">
      <c r="A307" t="s">
        <v>8628</v>
      </c>
      <c r="B307" t="s">
        <v>8433</v>
      </c>
      <c r="C307" t="s">
        <v>8434</v>
      </c>
      <c r="D307" t="s">
        <v>8435</v>
      </c>
      <c r="G307" t="str">
        <f t="shared" ref="G307:G312" si="55">B307&amp;":"&amp;C307&amp;":"&amp;D307</f>
        <v>Interface {#IFNAME}({#IFALIAS}): High error rate (&gt;{$IF.ERRORS.WARN:{#IFNAME}} for 5m)</v>
      </c>
      <c r="H307" t="e">
        <f>INDEX('7.0.17'!G:G,MATCH(G307,'7.0.17'!F:F,0))</f>
        <v>#N/A</v>
      </c>
      <c r="I307" t="e">
        <f t="shared" si="47"/>
        <v>#N/A</v>
      </c>
    </row>
    <row r="308" spans="1:9">
      <c r="A308" t="s">
        <v>8628</v>
      </c>
      <c r="B308" t="s">
        <v>8433</v>
      </c>
      <c r="C308" t="s">
        <v>8436</v>
      </c>
      <c r="D308" t="s">
        <v>8437</v>
      </c>
      <c r="G308" t="str">
        <f t="shared" si="55"/>
        <v>Interface {#IFNAME}({#IFALIAS}): High bandwidth usage (&gt;{$IF.UTIL.MAX:{#IFNAME}}%)</v>
      </c>
      <c r="H308" t="e">
        <f>INDEX('7.0.17'!G:G,MATCH(G308,'7.0.17'!F:F,0))</f>
        <v>#N/A</v>
      </c>
      <c r="I308" t="e">
        <f t="shared" si="47"/>
        <v>#N/A</v>
      </c>
    </row>
    <row r="309" spans="1:9">
      <c r="A309" t="s">
        <v>8628</v>
      </c>
      <c r="B309" t="s">
        <v>8603</v>
      </c>
      <c r="C309" t="s">
        <v>8515</v>
      </c>
      <c r="G309" t="str">
        <f>B309&amp;":"&amp;C309</f>
        <v>#{#SNMPVALUE}: High memory utilization (&gt;{$MEMORY.UTIL.MAX}% for 5m)</v>
      </c>
      <c r="H309" t="e">
        <f>INDEX('7.0.17'!G:G,MATCH(G309,'7.0.17'!F:F,0))</f>
        <v>#N/A</v>
      </c>
      <c r="I309" t="e">
        <f t="shared" si="47"/>
        <v>#N/A</v>
      </c>
    </row>
    <row r="310" spans="1:9">
      <c r="A310" t="s">
        <v>8629</v>
      </c>
      <c r="B310" t="s">
        <v>8630</v>
      </c>
      <c r="C310" t="s">
        <v>8545</v>
      </c>
      <c r="D310" t="s">
        <v>8437</v>
      </c>
      <c r="G310" t="str">
        <f t="shared" si="55"/>
        <v>Interface [{#IFNAME}({#IFALIAS})]: High bandwidth usage (&gt;{$NET.IF.UTIL.MAX:{#IFNAME}}%)</v>
      </c>
      <c r="H310" t="e">
        <f>INDEX('7.0.17'!G:G,MATCH(G310,'7.0.17'!F:F,0))</f>
        <v>#N/A</v>
      </c>
      <c r="I310" t="e">
        <f t="shared" si="47"/>
        <v>#N/A</v>
      </c>
    </row>
    <row r="311" spans="1:9">
      <c r="A311" t="s">
        <v>8629</v>
      </c>
      <c r="B311" t="s">
        <v>8630</v>
      </c>
      <c r="C311" t="s">
        <v>8544</v>
      </c>
      <c r="D311" t="s">
        <v>8631</v>
      </c>
      <c r="G311" t="str">
        <f t="shared" si="55"/>
        <v>Interface [{#IFNAME}({#IFALIAS})]: High error rate (&gt;{$NET.IF.ERRORS.WARN:"{#IFKEY}"} for 5m)</v>
      </c>
      <c r="H311" t="e">
        <f>INDEX('7.0.17'!G:G,MATCH(G311,'7.0.17'!F:F,0))</f>
        <v>#N/A</v>
      </c>
      <c r="I311" t="e">
        <f t="shared" si="47"/>
        <v>#N/A</v>
      </c>
    </row>
    <row r="312" spans="1:9">
      <c r="A312" t="s">
        <v>8629</v>
      </c>
      <c r="B312" t="s">
        <v>8632</v>
      </c>
      <c r="C312" t="s">
        <v>8633</v>
      </c>
      <c r="D312" t="s">
        <v>8634</v>
      </c>
      <c r="G312" t="str">
        <f t="shared" si="55"/>
        <v>Service [{#NAME}]: License expires soon (less than {$SERVICE.EXPIRY.WARN:"{#KEY}"} days)</v>
      </c>
      <c r="H312" t="e">
        <f>INDEX('7.0.17'!G:G,MATCH(G312,'7.0.17'!F:F,0))</f>
        <v>#N/A</v>
      </c>
      <c r="I312" t="e">
        <f t="shared" si="47"/>
        <v>#N/A</v>
      </c>
    </row>
    <row r="313" spans="1:9">
      <c r="A313" t="s">
        <v>8629</v>
      </c>
      <c r="B313" t="s">
        <v>8632</v>
      </c>
      <c r="C313" t="s">
        <v>8635</v>
      </c>
      <c r="G313" t="str">
        <f>B313&amp;":"&amp;C313</f>
        <v>Service [{#NAME}]: License status is {ITEM.LASTVALUE1}</v>
      </c>
      <c r="H313" t="e">
        <f>INDEX('7.0.17'!G:G,MATCH(G313,'7.0.17'!F:F,0))</f>
        <v>#N/A</v>
      </c>
      <c r="I313" t="e">
        <f t="shared" si="47"/>
        <v>#N/A</v>
      </c>
    </row>
    <row r="314" spans="1:9">
      <c r="A314" t="s">
        <v>8629</v>
      </c>
      <c r="B314" t="s">
        <v>8433</v>
      </c>
      <c r="C314" t="s">
        <v>8434</v>
      </c>
      <c r="D314" t="s">
        <v>8435</v>
      </c>
      <c r="G314" t="str">
        <f t="shared" ref="G314:G317" si="56">B314&amp;":"&amp;C314&amp;":"&amp;D314</f>
        <v>Interface {#IFNAME}({#IFALIAS}): High error rate (&gt;{$IF.ERRORS.WARN:{#IFNAME}} for 5m)</v>
      </c>
      <c r="H314" t="e">
        <f>INDEX('7.0.17'!G:G,MATCH(G314,'7.0.17'!F:F,0))</f>
        <v>#N/A</v>
      </c>
      <c r="I314" t="e">
        <f t="shared" si="47"/>
        <v>#N/A</v>
      </c>
    </row>
    <row r="315" spans="1:9">
      <c r="A315" t="s">
        <v>8629</v>
      </c>
      <c r="B315" t="s">
        <v>8433</v>
      </c>
      <c r="C315" t="s">
        <v>8436</v>
      </c>
      <c r="D315" t="s">
        <v>8437</v>
      </c>
      <c r="G315" t="str">
        <f t="shared" si="56"/>
        <v>Interface {#IFNAME}({#IFALIAS}): High bandwidth usage (&gt;{$IF.UTIL.MAX:{#IFNAME}}%)</v>
      </c>
      <c r="H315" t="e">
        <f>INDEX('7.0.17'!G:G,MATCH(G315,'7.0.17'!F:F,0))</f>
        <v>#N/A</v>
      </c>
      <c r="I315" t="e">
        <f t="shared" si="47"/>
        <v>#N/A</v>
      </c>
    </row>
    <row r="316" spans="1:9">
      <c r="A316" t="s">
        <v>8629</v>
      </c>
      <c r="B316" t="s">
        <v>8636</v>
      </c>
      <c r="C316" t="s">
        <v>8637</v>
      </c>
      <c r="D316" t="s">
        <v>8638</v>
      </c>
      <c r="G316" t="str">
        <f t="shared" si="56"/>
        <v>WTP {#WC.NAME}: High CPU utilization (over {$WC.CPU.UTIL.CRIT:"{#WC.NAME}"}% for 5m)</v>
      </c>
      <c r="H316" t="e">
        <f>INDEX('7.0.17'!G:G,MATCH(G316,'7.0.17'!F:F,0))</f>
        <v>#N/A</v>
      </c>
      <c r="I316" t="e">
        <f t="shared" si="47"/>
        <v>#N/A</v>
      </c>
    </row>
    <row r="317" spans="1:9">
      <c r="A317" t="s">
        <v>8629</v>
      </c>
      <c r="B317" t="s">
        <v>8636</v>
      </c>
      <c r="C317" t="s">
        <v>8639</v>
      </c>
      <c r="D317" t="s">
        <v>8638</v>
      </c>
      <c r="G317" t="str">
        <f t="shared" si="56"/>
        <v>WTP {#WC.NAME}: High memory utilization (&gt;{$WC.MEMORY.UTIL.MAX:"{#WC.NAME}"}% for 5m)</v>
      </c>
      <c r="H317" t="e">
        <f>INDEX('7.0.17'!G:G,MATCH(G317,'7.0.17'!F:F,0))</f>
        <v>#N/A</v>
      </c>
      <c r="I317" t="e">
        <f t="shared" si="47"/>
        <v>#N/A</v>
      </c>
    </row>
    <row r="318" spans="1:9">
      <c r="A318" t="s">
        <v>8629</v>
      </c>
      <c r="B318" t="s">
        <v>8636</v>
      </c>
      <c r="C318" t="s">
        <v>8640</v>
      </c>
      <c r="G318" t="str">
        <f>B318&amp;":"&amp;C318</f>
        <v>WTP {#WC.NAME}: Session has been restarted (uptime &lt; 10m)</v>
      </c>
      <c r="H318" t="e">
        <f>INDEX('7.0.17'!G:G,MATCH(G318,'7.0.17'!F:F,0))</f>
        <v>#N/A</v>
      </c>
      <c r="I318" t="e">
        <f t="shared" si="47"/>
        <v>#N/A</v>
      </c>
    </row>
    <row r="319" spans="1:9">
      <c r="A319" t="s">
        <v>8641</v>
      </c>
      <c r="B319" t="s">
        <v>8642</v>
      </c>
      <c r="C319" t="s">
        <v>8383</v>
      </c>
      <c r="D319" t="s">
        <v>8384</v>
      </c>
      <c r="G319" t="str">
        <f t="shared" ref="G319:G322" si="57">B319&amp;":"&amp;C319&amp;":"&amp;D319</f>
        <v>FS [{#FSNAME}]: Running out of free inodes (free &lt; {$VFS.FS.INODE.PFREE.MIN.WARN:{#FSNAME}}%)</v>
      </c>
      <c r="H319" t="e">
        <f>INDEX('7.0.17'!G:G,MATCH(G319,'7.0.17'!F:F,0))</f>
        <v>#N/A</v>
      </c>
      <c r="I319" t="e">
        <f t="shared" si="47"/>
        <v>#N/A</v>
      </c>
    </row>
    <row r="320" spans="1:9">
      <c r="A320" t="s">
        <v>8641</v>
      </c>
      <c r="B320" t="s">
        <v>8511</v>
      </c>
      <c r="C320" t="s">
        <v>8385</v>
      </c>
      <c r="D320" t="s">
        <v>8384</v>
      </c>
      <c r="G320" t="str">
        <f t="shared" si="57"/>
        <v>{#FSNAME}: Running out of free inodes (free &lt; {$VFS.FS.INODE.PFREE.MIN.CRIT:{#FSNAME}}%)</v>
      </c>
      <c r="H320" t="e">
        <f>INDEX('7.0.17'!G:G,MATCH(G320,'7.0.17'!F:F,0))</f>
        <v>#N/A</v>
      </c>
      <c r="I320" t="e">
        <f t="shared" si="47"/>
        <v>#N/A</v>
      </c>
    </row>
    <row r="321" spans="1:9">
      <c r="A321" t="s">
        <v>8641</v>
      </c>
      <c r="B321" t="s">
        <v>8642</v>
      </c>
      <c r="C321" t="s">
        <v>8387</v>
      </c>
      <c r="D321" t="s">
        <v>8388</v>
      </c>
      <c r="G321" t="str">
        <f t="shared" si="57"/>
        <v>FS [{#FSNAME}]: Space is low (used &gt; {$VFS.FS.PUSED.MAX.WARN:{#FSNAME}}%, total {{?last(//vfs.fs.dependent.size[{#FSNAME},total])/1024/1024/1024}.fmtnum(1)}GB)</v>
      </c>
      <c r="H321" t="e">
        <f>INDEX('7.0.17'!G:G,MATCH(G321,'7.0.17'!F:F,0))</f>
        <v>#N/A</v>
      </c>
      <c r="I321" t="e">
        <f t="shared" si="47"/>
        <v>#N/A</v>
      </c>
    </row>
    <row r="322" spans="1:9">
      <c r="A322" t="s">
        <v>8641</v>
      </c>
      <c r="B322" t="s">
        <v>8642</v>
      </c>
      <c r="C322" t="s">
        <v>8389</v>
      </c>
      <c r="D322" t="s">
        <v>8388</v>
      </c>
      <c r="G322" t="str">
        <f t="shared" si="57"/>
        <v>FS [{#FSNAME}]: Space is critically low (used &gt; {$VFS.FS.PUSED.MAX.CRIT:{#FSNAME}}%, total {{?last(//vfs.fs.dependent.size[{#FSNAME},total])/1024/1024/1024}.fmtnum(1)}GB)</v>
      </c>
      <c r="H322" t="e">
        <f>INDEX('7.0.17'!G:G,MATCH(G322,'7.0.17'!F:F,0))</f>
        <v>#N/A</v>
      </c>
      <c r="I322" t="e">
        <f t="shared" si="47"/>
        <v>#N/A</v>
      </c>
    </row>
    <row r="323" spans="1:9">
      <c r="A323" t="s">
        <v>1138</v>
      </c>
      <c r="B323" t="s">
        <v>8643</v>
      </c>
      <c r="C323" t="s">
        <v>8644</v>
      </c>
      <c r="D323" t="s">
        <v>8645</v>
      </c>
      <c r="E323" t="s">
        <v>8482</v>
      </c>
      <c r="G323" t="str">
        <f>B323&amp;":"&amp;C323&amp;":"&amp;D323&amp;":"&amp;E323</f>
        <v>Memory pool: {#JMXNAME} memory usage more than {$JMX.MP.USAGE.MAX:{#JMXNAME}}% for {$JMX.MP.USAGE.TIME:{#JMXNAME}}</v>
      </c>
      <c r="H323" t="e">
        <f>INDEX('7.0.17'!G:G,MATCH(G323,'7.0.17'!F:F,0))</f>
        <v>#N/A</v>
      </c>
      <c r="I323" t="e">
        <f t="shared" ref="I323:I386" si="58">A323&amp;": "&amp;H323</f>
        <v>#N/A</v>
      </c>
    </row>
    <row r="324" spans="1:9">
      <c r="A324" t="s">
        <v>8646</v>
      </c>
      <c r="B324" t="s">
        <v>8647</v>
      </c>
      <c r="C324" t="s">
        <v>8460</v>
      </c>
      <c r="D324" t="s">
        <v>8461</v>
      </c>
      <c r="G324" t="str">
        <f>B324&amp;":"&amp;C324&amp;":"&amp;D324</f>
        <v>Cache group [{#JMXNAME}]: Version has changed (new version: {ITEM.VALUE})</v>
      </c>
      <c r="H324" t="e">
        <f>INDEX('7.0.17'!G:G,MATCH(G324,'7.0.17'!F:F,0))</f>
        <v>#N/A</v>
      </c>
      <c r="I324" t="e">
        <f t="shared" si="58"/>
        <v>#N/A</v>
      </c>
    </row>
    <row r="325" spans="1:9">
      <c r="A325" t="s">
        <v>8646</v>
      </c>
      <c r="B325" t="s">
        <v>8648</v>
      </c>
      <c r="C325" t="s">
        <v>8649</v>
      </c>
      <c r="G325" t="str">
        <f t="shared" ref="G325:G331" si="59">B325&amp;":"&amp;C325</f>
        <v>Data region {#JMXNAME}: Checkpoint buffer utilization is too high (over {$GRIDGAIN.CHECKPOINT.PUSED.MAX.HIGH} in 5m)</v>
      </c>
      <c r="H325" t="e">
        <f>INDEX('7.0.17'!G:G,MATCH(G325,'7.0.17'!F:F,0))</f>
        <v>#N/A</v>
      </c>
      <c r="I325" t="e">
        <f t="shared" si="58"/>
        <v>#N/A</v>
      </c>
    </row>
    <row r="326" spans="1:9">
      <c r="A326" t="s">
        <v>8646</v>
      </c>
      <c r="B326" t="s">
        <v>8648</v>
      </c>
      <c r="C326" t="s">
        <v>8650</v>
      </c>
      <c r="G326" t="str">
        <f t="shared" si="59"/>
        <v>Data region {#JMXNAME}: Checkpoint buffer utilization is too high (over {$GRIDGAIN.CHECKPOINT.PUSED.MAX.WARN} in 5m)</v>
      </c>
      <c r="H326" t="e">
        <f>INDEX('7.0.17'!G:G,MATCH(G326,'7.0.17'!F:F,0))</f>
        <v>#N/A</v>
      </c>
      <c r="I326" t="e">
        <f t="shared" si="58"/>
        <v>#N/A</v>
      </c>
    </row>
    <row r="327" spans="1:9">
      <c r="A327" t="s">
        <v>8646</v>
      </c>
      <c r="B327" t="s">
        <v>8651</v>
      </c>
      <c r="C327" t="s">
        <v>8460</v>
      </c>
      <c r="D327" t="s">
        <v>8461</v>
      </c>
      <c r="G327" t="str">
        <f>B327&amp;":"&amp;C327&amp;":"&amp;D327</f>
        <v>GridGain [{#JMXIGNITEINSTANCENAME}]: Version has changed (new version: {ITEM.VALUE})</v>
      </c>
      <c r="H327" t="e">
        <f>INDEX('7.0.17'!G:G,MATCH(G327,'7.0.17'!F:F,0))</f>
        <v>#N/A</v>
      </c>
      <c r="I327" t="e">
        <f t="shared" si="58"/>
        <v>#N/A</v>
      </c>
    </row>
    <row r="328" spans="1:9">
      <c r="A328" t="s">
        <v>8646</v>
      </c>
      <c r="B328" t="s">
        <v>8651</v>
      </c>
      <c r="C328" t="s">
        <v>8652</v>
      </c>
      <c r="G328" t="str">
        <f t="shared" si="59"/>
        <v>GridGain [{#JMXIGNITEINSTANCENAME}]: PME duration is too long (over {$GRIDGAIN.PME.DURATION.MAX.HIGH} for 5 min)</v>
      </c>
      <c r="H328" t="e">
        <f>INDEX('7.0.17'!G:G,MATCH(G328,'7.0.17'!F:F,0))</f>
        <v>#N/A</v>
      </c>
      <c r="I328" t="e">
        <f t="shared" si="58"/>
        <v>#N/A</v>
      </c>
    </row>
    <row r="329" spans="1:9">
      <c r="A329" t="s">
        <v>8646</v>
      </c>
      <c r="B329" t="s">
        <v>8651</v>
      </c>
      <c r="C329" t="s">
        <v>8653</v>
      </c>
      <c r="G329" t="str">
        <f t="shared" si="59"/>
        <v>GridGain [{#JMXIGNITEINSTANCENAME}]: PME duration is too long (over {$GRIDGAIN.PME.DURATION.MAX.WARN} for 5 min)</v>
      </c>
      <c r="H329" t="e">
        <f>INDEX('7.0.17'!G:G,MATCH(G329,'7.0.17'!F:F,0))</f>
        <v>#N/A</v>
      </c>
      <c r="I329" t="e">
        <f t="shared" si="58"/>
        <v>#N/A</v>
      </c>
    </row>
    <row r="330" spans="1:9">
      <c r="A330" t="s">
        <v>8646</v>
      </c>
      <c r="B330" t="s">
        <v>8651</v>
      </c>
      <c r="C330" t="s">
        <v>8654</v>
      </c>
      <c r="G330" t="str">
        <f t="shared" si="59"/>
        <v>GridGain [{#JMXIGNITEINSTANCENAME}]: Number of running threads is too high (over {$GRIDGAIN.THREADS.COUNT.MAX.WARN} for 15 min)</v>
      </c>
      <c r="H330" t="e">
        <f>INDEX('7.0.17'!G:G,MATCH(G330,'7.0.17'!F:F,0))</f>
        <v>#N/A</v>
      </c>
      <c r="I330" t="e">
        <f t="shared" si="58"/>
        <v>#N/A</v>
      </c>
    </row>
    <row r="331" spans="1:9">
      <c r="A331" t="s">
        <v>8646</v>
      </c>
      <c r="B331" t="s">
        <v>8651</v>
      </c>
      <c r="C331" t="s">
        <v>8655</v>
      </c>
      <c r="G331" t="str">
        <f t="shared" si="59"/>
        <v>GridGain [{#JMXIGNITEINSTANCENAME}]: Number of queued jobs is too high (over {$GRIDGAIN.JOBS.QUEUE.MAX.WARN} for 15 min)</v>
      </c>
      <c r="H331" t="e">
        <f>INDEX('7.0.17'!G:G,MATCH(G331,'7.0.17'!F:F,0))</f>
        <v>#N/A</v>
      </c>
      <c r="I331" t="e">
        <f t="shared" si="58"/>
        <v>#N/A</v>
      </c>
    </row>
    <row r="332" spans="1:9">
      <c r="A332" t="s">
        <v>8646</v>
      </c>
      <c r="B332" t="s">
        <v>8651</v>
      </c>
      <c r="C332" t="s">
        <v>8460</v>
      </c>
      <c r="D332" t="s">
        <v>8461</v>
      </c>
      <c r="G332" t="str">
        <f>B332&amp;":"&amp;C332&amp;":"&amp;D332</f>
        <v>GridGain [{#JMXIGNITEINSTANCENAME}]: Version has changed (new version: {ITEM.VALUE})</v>
      </c>
      <c r="H332" t="e">
        <f>INDEX('7.0.17'!G:G,MATCH(G332,'7.0.17'!F:F,0))</f>
        <v>#N/A</v>
      </c>
      <c r="I332" t="e">
        <f t="shared" si="58"/>
        <v>#N/A</v>
      </c>
    </row>
    <row r="333" spans="1:9">
      <c r="A333" t="s">
        <v>8646</v>
      </c>
      <c r="B333" t="s">
        <v>8648</v>
      </c>
      <c r="C333" t="s">
        <v>8656</v>
      </c>
      <c r="G333" t="str">
        <f t="shared" ref="G333:G359" si="60">B333&amp;":"&amp;C333</f>
        <v>Data region {#JMXNAME}: Data region utilization is too high (over {$GRIDGAIN.DATA.REGION.PUSED.MAX.HIGH} in 5m)</v>
      </c>
      <c r="H333" t="e">
        <f>INDEX('7.0.17'!G:G,MATCH(G333,'7.0.17'!F:F,0))</f>
        <v>#N/A</v>
      </c>
      <c r="I333" t="e">
        <f t="shared" si="58"/>
        <v>#N/A</v>
      </c>
    </row>
    <row r="334" spans="1:9">
      <c r="A334" t="s">
        <v>8646</v>
      </c>
      <c r="B334" t="s">
        <v>8648</v>
      </c>
      <c r="C334" t="s">
        <v>8657</v>
      </c>
      <c r="G334" t="str">
        <f t="shared" si="60"/>
        <v>Data region {#JMXNAME}: Data region utilization is too high (over {$GRIDGAIN.DATA.REGION.PUSED.MAX.WARN} in 5m)</v>
      </c>
      <c r="H334" t="e">
        <f>INDEX('7.0.17'!G:G,MATCH(G334,'7.0.17'!F:F,0))</f>
        <v>#N/A</v>
      </c>
      <c r="I334" t="e">
        <f t="shared" si="58"/>
        <v>#N/A</v>
      </c>
    </row>
    <row r="335" spans="1:9">
      <c r="A335" t="s">
        <v>8646</v>
      </c>
      <c r="B335" t="s">
        <v>8658</v>
      </c>
      <c r="C335" t="s">
        <v>8659</v>
      </c>
      <c r="D335" t="s">
        <v>8660</v>
      </c>
      <c r="G335" t="str">
        <f>B335&amp;":"&amp;C335&amp;":"&amp;D335</f>
        <v>Thread pool [{#JMXNAME}]: Too many messages in queue (over {$GRIDGAIN.THREAD.QUEUE.MAX.WARN:{#JMXNAME}} for 5 min)</v>
      </c>
      <c r="H335" t="e">
        <f>INDEX('7.0.17'!G:G,MATCH(G335,'7.0.17'!F:F,0))</f>
        <v>#N/A</v>
      </c>
      <c r="I335" t="e">
        <f t="shared" si="58"/>
        <v>#N/A</v>
      </c>
    </row>
    <row r="336" spans="1:9">
      <c r="A336" t="s">
        <v>8646</v>
      </c>
      <c r="B336" t="s">
        <v>8651</v>
      </c>
      <c r="C336" t="s">
        <v>8624</v>
      </c>
      <c r="G336" t="str">
        <f t="shared" si="60"/>
        <v>GridGain [{#JMXIGNITEINSTANCENAME}]: has been restarted (uptime &lt; 10m)</v>
      </c>
      <c r="H336" t="e">
        <f>INDEX('7.0.17'!G:G,MATCH(G336,'7.0.17'!F:F,0))</f>
        <v>#N/A</v>
      </c>
      <c r="I336" t="e">
        <f t="shared" si="58"/>
        <v>#N/A</v>
      </c>
    </row>
    <row r="337" spans="1:9">
      <c r="A337" t="s">
        <v>8646</v>
      </c>
      <c r="B337" t="s">
        <v>8651</v>
      </c>
      <c r="C337" t="s">
        <v>8661</v>
      </c>
      <c r="G337" t="str">
        <f t="shared" si="60"/>
        <v>GridGain [{#JMXIGNITEINSTANCENAME}]: Failed to fetch info data (or no data for 10m)</v>
      </c>
      <c r="H337" t="e">
        <f>INDEX('7.0.17'!G:G,MATCH(G337,'7.0.17'!F:F,0))</f>
        <v>#N/A</v>
      </c>
      <c r="I337" t="e">
        <f t="shared" si="58"/>
        <v>#N/A</v>
      </c>
    </row>
    <row r="338" spans="1:9">
      <c r="A338" t="s">
        <v>8662</v>
      </c>
      <c r="B338" t="s">
        <v>8663</v>
      </c>
      <c r="C338" t="s">
        <v>8664</v>
      </c>
      <c r="G338" t="str">
        <f t="shared" si="60"/>
        <v>backend {#PXNAME}: Number of responses with error is more than {$HAPROXY.BACK_ERESP.MAX.WARN} for 5m</v>
      </c>
      <c r="H338" t="e">
        <f>INDEX('7.0.17'!G:G,MATCH(G338,'7.0.17'!F:F,0))</f>
        <v>#N/A</v>
      </c>
      <c r="I338" t="e">
        <f t="shared" si="58"/>
        <v>#N/A</v>
      </c>
    </row>
    <row r="339" spans="1:9">
      <c r="A339" t="s">
        <v>8662</v>
      </c>
      <c r="B339" t="s">
        <v>8663</v>
      </c>
      <c r="C339" t="s">
        <v>8665</v>
      </c>
      <c r="G339" t="str">
        <f t="shared" si="60"/>
        <v>backend {#PXNAME}: Current number of requests unassigned in queue is more than {$HAPROXY.BACK_QCUR.MAX.WARN} for 5m</v>
      </c>
      <c r="H339" t="e">
        <f>INDEX('7.0.17'!G:G,MATCH(G339,'7.0.17'!F:F,0))</f>
        <v>#N/A</v>
      </c>
      <c r="I339" t="e">
        <f t="shared" si="58"/>
        <v>#N/A</v>
      </c>
    </row>
    <row r="340" spans="1:9">
      <c r="A340" t="s">
        <v>8662</v>
      </c>
      <c r="B340" t="s">
        <v>8663</v>
      </c>
      <c r="C340" t="s">
        <v>8666</v>
      </c>
      <c r="G340" t="str">
        <f t="shared" si="60"/>
        <v>backend {#PXNAME}: Average time spent in queue is more than {$HAPROXY.BACK_QTIME.MAX.WARN} for 5m</v>
      </c>
      <c r="H340" t="e">
        <f>INDEX('7.0.17'!G:G,MATCH(G340,'7.0.17'!F:F,0))</f>
        <v>#N/A</v>
      </c>
      <c r="I340" t="e">
        <f t="shared" si="58"/>
        <v>#N/A</v>
      </c>
    </row>
    <row r="341" spans="1:9">
      <c r="A341" t="s">
        <v>8662</v>
      </c>
      <c r="B341" t="s">
        <v>8663</v>
      </c>
      <c r="C341" t="s">
        <v>8667</v>
      </c>
      <c r="G341" t="str">
        <f t="shared" si="60"/>
        <v>backend {#PXNAME}: Average response time is more than {$HAPROXY.BACK_RTIME.MAX.WARN} for 5m</v>
      </c>
      <c r="H341" t="e">
        <f>INDEX('7.0.17'!G:G,MATCH(G341,'7.0.17'!F:F,0))</f>
        <v>#N/A</v>
      </c>
      <c r="I341" t="e">
        <f t="shared" si="58"/>
        <v>#N/A</v>
      </c>
    </row>
    <row r="342" spans="1:9">
      <c r="A342" t="s">
        <v>8662</v>
      </c>
      <c r="B342" t="s">
        <v>8668</v>
      </c>
      <c r="C342" t="s">
        <v>8669</v>
      </c>
      <c r="G342" t="str">
        <f t="shared" si="60"/>
        <v>frontend {#PXNAME}: Number of requests denied is more than {$HAPROXY.FRONT_DREQ.MAX.WARN} for 5m</v>
      </c>
      <c r="H342" t="e">
        <f>INDEX('7.0.17'!G:G,MATCH(G342,'7.0.17'!F:F,0))</f>
        <v>#N/A</v>
      </c>
      <c r="I342" t="e">
        <f t="shared" si="58"/>
        <v>#N/A</v>
      </c>
    </row>
    <row r="343" spans="1:9">
      <c r="A343" t="s">
        <v>8662</v>
      </c>
      <c r="B343" t="s">
        <v>8668</v>
      </c>
      <c r="C343" t="s">
        <v>8670</v>
      </c>
      <c r="G343" t="str">
        <f t="shared" si="60"/>
        <v>frontend {#PXNAME}: Number of request errors is more than {$HAPROXY.FRONT_EREQ.MAX.WARN} for 5m</v>
      </c>
      <c r="H343" t="e">
        <f>INDEX('7.0.17'!G:G,MATCH(G343,'7.0.17'!F:F,0))</f>
        <v>#N/A</v>
      </c>
      <c r="I343" t="e">
        <f t="shared" si="58"/>
        <v>#N/A</v>
      </c>
    </row>
    <row r="344" spans="1:9">
      <c r="A344" t="s">
        <v>8662</v>
      </c>
      <c r="B344" t="s">
        <v>8668</v>
      </c>
      <c r="C344" t="s">
        <v>8671</v>
      </c>
      <c r="G344" t="str">
        <f t="shared" si="60"/>
        <v>frontend {#PXNAME}: Session utilization is more than {$HAPROXY.FRONT_SUTIL.MAX.WARN}% for 5m</v>
      </c>
      <c r="H344" t="e">
        <f>INDEX('7.0.17'!G:G,MATCH(G344,'7.0.17'!F:F,0))</f>
        <v>#N/A</v>
      </c>
      <c r="I344" t="e">
        <f t="shared" si="58"/>
        <v>#N/A</v>
      </c>
    </row>
    <row r="345" spans="1:9">
      <c r="A345" t="s">
        <v>8662</v>
      </c>
      <c r="B345" t="s">
        <v>8672</v>
      </c>
      <c r="C345" t="s">
        <v>8673</v>
      </c>
      <c r="G345" t="str">
        <f t="shared" si="60"/>
        <v>{#PXNAME} {#SVNAME}: Number of responses with error is more than {$HAPROXY.SERVER_ERESP.MAX.WARN} for 5m</v>
      </c>
      <c r="H345" t="e">
        <f>INDEX('7.0.17'!G:G,MATCH(G345,'7.0.17'!F:F,0))</f>
        <v>#N/A</v>
      </c>
      <c r="I345" t="e">
        <f t="shared" si="58"/>
        <v>#N/A</v>
      </c>
    </row>
    <row r="346" spans="1:9">
      <c r="A346" t="s">
        <v>8662</v>
      </c>
      <c r="B346" t="s">
        <v>8672</v>
      </c>
      <c r="C346" t="s">
        <v>8674</v>
      </c>
      <c r="G346" t="str">
        <f t="shared" si="60"/>
        <v>{#PXNAME} {#SVNAME}: Current number of requests unassigned in queue is more than {$HAPROXY.SERVER_QCUR.MAX.WARN} for 5m</v>
      </c>
      <c r="H346" t="e">
        <f>INDEX('7.0.17'!G:G,MATCH(G346,'7.0.17'!F:F,0))</f>
        <v>#N/A</v>
      </c>
      <c r="I346" t="e">
        <f t="shared" si="58"/>
        <v>#N/A</v>
      </c>
    </row>
    <row r="347" spans="1:9">
      <c r="A347" t="s">
        <v>8662</v>
      </c>
      <c r="B347" t="s">
        <v>8672</v>
      </c>
      <c r="C347" t="s">
        <v>8675</v>
      </c>
      <c r="G347" t="str">
        <f t="shared" si="60"/>
        <v>{#PXNAME} {#SVNAME}: Average time spent in queue is more than {$HAPROXY.SERVER_QTIME.MAX.WARN} for 5m</v>
      </c>
      <c r="H347" t="e">
        <f>INDEX('7.0.17'!G:G,MATCH(G347,'7.0.17'!F:F,0))</f>
        <v>#N/A</v>
      </c>
      <c r="I347" t="e">
        <f t="shared" si="58"/>
        <v>#N/A</v>
      </c>
    </row>
    <row r="348" spans="1:9">
      <c r="A348" t="s">
        <v>8662</v>
      </c>
      <c r="B348" t="s">
        <v>8672</v>
      </c>
      <c r="C348" t="s">
        <v>8676</v>
      </c>
      <c r="G348" t="str">
        <f t="shared" si="60"/>
        <v>{#PXNAME} {#SVNAME}: Average response time is more than {$HAPROXY.SERVER_RTIME.MAX.WARN} for 5m</v>
      </c>
      <c r="H348" t="e">
        <f>INDEX('7.0.17'!G:G,MATCH(G348,'7.0.17'!F:F,0))</f>
        <v>#N/A</v>
      </c>
      <c r="I348" t="e">
        <f t="shared" si="58"/>
        <v>#N/A</v>
      </c>
    </row>
    <row r="349" spans="1:9">
      <c r="A349" t="s">
        <v>8662</v>
      </c>
      <c r="B349" t="s">
        <v>8663</v>
      </c>
      <c r="C349" t="s">
        <v>8664</v>
      </c>
      <c r="G349" t="str">
        <f t="shared" si="60"/>
        <v>backend {#PXNAME}: Number of responses with error is more than {$HAPROXY.BACK_ERESP.MAX.WARN} for 5m</v>
      </c>
      <c r="H349" t="e">
        <f>INDEX('7.0.17'!G:G,MATCH(G349,'7.0.17'!F:F,0))</f>
        <v>#N/A</v>
      </c>
      <c r="I349" t="e">
        <f t="shared" si="58"/>
        <v>#N/A</v>
      </c>
    </row>
    <row r="350" spans="1:9">
      <c r="A350" t="s">
        <v>8662</v>
      </c>
      <c r="B350" t="s">
        <v>8663</v>
      </c>
      <c r="C350" t="s">
        <v>8665</v>
      </c>
      <c r="G350" t="str">
        <f t="shared" si="60"/>
        <v>backend {#PXNAME}: Current number of requests unassigned in queue is more than {$HAPROXY.BACK_QCUR.MAX.WARN} for 5m</v>
      </c>
      <c r="H350" t="e">
        <f>INDEX('7.0.17'!G:G,MATCH(G350,'7.0.17'!F:F,0))</f>
        <v>#N/A</v>
      </c>
      <c r="I350" t="e">
        <f t="shared" si="58"/>
        <v>#N/A</v>
      </c>
    </row>
    <row r="351" spans="1:9">
      <c r="A351" t="s">
        <v>8662</v>
      </c>
      <c r="B351" t="s">
        <v>8663</v>
      </c>
      <c r="C351" t="s">
        <v>8666</v>
      </c>
      <c r="G351" t="str">
        <f t="shared" si="60"/>
        <v>backend {#PXNAME}: Average time spent in queue is more than {$HAPROXY.BACK_QTIME.MAX.WARN} for 5m</v>
      </c>
      <c r="H351" t="e">
        <f>INDEX('7.0.17'!G:G,MATCH(G351,'7.0.17'!F:F,0))</f>
        <v>#N/A</v>
      </c>
      <c r="I351" t="e">
        <f t="shared" si="58"/>
        <v>#N/A</v>
      </c>
    </row>
    <row r="352" spans="1:9">
      <c r="A352" t="s">
        <v>8662</v>
      </c>
      <c r="B352" t="s">
        <v>8663</v>
      </c>
      <c r="C352" t="s">
        <v>8667</v>
      </c>
      <c r="G352" t="str">
        <f t="shared" si="60"/>
        <v>backend {#PXNAME}: Average response time is more than {$HAPROXY.BACK_RTIME.MAX.WARN} for 5m</v>
      </c>
      <c r="H352" t="e">
        <f>INDEX('7.0.17'!G:G,MATCH(G352,'7.0.17'!F:F,0))</f>
        <v>#N/A</v>
      </c>
      <c r="I352" t="e">
        <f t="shared" si="58"/>
        <v>#N/A</v>
      </c>
    </row>
    <row r="353" spans="1:9">
      <c r="A353" t="s">
        <v>8662</v>
      </c>
      <c r="B353" t="s">
        <v>8668</v>
      </c>
      <c r="C353" t="s">
        <v>8669</v>
      </c>
      <c r="G353" t="str">
        <f t="shared" si="60"/>
        <v>frontend {#PXNAME}: Number of requests denied is more than {$HAPROXY.FRONT_DREQ.MAX.WARN} for 5m</v>
      </c>
      <c r="H353" t="e">
        <f>INDEX('7.0.17'!G:G,MATCH(G353,'7.0.17'!F:F,0))</f>
        <v>#N/A</v>
      </c>
      <c r="I353" t="e">
        <f t="shared" si="58"/>
        <v>#N/A</v>
      </c>
    </row>
    <row r="354" spans="1:9">
      <c r="A354" t="s">
        <v>8662</v>
      </c>
      <c r="B354" t="s">
        <v>8668</v>
      </c>
      <c r="C354" t="s">
        <v>8670</v>
      </c>
      <c r="G354" t="str">
        <f t="shared" si="60"/>
        <v>frontend {#PXNAME}: Number of request errors is more than {$HAPROXY.FRONT_EREQ.MAX.WARN} for 5m</v>
      </c>
      <c r="H354" t="e">
        <f>INDEX('7.0.17'!G:G,MATCH(G354,'7.0.17'!F:F,0))</f>
        <v>#N/A</v>
      </c>
      <c r="I354" t="e">
        <f t="shared" si="58"/>
        <v>#N/A</v>
      </c>
    </row>
    <row r="355" spans="1:9">
      <c r="A355" t="s">
        <v>8662</v>
      </c>
      <c r="B355" t="s">
        <v>8668</v>
      </c>
      <c r="C355" t="s">
        <v>8671</v>
      </c>
      <c r="G355" t="str">
        <f t="shared" si="60"/>
        <v>frontend {#PXNAME}: Session utilization is more than {$HAPROXY.FRONT_SUTIL.MAX.WARN}% for 5m</v>
      </c>
      <c r="H355" t="e">
        <f>INDEX('7.0.17'!G:G,MATCH(G355,'7.0.17'!F:F,0))</f>
        <v>#N/A</v>
      </c>
      <c r="I355" t="e">
        <f t="shared" si="58"/>
        <v>#N/A</v>
      </c>
    </row>
    <row r="356" spans="1:9">
      <c r="A356" t="s">
        <v>8662</v>
      </c>
      <c r="B356" t="s">
        <v>8672</v>
      </c>
      <c r="C356" t="s">
        <v>8673</v>
      </c>
      <c r="G356" t="str">
        <f t="shared" si="60"/>
        <v>{#PXNAME} {#SVNAME}: Number of responses with error is more than {$HAPROXY.SERVER_ERESP.MAX.WARN} for 5m</v>
      </c>
      <c r="H356" t="e">
        <f>INDEX('7.0.17'!G:G,MATCH(G356,'7.0.17'!F:F,0))</f>
        <v>#N/A</v>
      </c>
      <c r="I356" t="e">
        <f t="shared" si="58"/>
        <v>#N/A</v>
      </c>
    </row>
    <row r="357" spans="1:9">
      <c r="A357" t="s">
        <v>8662</v>
      </c>
      <c r="B357" t="s">
        <v>8672</v>
      </c>
      <c r="C357" t="s">
        <v>8674</v>
      </c>
      <c r="G357" t="str">
        <f t="shared" si="60"/>
        <v>{#PXNAME} {#SVNAME}: Current number of requests unassigned in queue is more than {$HAPROXY.SERVER_QCUR.MAX.WARN} for 5m</v>
      </c>
      <c r="H357" t="e">
        <f>INDEX('7.0.17'!G:G,MATCH(G357,'7.0.17'!F:F,0))</f>
        <v>#N/A</v>
      </c>
      <c r="I357" t="e">
        <f t="shared" si="58"/>
        <v>#N/A</v>
      </c>
    </row>
    <row r="358" spans="1:9">
      <c r="A358" t="s">
        <v>8662</v>
      </c>
      <c r="B358" t="s">
        <v>8672</v>
      </c>
      <c r="C358" t="s">
        <v>8675</v>
      </c>
      <c r="G358" t="str">
        <f t="shared" si="60"/>
        <v>{#PXNAME} {#SVNAME}: Average time spent in queue is more than {$HAPROXY.SERVER_QTIME.MAX.WARN} for 5m</v>
      </c>
      <c r="H358" t="e">
        <f>INDEX('7.0.17'!G:G,MATCH(G358,'7.0.17'!F:F,0))</f>
        <v>#N/A</v>
      </c>
      <c r="I358" t="e">
        <f t="shared" si="58"/>
        <v>#N/A</v>
      </c>
    </row>
    <row r="359" spans="1:9">
      <c r="A359" t="s">
        <v>8662</v>
      </c>
      <c r="B359" t="s">
        <v>8672</v>
      </c>
      <c r="C359" t="s">
        <v>8676</v>
      </c>
      <c r="G359" t="str">
        <f t="shared" si="60"/>
        <v>{#PXNAME} {#SVNAME}: Average response time is more than {$HAPROXY.SERVER_RTIME.MAX.WARN} for 5m</v>
      </c>
      <c r="H359" t="e">
        <f>INDEX('7.0.17'!G:G,MATCH(G359,'7.0.17'!F:F,0))</f>
        <v>#N/A</v>
      </c>
      <c r="I359" t="e">
        <f t="shared" si="58"/>
        <v>#N/A</v>
      </c>
    </row>
    <row r="360" spans="1:9">
      <c r="A360" t="s">
        <v>8677</v>
      </c>
      <c r="B360" t="s">
        <v>8433</v>
      </c>
      <c r="C360" t="s">
        <v>8434</v>
      </c>
      <c r="D360" t="s">
        <v>8435</v>
      </c>
      <c r="G360" t="str">
        <f>B360&amp;":"&amp;C360&amp;":"&amp;D360</f>
        <v>Interface {#IFNAME}({#IFALIAS}): High error rate (&gt;{$IF.ERRORS.WARN:{#IFNAME}} for 5m)</v>
      </c>
      <c r="H360" t="e">
        <f>INDEX('7.0.17'!G:G,MATCH(G360,'7.0.17'!F:F,0))</f>
        <v>#N/A</v>
      </c>
      <c r="I360" t="e">
        <f t="shared" si="58"/>
        <v>#N/A</v>
      </c>
    </row>
    <row r="361" spans="1:9">
      <c r="A361" t="s">
        <v>8677</v>
      </c>
      <c r="B361" t="s">
        <v>8433</v>
      </c>
      <c r="C361" t="s">
        <v>8436</v>
      </c>
      <c r="D361" t="s">
        <v>8437</v>
      </c>
      <c r="G361" t="str">
        <f>B361&amp;":"&amp;C361&amp;":"&amp;D361</f>
        <v>Interface {#IFNAME}({#IFALIAS}): High bandwidth usage (&gt;{$IF.UTIL.MAX:{#IFNAME}}%)</v>
      </c>
      <c r="H361" t="e">
        <f>INDEX('7.0.17'!G:G,MATCH(G361,'7.0.17'!F:F,0))</f>
        <v>#N/A</v>
      </c>
      <c r="I361" t="e">
        <f t="shared" si="58"/>
        <v>#N/A</v>
      </c>
    </row>
    <row r="362" spans="1:9">
      <c r="A362" t="s">
        <v>8677</v>
      </c>
      <c r="B362" t="s">
        <v>8438</v>
      </c>
      <c r="C362" t="s">
        <v>8439</v>
      </c>
      <c r="D362" t="s">
        <v>8440</v>
      </c>
      <c r="E362" t="s">
        <v>8441</v>
      </c>
      <c r="G362" t="str">
        <f t="shared" ref="G362:G364" si="61">B362&amp;":"&amp;C362&amp;":"&amp;D362&amp;":"&amp;E362</f>
        <v>{#SNMPVALUE}: Temperature is above critical threshold: &gt;{$TEMP_CRIT:{#SNMPVALUE}}</v>
      </c>
      <c r="H362" t="e">
        <f>INDEX('7.0.17'!G:G,MATCH(G362,'7.0.17'!F:F,0))</f>
        <v>#N/A</v>
      </c>
      <c r="I362" t="e">
        <f t="shared" si="58"/>
        <v>#N/A</v>
      </c>
    </row>
    <row r="363" spans="1:9">
      <c r="A363" t="s">
        <v>8677</v>
      </c>
      <c r="B363" t="s">
        <v>8438</v>
      </c>
      <c r="C363" t="s">
        <v>8442</v>
      </c>
      <c r="D363" t="s">
        <v>8443</v>
      </c>
      <c r="E363" t="s">
        <v>8441</v>
      </c>
      <c r="G363" t="str">
        <f t="shared" si="61"/>
        <v>{#SNMPVALUE}: Temperature is above warning threshold: &gt;{$TEMP_WARN:{#SNMPVALUE}}</v>
      </c>
      <c r="H363" t="e">
        <f>INDEX('7.0.17'!G:G,MATCH(G363,'7.0.17'!F:F,0))</f>
        <v>#N/A</v>
      </c>
      <c r="I363" t="e">
        <f t="shared" si="58"/>
        <v>#N/A</v>
      </c>
    </row>
    <row r="364" spans="1:9">
      <c r="A364" t="s">
        <v>8677</v>
      </c>
      <c r="B364" t="s">
        <v>8438</v>
      </c>
      <c r="C364" t="s">
        <v>8444</v>
      </c>
      <c r="D364" t="s">
        <v>8445</v>
      </c>
      <c r="E364" t="s">
        <v>8441</v>
      </c>
      <c r="G364" t="str">
        <f t="shared" si="61"/>
        <v>{#SNMPVALUE}: Temperature is too low: &lt;{$TEMP_CRIT_LOW:{#SNMPVALUE}}</v>
      </c>
      <c r="H364" t="e">
        <f>INDEX('7.0.17'!G:G,MATCH(G364,'7.0.17'!F:F,0))</f>
        <v>#N/A</v>
      </c>
      <c r="I364" t="e">
        <f t="shared" si="58"/>
        <v>#N/A</v>
      </c>
    </row>
    <row r="365" spans="1:9">
      <c r="A365" t="s">
        <v>8677</v>
      </c>
      <c r="B365" t="s">
        <v>8678</v>
      </c>
      <c r="C365" t="s">
        <v>8565</v>
      </c>
      <c r="G365" t="str">
        <f t="shared" ref="G365:G367" si="62">B365&amp;":"&amp;C365</f>
        <v>{#MODULE_NAME}: High CPU utilization (over {$CPU.UTIL.CRIT}% for 5m)</v>
      </c>
      <c r="H365" t="e">
        <f>INDEX('7.0.17'!G:G,MATCH(G365,'7.0.17'!F:F,0))</f>
        <v>#N/A</v>
      </c>
      <c r="I365" t="e">
        <f t="shared" si="58"/>
        <v>#N/A</v>
      </c>
    </row>
    <row r="366" spans="1:9">
      <c r="A366" t="s">
        <v>8677</v>
      </c>
      <c r="B366" t="s">
        <v>8446</v>
      </c>
      <c r="C366" t="s">
        <v>8447</v>
      </c>
      <c r="G366" t="str">
        <f t="shared" si="62"/>
        <v>{#ENT_NAME}: Device has been replaced (new serial number received)</v>
      </c>
      <c r="H366" t="e">
        <f>INDEX('7.0.17'!G:G,MATCH(G366,'7.0.17'!F:F,0))</f>
        <v>#N/A</v>
      </c>
      <c r="I366" t="e">
        <f t="shared" si="58"/>
        <v>#N/A</v>
      </c>
    </row>
    <row r="367" spans="1:9">
      <c r="A367" t="s">
        <v>8677</v>
      </c>
      <c r="B367" t="s">
        <v>8678</v>
      </c>
      <c r="C367" t="s">
        <v>8515</v>
      </c>
      <c r="G367" t="str">
        <f t="shared" si="62"/>
        <v>{#MODULE_NAME}: High memory utilization (&gt;{$MEMORY.UTIL.MAX}% for 5m)</v>
      </c>
      <c r="H367" t="e">
        <f>INDEX('7.0.17'!G:G,MATCH(G367,'7.0.17'!F:F,0))</f>
        <v>#N/A</v>
      </c>
      <c r="I367" t="e">
        <f t="shared" si="58"/>
        <v>#N/A</v>
      </c>
    </row>
    <row r="368" spans="1:9">
      <c r="A368" t="s">
        <v>8679</v>
      </c>
      <c r="B368" t="s">
        <v>8433</v>
      </c>
      <c r="C368" t="s">
        <v>8434</v>
      </c>
      <c r="D368" t="s">
        <v>8435</v>
      </c>
      <c r="G368" t="str">
        <f>B368&amp;":"&amp;C368&amp;":"&amp;D368</f>
        <v>Interface {#IFNAME}({#IFALIAS}): High error rate (&gt;{$IF.ERRORS.WARN:{#IFNAME}} for 5m)</v>
      </c>
      <c r="H368" t="e">
        <f>INDEX('7.0.17'!G:G,MATCH(G368,'7.0.17'!F:F,0))</f>
        <v>#N/A</v>
      </c>
      <c r="I368" t="e">
        <f t="shared" si="58"/>
        <v>#N/A</v>
      </c>
    </row>
    <row r="369" spans="1:9">
      <c r="A369" t="s">
        <v>8679</v>
      </c>
      <c r="B369" t="s">
        <v>8433</v>
      </c>
      <c r="C369" t="s">
        <v>8436</v>
      </c>
      <c r="D369" t="s">
        <v>8437</v>
      </c>
      <c r="G369" t="str">
        <f>B369&amp;":"&amp;C369&amp;":"&amp;D369</f>
        <v>Interface {#IFNAME}({#IFALIAS}): High bandwidth usage (&gt;{$IF.UTIL.MAX:{#IFNAME}}%)</v>
      </c>
      <c r="H369" t="e">
        <f>INDEX('7.0.17'!G:G,MATCH(G369,'7.0.17'!F:F,0))</f>
        <v>#N/A</v>
      </c>
      <c r="I369" t="e">
        <f t="shared" si="58"/>
        <v>#N/A</v>
      </c>
    </row>
    <row r="370" spans="1:9">
      <c r="A370" t="s">
        <v>8679</v>
      </c>
      <c r="B370" t="s">
        <v>8498</v>
      </c>
      <c r="C370" t="s">
        <v>8439</v>
      </c>
      <c r="D370" t="s">
        <v>8440</v>
      </c>
      <c r="E370" t="s">
        <v>8528</v>
      </c>
      <c r="G370" t="str">
        <f t="shared" ref="G370:G372" si="63">B370&amp;":"&amp;C370&amp;":"&amp;D370&amp;":"&amp;E370</f>
        <v>{#SENSOR_INFO}: Temperature is above critical threshold: &gt;{$TEMP_CRIT:"{#SENSOR_INFO}"}</v>
      </c>
      <c r="H370" t="e">
        <f>INDEX('7.0.17'!G:G,MATCH(G370,'7.0.17'!F:F,0))</f>
        <v>#N/A</v>
      </c>
      <c r="I370" t="e">
        <f t="shared" si="58"/>
        <v>#N/A</v>
      </c>
    </row>
    <row r="371" spans="1:9">
      <c r="A371" t="s">
        <v>8679</v>
      </c>
      <c r="B371" t="s">
        <v>8498</v>
      </c>
      <c r="C371" t="s">
        <v>8442</v>
      </c>
      <c r="D371" t="s">
        <v>8443</v>
      </c>
      <c r="E371" t="s">
        <v>8528</v>
      </c>
      <c r="G371" t="str">
        <f t="shared" si="63"/>
        <v>{#SENSOR_INFO}: Temperature is above warning threshold: &gt;{$TEMP_WARN:"{#SENSOR_INFO}"}</v>
      </c>
      <c r="H371" t="e">
        <f>INDEX('7.0.17'!G:G,MATCH(G371,'7.0.17'!F:F,0))</f>
        <v>#N/A</v>
      </c>
      <c r="I371" t="e">
        <f t="shared" si="58"/>
        <v>#N/A</v>
      </c>
    </row>
    <row r="372" spans="1:9">
      <c r="A372" t="s">
        <v>8679</v>
      </c>
      <c r="B372" t="s">
        <v>8498</v>
      </c>
      <c r="C372" t="s">
        <v>8444</v>
      </c>
      <c r="D372" t="s">
        <v>8445</v>
      </c>
      <c r="E372" t="s">
        <v>8528</v>
      </c>
      <c r="G372" t="str">
        <f t="shared" si="63"/>
        <v>{#SENSOR_INFO}: Temperature is too low: &lt;{$TEMP_CRIT_LOW:"{#SENSOR_INFO}"}</v>
      </c>
      <c r="H372" t="e">
        <f>INDEX('7.0.17'!G:G,MATCH(G372,'7.0.17'!F:F,0))</f>
        <v>#N/A</v>
      </c>
      <c r="I372" t="e">
        <f t="shared" si="58"/>
        <v>#N/A</v>
      </c>
    </row>
    <row r="373" spans="1:9">
      <c r="A373" t="s">
        <v>8679</v>
      </c>
      <c r="B373" t="s">
        <v>8603</v>
      </c>
      <c r="C373" t="s">
        <v>8515</v>
      </c>
      <c r="G373" t="str">
        <f>B373&amp;":"&amp;C373</f>
        <v>#{#SNMPVALUE}: High memory utilization (&gt;{$MEMORY.UTIL.MAX}% for 5m)</v>
      </c>
      <c r="H373" t="e">
        <f>INDEX('7.0.17'!G:G,MATCH(G373,'7.0.17'!F:F,0))</f>
        <v>#N/A</v>
      </c>
      <c r="I373" t="e">
        <f t="shared" si="58"/>
        <v>#N/A</v>
      </c>
    </row>
    <row r="374" spans="1:9">
      <c r="A374" t="s">
        <v>8680</v>
      </c>
      <c r="B374" t="s">
        <v>8586</v>
      </c>
      <c r="C374" t="s">
        <v>8587</v>
      </c>
      <c r="G374" t="str">
        <f>B374&amp;":"&amp;C374</f>
        <v>{#DISK_LOCATION}: Disk has been replaced (new serial number received)</v>
      </c>
      <c r="H374" t="e">
        <f>INDEX('7.0.17'!G:G,MATCH(G374,'7.0.17'!F:F,0))</f>
        <v>#N/A</v>
      </c>
      <c r="I374" t="e">
        <f t="shared" si="58"/>
        <v>#N/A</v>
      </c>
    </row>
    <row r="375" spans="1:9">
      <c r="A375" t="s">
        <v>8681</v>
      </c>
      <c r="B375" t="s">
        <v>8642</v>
      </c>
      <c r="C375" t="s">
        <v>8383</v>
      </c>
      <c r="D375" t="s">
        <v>8384</v>
      </c>
      <c r="G375" t="str">
        <f t="shared" ref="G375:G378" si="64">B375&amp;":"&amp;C375&amp;":"&amp;D375</f>
        <v>FS [{#FSNAME}]: Running out of free inodes (free &lt; {$VFS.FS.INODE.PFREE.MIN.WARN:{#FSNAME}}%)</v>
      </c>
      <c r="H375" t="e">
        <f>INDEX('7.0.17'!G:G,MATCH(G375,'7.0.17'!F:F,0))</f>
        <v>#N/A</v>
      </c>
      <c r="I375" t="e">
        <f t="shared" si="58"/>
        <v>#N/A</v>
      </c>
    </row>
    <row r="376" spans="1:9">
      <c r="A376" t="s">
        <v>8681</v>
      </c>
      <c r="B376" t="s">
        <v>8511</v>
      </c>
      <c r="C376" t="s">
        <v>8385</v>
      </c>
      <c r="D376" t="s">
        <v>8384</v>
      </c>
      <c r="G376" t="str">
        <f t="shared" si="64"/>
        <v>{#FSNAME}: Running out of free inodes (free &lt; {$VFS.FS.INODE.PFREE.MIN.CRIT:{#FSNAME}}%)</v>
      </c>
      <c r="H376" t="e">
        <f>INDEX('7.0.17'!G:G,MATCH(G376,'7.0.17'!F:F,0))</f>
        <v>#N/A</v>
      </c>
      <c r="I376" t="e">
        <f t="shared" si="58"/>
        <v>#N/A</v>
      </c>
    </row>
    <row r="377" spans="1:9">
      <c r="A377" t="s">
        <v>8681</v>
      </c>
      <c r="B377" t="s">
        <v>8642</v>
      </c>
      <c r="C377" t="s">
        <v>8387</v>
      </c>
      <c r="D377" t="s">
        <v>8388</v>
      </c>
      <c r="G377" t="str">
        <f t="shared" si="64"/>
        <v>FS [{#FSNAME}]: Space is low (used &gt; {$VFS.FS.PUSED.MAX.WARN:{#FSNAME}}%, total {{?last(//vfs.fs.dependent.size[{#FSNAME},total])/1024/1024/1024}.fmtnum(1)}GB)</v>
      </c>
      <c r="H377" t="e">
        <f>INDEX('7.0.17'!G:G,MATCH(G377,'7.0.17'!F:F,0))</f>
        <v>#N/A</v>
      </c>
      <c r="I377" t="e">
        <f t="shared" si="58"/>
        <v>#N/A</v>
      </c>
    </row>
    <row r="378" spans="1:9">
      <c r="A378" t="s">
        <v>8681</v>
      </c>
      <c r="B378" t="s">
        <v>8642</v>
      </c>
      <c r="C378" t="s">
        <v>8389</v>
      </c>
      <c r="D378" t="s">
        <v>8388</v>
      </c>
      <c r="G378" t="str">
        <f t="shared" si="64"/>
        <v>FS [{#FSNAME}]: Space is critically low (used &gt; {$VFS.FS.PUSED.MAX.CRIT:{#FSNAME}}%, total {{?last(//vfs.fs.dependent.size[{#FSNAME},total])/1024/1024/1024}.fmtnum(1)}GB)</v>
      </c>
      <c r="H378" t="e">
        <f>INDEX('7.0.17'!G:G,MATCH(G378,'7.0.17'!F:F,0))</f>
        <v>#N/A</v>
      </c>
      <c r="I378" t="e">
        <f t="shared" si="58"/>
        <v>#N/A</v>
      </c>
    </row>
    <row r="379" spans="1:9">
      <c r="A379" t="s">
        <v>8682</v>
      </c>
      <c r="B379" t="s">
        <v>8683</v>
      </c>
      <c r="C379" t="s">
        <v>8684</v>
      </c>
      <c r="G379" t="str">
        <f>B379&amp;":"&amp;C379</f>
        <v>Controller [{#CONTROLLER.ID}]: High CPU utilization (over {$HPE.MSA.CONTROLLER.CPU.UTIL.CRIT}% for 5m)</v>
      </c>
      <c r="H379" t="e">
        <f>INDEX('7.0.17'!G:G,MATCH(G379,'7.0.17'!F:F,0))</f>
        <v>#N/A</v>
      </c>
      <c r="I379" t="e">
        <f t="shared" si="58"/>
        <v>#N/A</v>
      </c>
    </row>
    <row r="380" spans="1:9">
      <c r="A380" t="s">
        <v>8682</v>
      </c>
      <c r="B380" t="s">
        <v>8683</v>
      </c>
      <c r="C380" t="s">
        <v>8685</v>
      </c>
      <c r="G380" t="str">
        <f>B380&amp;":"&amp;C380</f>
        <v>Controller [{#CONTROLLER.ID}]: Controller has been restarted (uptime &lt; 10m)</v>
      </c>
      <c r="H380" t="e">
        <f>INDEX('7.0.17'!G:G,MATCH(G380,'7.0.17'!F:F,0))</f>
        <v>#N/A</v>
      </c>
      <c r="I380" t="e">
        <f t="shared" si="58"/>
        <v>#N/A</v>
      </c>
    </row>
    <row r="381" spans="1:9">
      <c r="A381" t="s">
        <v>8682</v>
      </c>
      <c r="B381" t="s">
        <v>8686</v>
      </c>
      <c r="C381" t="s">
        <v>8687</v>
      </c>
      <c r="D381" t="s">
        <v>8688</v>
      </c>
      <c r="G381" t="str">
        <f t="shared" ref="G381:G384" si="65">B381&amp;":"&amp;C381&amp;":"&amp;D381</f>
        <v>Disk group [{#NAME}]: Disk group space is critically low (used &gt; {$HPE.MSA.DISKS.GROUP.PUSED.MAX.CRIT:"{#NAME}"}%)</v>
      </c>
      <c r="H381" t="e">
        <f>INDEX('7.0.17'!G:G,MATCH(G381,'7.0.17'!F:F,0))</f>
        <v>#N/A</v>
      </c>
      <c r="I381" t="e">
        <f t="shared" si="58"/>
        <v>#N/A</v>
      </c>
    </row>
    <row r="382" spans="1:9">
      <c r="A382" t="s">
        <v>8682</v>
      </c>
      <c r="B382" t="s">
        <v>8686</v>
      </c>
      <c r="C382" t="s">
        <v>8689</v>
      </c>
      <c r="D382" t="s">
        <v>8688</v>
      </c>
      <c r="G382" t="str">
        <f t="shared" si="65"/>
        <v>Disk group [{#NAME}]: Disk group space is low (used &gt; {$HPE.MSA.DISKS.GROUP.PUSED.MAX.WARN:"{#NAME}"}%)</v>
      </c>
      <c r="H382" t="e">
        <f>INDEX('7.0.17'!G:G,MATCH(G382,'7.0.17'!F:F,0))</f>
        <v>#N/A</v>
      </c>
      <c r="I382" t="e">
        <f t="shared" si="58"/>
        <v>#N/A</v>
      </c>
    </row>
    <row r="383" spans="1:9">
      <c r="A383" t="s">
        <v>8682</v>
      </c>
      <c r="B383" t="s">
        <v>8690</v>
      </c>
      <c r="C383" t="s">
        <v>8691</v>
      </c>
      <c r="D383" t="s">
        <v>8688</v>
      </c>
      <c r="G383" t="str">
        <f t="shared" si="65"/>
        <v>Pool [{#NAME}]: Pool space is critically low (used &gt; {$HPE.MSA.POOL.PUSED.MAX.CRIT:"{#NAME}"}%)</v>
      </c>
      <c r="H383" t="e">
        <f>INDEX('7.0.17'!G:G,MATCH(G383,'7.0.17'!F:F,0))</f>
        <v>#N/A</v>
      </c>
      <c r="I383" t="e">
        <f t="shared" si="58"/>
        <v>#N/A</v>
      </c>
    </row>
    <row r="384" spans="1:9">
      <c r="A384" t="s">
        <v>8682</v>
      </c>
      <c r="B384" t="s">
        <v>8690</v>
      </c>
      <c r="C384" t="s">
        <v>8692</v>
      </c>
      <c r="D384" t="s">
        <v>8688</v>
      </c>
      <c r="G384" t="str">
        <f t="shared" si="65"/>
        <v>Pool [{#NAME}]: Pool space is low (used &gt; {$HPE.MSA.POOL.PUSED.MAX.WARN:"{#NAME}"}%)</v>
      </c>
      <c r="H384" t="e">
        <f>INDEX('7.0.17'!G:G,MATCH(G384,'7.0.17'!F:F,0))</f>
        <v>#N/A</v>
      </c>
      <c r="I384" t="e">
        <f t="shared" si="58"/>
        <v>#N/A</v>
      </c>
    </row>
    <row r="385" spans="1:9">
      <c r="A385" t="s">
        <v>8693</v>
      </c>
      <c r="B385" t="s">
        <v>8683</v>
      </c>
      <c r="C385" t="s">
        <v>8684</v>
      </c>
      <c r="G385" t="str">
        <f>B385&amp;":"&amp;C385</f>
        <v>Controller [{#CONTROLLER.ID}]: High CPU utilization (over {$HPE.MSA.CONTROLLER.CPU.UTIL.CRIT}% for 5m)</v>
      </c>
      <c r="H385" t="e">
        <f>INDEX('7.0.17'!G:G,MATCH(G385,'7.0.17'!F:F,0))</f>
        <v>#N/A</v>
      </c>
      <c r="I385" t="e">
        <f t="shared" si="58"/>
        <v>#N/A</v>
      </c>
    </row>
    <row r="386" spans="1:9">
      <c r="A386" t="s">
        <v>8693</v>
      </c>
      <c r="B386" t="s">
        <v>8683</v>
      </c>
      <c r="C386" t="s">
        <v>8685</v>
      </c>
      <c r="G386" t="str">
        <f>B386&amp;":"&amp;C386</f>
        <v>Controller [{#CONTROLLER.ID}]: Controller has been restarted (uptime &lt; 10m)</v>
      </c>
      <c r="H386" t="e">
        <f>INDEX('7.0.17'!G:G,MATCH(G386,'7.0.17'!F:F,0))</f>
        <v>#N/A</v>
      </c>
      <c r="I386" t="e">
        <f t="shared" si="58"/>
        <v>#N/A</v>
      </c>
    </row>
    <row r="387" spans="1:9">
      <c r="A387" t="s">
        <v>8693</v>
      </c>
      <c r="B387" t="s">
        <v>8686</v>
      </c>
      <c r="C387" t="s">
        <v>8687</v>
      </c>
      <c r="D387" t="s">
        <v>8688</v>
      </c>
      <c r="G387" t="str">
        <f t="shared" ref="G387:G390" si="66">B387&amp;":"&amp;C387&amp;":"&amp;D387</f>
        <v>Disk group [{#NAME}]: Disk group space is critically low (used &gt; {$HPE.MSA.DISKS.GROUP.PUSED.MAX.CRIT:"{#NAME}"}%)</v>
      </c>
      <c r="H387" t="e">
        <f>INDEX('7.0.17'!G:G,MATCH(G387,'7.0.17'!F:F,0))</f>
        <v>#N/A</v>
      </c>
      <c r="I387" t="e">
        <f t="shared" ref="I387:I450" si="67">A387&amp;": "&amp;H387</f>
        <v>#N/A</v>
      </c>
    </row>
    <row r="388" spans="1:9">
      <c r="A388" t="s">
        <v>8693</v>
      </c>
      <c r="B388" t="s">
        <v>8686</v>
      </c>
      <c r="C388" t="s">
        <v>8689</v>
      </c>
      <c r="D388" t="s">
        <v>8688</v>
      </c>
      <c r="G388" t="str">
        <f t="shared" si="66"/>
        <v>Disk group [{#NAME}]: Disk group space is low (used &gt; {$HPE.MSA.DISKS.GROUP.PUSED.MAX.WARN:"{#NAME}"}%)</v>
      </c>
      <c r="H388" t="e">
        <f>INDEX('7.0.17'!G:G,MATCH(G388,'7.0.17'!F:F,0))</f>
        <v>#N/A</v>
      </c>
      <c r="I388" t="e">
        <f t="shared" si="67"/>
        <v>#N/A</v>
      </c>
    </row>
    <row r="389" spans="1:9">
      <c r="A389" t="s">
        <v>8693</v>
      </c>
      <c r="B389" t="s">
        <v>8690</v>
      </c>
      <c r="C389" t="s">
        <v>8691</v>
      </c>
      <c r="D389" t="s">
        <v>8688</v>
      </c>
      <c r="G389" t="str">
        <f t="shared" si="66"/>
        <v>Pool [{#NAME}]: Pool space is critically low (used &gt; {$HPE.MSA.POOL.PUSED.MAX.CRIT:"{#NAME}"}%)</v>
      </c>
      <c r="H389" t="e">
        <f>INDEX('7.0.17'!G:G,MATCH(G389,'7.0.17'!F:F,0))</f>
        <v>#N/A</v>
      </c>
      <c r="I389" t="e">
        <f t="shared" si="67"/>
        <v>#N/A</v>
      </c>
    </row>
    <row r="390" spans="1:9">
      <c r="A390" t="s">
        <v>8693</v>
      </c>
      <c r="B390" t="s">
        <v>8690</v>
      </c>
      <c r="C390" t="s">
        <v>8692</v>
      </c>
      <c r="D390" t="s">
        <v>8688</v>
      </c>
      <c r="G390" t="str">
        <f t="shared" si="66"/>
        <v>Pool [{#NAME}]: Pool space is low (used &gt; {$HPE.MSA.POOL.PUSED.MAX.WARN:"{#NAME}"}%)</v>
      </c>
      <c r="H390" t="e">
        <f>INDEX('7.0.17'!G:G,MATCH(G390,'7.0.17'!F:F,0))</f>
        <v>#N/A</v>
      </c>
      <c r="I390" t="e">
        <f t="shared" si="67"/>
        <v>#N/A</v>
      </c>
    </row>
    <row r="391" spans="1:9">
      <c r="A391" t="s">
        <v>8694</v>
      </c>
      <c r="B391" t="s">
        <v>8586</v>
      </c>
      <c r="C391" t="s">
        <v>8587</v>
      </c>
      <c r="G391" t="str">
        <f t="shared" ref="G391:G398" si="68">B391&amp;":"&amp;C391</f>
        <v>{#DISK_LOCATION}: Disk has been replaced (new serial number received)</v>
      </c>
      <c r="H391" t="e">
        <f>INDEX('7.0.17'!G:G,MATCH(G391,'7.0.17'!F:F,0))</f>
        <v>#N/A</v>
      </c>
      <c r="I391" t="e">
        <f t="shared" si="67"/>
        <v>#N/A</v>
      </c>
    </row>
    <row r="392" spans="1:9">
      <c r="A392" t="s">
        <v>8695</v>
      </c>
      <c r="B392" t="s">
        <v>8586</v>
      </c>
      <c r="C392" t="s">
        <v>8587</v>
      </c>
      <c r="G392" t="str">
        <f t="shared" si="68"/>
        <v>{#DISK_LOCATION}: Disk has been replaced (new serial number received)</v>
      </c>
      <c r="H392" t="e">
        <f>INDEX('7.0.17'!G:G,MATCH(G392,'7.0.17'!F:F,0))</f>
        <v>#N/A</v>
      </c>
      <c r="I392" t="e">
        <f t="shared" si="67"/>
        <v>#N/A</v>
      </c>
    </row>
    <row r="393" spans="1:9">
      <c r="A393" t="s">
        <v>8696</v>
      </c>
      <c r="B393" t="s">
        <v>8586</v>
      </c>
      <c r="C393" t="s">
        <v>8587</v>
      </c>
      <c r="G393" t="str">
        <f t="shared" si="68"/>
        <v>{#DISK_LOCATION}: Disk has been replaced (new serial number received)</v>
      </c>
      <c r="H393" t="e">
        <f>INDEX('7.0.17'!G:G,MATCH(G393,'7.0.17'!F:F,0))</f>
        <v>#N/A</v>
      </c>
      <c r="I393" t="e">
        <f t="shared" si="67"/>
        <v>#N/A</v>
      </c>
    </row>
    <row r="394" spans="1:9">
      <c r="A394" t="s">
        <v>8697</v>
      </c>
      <c r="B394" t="s">
        <v>8586</v>
      </c>
      <c r="C394" t="s">
        <v>8587</v>
      </c>
      <c r="G394" t="str">
        <f t="shared" si="68"/>
        <v>{#DISK_LOCATION}: Disk has been replaced (new serial number received)</v>
      </c>
      <c r="H394" t="e">
        <f>INDEX('7.0.17'!G:G,MATCH(G394,'7.0.17'!F:F,0))</f>
        <v>#N/A</v>
      </c>
      <c r="I394" t="e">
        <f t="shared" si="67"/>
        <v>#N/A</v>
      </c>
    </row>
    <row r="395" spans="1:9">
      <c r="A395" t="s">
        <v>8698</v>
      </c>
      <c r="B395" t="s">
        <v>8699</v>
      </c>
      <c r="C395" t="s">
        <v>8700</v>
      </c>
      <c r="G395" t="str">
        <f t="shared" si="68"/>
        <v>{#HOSTNAME}: Service has been restarted (uptime &lt; 10m)</v>
      </c>
      <c r="H395" t="e">
        <f>INDEX('7.0.17'!G:G,MATCH(G395,'7.0.17'!F:F,0))</f>
        <v>#N/A</v>
      </c>
      <c r="I395" t="e">
        <f t="shared" si="67"/>
        <v>#N/A</v>
      </c>
    </row>
    <row r="396" spans="1:9">
      <c r="A396" t="s">
        <v>8698</v>
      </c>
      <c r="B396" t="s">
        <v>8699</v>
      </c>
      <c r="C396" t="s">
        <v>8701</v>
      </c>
      <c r="G396" t="str">
        <f t="shared" si="68"/>
        <v>{#HOSTNAME}: Failed to fetch DataNode API page (or no data for 30m)</v>
      </c>
      <c r="H396" t="e">
        <f>INDEX('7.0.17'!G:G,MATCH(G396,'7.0.17'!F:F,0))</f>
        <v>#N/A</v>
      </c>
      <c r="I396" t="e">
        <f t="shared" si="67"/>
        <v>#N/A</v>
      </c>
    </row>
    <row r="397" spans="1:9">
      <c r="A397" t="s">
        <v>8698</v>
      </c>
      <c r="B397" t="s">
        <v>8699</v>
      </c>
      <c r="C397" t="s">
        <v>8700</v>
      </c>
      <c r="G397" t="str">
        <f t="shared" si="68"/>
        <v>{#HOSTNAME}: Service has been restarted (uptime &lt; 10m)</v>
      </c>
      <c r="H397" t="e">
        <f>INDEX('7.0.17'!G:G,MATCH(G397,'7.0.17'!F:F,0))</f>
        <v>#N/A</v>
      </c>
      <c r="I397" t="e">
        <f t="shared" si="67"/>
        <v>#N/A</v>
      </c>
    </row>
    <row r="398" spans="1:9">
      <c r="A398" t="s">
        <v>8698</v>
      </c>
      <c r="B398" t="s">
        <v>8699</v>
      </c>
      <c r="C398" t="s">
        <v>8702</v>
      </c>
      <c r="G398" t="str">
        <f t="shared" si="68"/>
        <v>{#HOSTNAME}: Failed to fetch NodeManager API page (or no data for 30m)</v>
      </c>
      <c r="H398" t="e">
        <f>INDEX('7.0.17'!G:G,MATCH(G398,'7.0.17'!F:F,0))</f>
        <v>#N/A</v>
      </c>
      <c r="I398" t="e">
        <f t="shared" si="67"/>
        <v>#N/A</v>
      </c>
    </row>
    <row r="399" spans="1:9">
      <c r="A399" t="s">
        <v>8703</v>
      </c>
      <c r="B399" t="s">
        <v>8704</v>
      </c>
      <c r="C399" t="s">
        <v>8705</v>
      </c>
      <c r="D399" t="s">
        <v>8706</v>
      </c>
      <c r="G399" t="str">
        <f t="shared" ref="G399:G404" si="69">B399&amp;":"&amp;C399&amp;":"&amp;D399</f>
        <v>Service ["{#SERVICE_NAME}"]: Too many nodes with service status 'critical' (over {$CONSUL.CLUSTER.SERVICE_NODES.CRITICAL.MAX.AVG:"{#SERVICE_NAME}"})</v>
      </c>
      <c r="H399" t="e">
        <f>INDEX('7.0.17'!G:G,MATCH(G399,'7.0.17'!F:F,0))</f>
        <v>#N/A</v>
      </c>
      <c r="I399" t="e">
        <f t="shared" si="67"/>
        <v>#N/A</v>
      </c>
    </row>
    <row r="400" spans="1:9">
      <c r="A400" t="s">
        <v>8707</v>
      </c>
      <c r="B400" t="s">
        <v>8708</v>
      </c>
      <c r="G400" t="str">
        <f>B400</f>
        <v>Node's health score is over {$CONSUL.NODE.HEALTH_SCORE.MAX.HIGH}</v>
      </c>
      <c r="H400" t="e">
        <f>INDEX('7.0.17'!G:G,MATCH(G400,'7.0.17'!F:F,0))</f>
        <v>#N/A</v>
      </c>
      <c r="I400" t="e">
        <f t="shared" si="67"/>
        <v>#N/A</v>
      </c>
    </row>
    <row r="401" spans="1:9">
      <c r="A401" t="s">
        <v>8709</v>
      </c>
      <c r="B401" t="s">
        <v>8710</v>
      </c>
      <c r="C401" t="s">
        <v>8711</v>
      </c>
      <c r="G401" t="str">
        <f>B401&amp;":"&amp;C401</f>
        <v>Running out of free inodes on [{#DEV.NAME}]  (free &lt; {$NOMAD.INODES.FREE.MIN.CRIT:"{#DEV.NAME}"}%)</v>
      </c>
      <c r="H401" t="e">
        <f>INDEX('7.0.17'!G:G,MATCH(G401,'7.0.17'!F:F,0))</f>
        <v>#N/A</v>
      </c>
      <c r="I401" t="e">
        <f t="shared" si="67"/>
        <v>#N/A</v>
      </c>
    </row>
    <row r="402" spans="1:9">
      <c r="A402" t="s">
        <v>8709</v>
      </c>
      <c r="B402" t="s">
        <v>8712</v>
      </c>
      <c r="C402" t="s">
        <v>8711</v>
      </c>
      <c r="G402" t="str">
        <f>B402&amp;":"&amp;C402</f>
        <v>Running out of free inodes on [{#DEV.NAME}]  (free &lt; {$NOMAD.INODES.FREE.MIN.WARN:"{#DEV.NAME}"}%)</v>
      </c>
      <c r="H402" t="e">
        <f>INDEX('7.0.17'!G:G,MATCH(G402,'7.0.17'!F:F,0))</f>
        <v>#N/A</v>
      </c>
      <c r="I402" t="e">
        <f t="shared" si="67"/>
        <v>#N/A</v>
      </c>
    </row>
    <row r="403" spans="1:9">
      <c r="A403" t="s">
        <v>8709</v>
      </c>
      <c r="B403" t="s">
        <v>8713</v>
      </c>
      <c r="C403" t="s">
        <v>8714</v>
      </c>
      <c r="D403" t="s">
        <v>8711</v>
      </c>
      <c r="G403" t="str">
        <f t="shared" si="69"/>
        <v>Disk [{#DEV.NAME}] space low (utilization: &gt;= {$NOMAD.DISK.UTIL.MIN.CRIT:"{#DEV.NAME}"}%)</v>
      </c>
      <c r="H403" t="e">
        <f>INDEX('7.0.17'!G:G,MATCH(G403,'7.0.17'!F:F,0))</f>
        <v>#N/A</v>
      </c>
      <c r="I403" t="e">
        <f t="shared" si="67"/>
        <v>#N/A</v>
      </c>
    </row>
    <row r="404" spans="1:9">
      <c r="A404" t="s">
        <v>8709</v>
      </c>
      <c r="B404" t="s">
        <v>8713</v>
      </c>
      <c r="C404" t="s">
        <v>8715</v>
      </c>
      <c r="D404" t="s">
        <v>8711</v>
      </c>
      <c r="G404" t="str">
        <f t="shared" si="69"/>
        <v>Disk [{#DEV.NAME}] space low (utilization: &gt;= {$NOMAD.DISK.UTIL.MIN.WARN:"{#DEV.NAME}"}%)</v>
      </c>
      <c r="H404" t="e">
        <f>INDEX('7.0.17'!G:G,MATCH(G404,'7.0.17'!F:F,0))</f>
        <v>#N/A</v>
      </c>
      <c r="I404" t="e">
        <f t="shared" si="67"/>
        <v>#N/A</v>
      </c>
    </row>
    <row r="405" spans="1:9">
      <c r="A405" t="s">
        <v>8716</v>
      </c>
      <c r="B405" t="s">
        <v>8717</v>
      </c>
      <c r="G405" t="str">
        <f>B405</f>
        <v>Token [{#TOKEN_NAME}] will expire soon (less than {$VAULT.TOKEN.TTL.MIN.CRIT})</v>
      </c>
      <c r="H405" t="e">
        <f>INDEX('7.0.17'!G:G,MATCH(G405,'7.0.17'!F:F,0))</f>
        <v>#N/A</v>
      </c>
      <c r="I405" t="e">
        <f t="shared" si="67"/>
        <v>#N/A</v>
      </c>
    </row>
    <row r="406" spans="1:9">
      <c r="A406" t="s">
        <v>8716</v>
      </c>
      <c r="B406" t="s">
        <v>8718</v>
      </c>
      <c r="G406" t="str">
        <f>B406</f>
        <v>Token [{#TOKEN_NAME}] will expire soon (less than {$VAULT.TOKEN.TTL.MIN.WARN})</v>
      </c>
      <c r="H406" t="e">
        <f>INDEX('7.0.17'!G:G,MATCH(G406,'7.0.17'!F:F,0))</f>
        <v>#N/A</v>
      </c>
      <c r="I406" t="e">
        <f t="shared" si="67"/>
        <v>#N/A</v>
      </c>
    </row>
    <row r="407" spans="1:9">
      <c r="A407" t="s">
        <v>8719</v>
      </c>
      <c r="B407" t="s">
        <v>8720</v>
      </c>
      <c r="C407" t="s">
        <v>8565</v>
      </c>
      <c r="G407" t="str">
        <f t="shared" ref="G407:G414" si="70">B407&amp;":"&amp;C407</f>
        <v>Controller {#ID}: High CPU utilization (over {$CPU.UTIL.CRIT}% for 5m)</v>
      </c>
      <c r="H407" t="e">
        <f>INDEX('7.0.17'!G:G,MATCH(G407,'7.0.17'!F:F,0))</f>
        <v>#N/A</v>
      </c>
      <c r="I407" t="e">
        <f t="shared" si="67"/>
        <v>#N/A</v>
      </c>
    </row>
    <row r="408" spans="1:9">
      <c r="A408" t="s">
        <v>8719</v>
      </c>
      <c r="B408" t="s">
        <v>8720</v>
      </c>
      <c r="C408" t="s">
        <v>8721</v>
      </c>
      <c r="G408" t="str">
        <f t="shared" si="70"/>
        <v>Controller {#ID}: Memory usage is too high (over {$HUAWEI.5300.MEM.MAX.WARN} for {$HUAWEI.5300.MEM.MAX.TIME})</v>
      </c>
      <c r="H408" t="e">
        <f>INDEX('7.0.17'!G:G,MATCH(G408,'7.0.17'!F:F,0))</f>
        <v>#N/A</v>
      </c>
      <c r="I408" t="e">
        <f t="shared" si="67"/>
        <v>#N/A</v>
      </c>
    </row>
    <row r="409" spans="1:9">
      <c r="A409" t="s">
        <v>8719</v>
      </c>
      <c r="B409" t="s">
        <v>8722</v>
      </c>
      <c r="C409" t="s">
        <v>8723</v>
      </c>
      <c r="D409" t="s">
        <v>8724</v>
      </c>
      <c r="G409" t="str">
        <f>B409&amp;":"&amp;C409&amp;":"&amp;D409</f>
        <v>Disk {#MODEL} on {#LOCATION}: Temperature is too high (over {$HUAWEI.5300.DISK.TEMP.MAX.WARN:"{#MODEL}"} for {$HUAWEI.5300.DISK.TEMP.MAX.TIME})</v>
      </c>
      <c r="H409" t="e">
        <f>INDEX('7.0.17'!G:G,MATCH(G409,'7.0.17'!F:F,0))</f>
        <v>#N/A</v>
      </c>
      <c r="I409" t="e">
        <f t="shared" si="67"/>
        <v>#N/A</v>
      </c>
    </row>
    <row r="410" spans="1:9">
      <c r="A410" t="s">
        <v>8719</v>
      </c>
      <c r="B410" t="s">
        <v>8725</v>
      </c>
      <c r="C410" t="s">
        <v>8726</v>
      </c>
      <c r="G410" t="str">
        <f t="shared" si="70"/>
        <v>Enclosure {#NAME}: Temperature is too high (over {$HUAWEI.5300.TEMP.MAX.WARN} for {$HUAWEI.5300.TEMP.MAX.TIME})</v>
      </c>
      <c r="H410" t="e">
        <f>INDEX('7.0.17'!G:G,MATCH(G410,'7.0.17'!F:F,0))</f>
        <v>#N/A</v>
      </c>
      <c r="I410" t="e">
        <f t="shared" si="67"/>
        <v>#N/A</v>
      </c>
    </row>
    <row r="411" spans="1:9">
      <c r="A411" t="s">
        <v>8719</v>
      </c>
      <c r="B411" t="s">
        <v>8727</v>
      </c>
      <c r="C411" t="s">
        <v>8728</v>
      </c>
      <c r="G411" t="str">
        <f t="shared" si="70"/>
        <v>Pool {#NAME}: Used capacity is too high (over {#THRESHOLD}%)</v>
      </c>
      <c r="H411" t="e">
        <f>INDEX('7.0.17'!G:G,MATCH(G411,'7.0.17'!F:F,0))</f>
        <v>#N/A</v>
      </c>
      <c r="I411" t="e">
        <f t="shared" si="67"/>
        <v>#N/A</v>
      </c>
    </row>
    <row r="412" spans="1:9">
      <c r="A412" t="s">
        <v>8719</v>
      </c>
      <c r="B412" t="s">
        <v>8729</v>
      </c>
      <c r="C412" t="s">
        <v>8730</v>
      </c>
      <c r="G412" t="str">
        <f t="shared" si="70"/>
        <v>LUN {#NAME}: Average I/O response time is too high (over {$HUAWEI.5300.LUN.IO.TIME.MAX.WARN}ms for {$HUAWEI.5300.LUN.IO.TIME.MAX.TIME})</v>
      </c>
      <c r="H412" t="e">
        <f>INDEX('7.0.17'!G:G,MATCH(G412,'7.0.17'!F:F,0))</f>
        <v>#N/A</v>
      </c>
      <c r="I412" t="e">
        <f t="shared" si="67"/>
        <v>#N/A</v>
      </c>
    </row>
    <row r="413" spans="1:9">
      <c r="A413" t="s">
        <v>8719</v>
      </c>
      <c r="B413" t="s">
        <v>8731</v>
      </c>
      <c r="C413" t="s">
        <v>8565</v>
      </c>
      <c r="G413" t="str">
        <f t="shared" si="70"/>
        <v>Node {#NODE}: High CPU utilization (over {$CPU.UTIL.CRIT}% for 5m)</v>
      </c>
      <c r="H413" t="e">
        <f>INDEX('7.0.17'!G:G,MATCH(G413,'7.0.17'!F:F,0))</f>
        <v>#N/A</v>
      </c>
      <c r="I413" t="e">
        <f t="shared" si="67"/>
        <v>#N/A</v>
      </c>
    </row>
    <row r="414" spans="1:9">
      <c r="A414" t="s">
        <v>8719</v>
      </c>
      <c r="B414" t="s">
        <v>8731</v>
      </c>
      <c r="C414" t="s">
        <v>8732</v>
      </c>
      <c r="G414" t="str">
        <f t="shared" si="70"/>
        <v>Node {#NODE}: Average I/O latency is too high (over {$HUAWEI.5300.NODE.IO.DELAY.MAX.WARN}ms for {$HUAWEI.5300.NODE.IO.DELAY.MAX.TIME})</v>
      </c>
      <c r="H414" t="e">
        <f>INDEX('7.0.17'!G:G,MATCH(G414,'7.0.17'!F:F,0))</f>
        <v>#N/A</v>
      </c>
      <c r="I414" t="e">
        <f t="shared" si="67"/>
        <v>#N/A</v>
      </c>
    </row>
    <row r="415" spans="1:9">
      <c r="A415" t="s">
        <v>8733</v>
      </c>
      <c r="B415" t="s">
        <v>8433</v>
      </c>
      <c r="C415" t="s">
        <v>8434</v>
      </c>
      <c r="D415" t="s">
        <v>8435</v>
      </c>
      <c r="G415" t="str">
        <f>B415&amp;":"&amp;C415&amp;":"&amp;D415</f>
        <v>Interface {#IFNAME}({#IFALIAS}): High error rate (&gt;{$IF.ERRORS.WARN:{#IFNAME}} for 5m)</v>
      </c>
      <c r="H415" t="e">
        <f>INDEX('7.0.17'!G:G,MATCH(G415,'7.0.17'!F:F,0))</f>
        <v>#N/A</v>
      </c>
      <c r="I415" t="e">
        <f t="shared" si="67"/>
        <v>#N/A</v>
      </c>
    </row>
    <row r="416" spans="1:9">
      <c r="A416" t="s">
        <v>8733</v>
      </c>
      <c r="B416" t="s">
        <v>8433</v>
      </c>
      <c r="C416" t="s">
        <v>8436</v>
      </c>
      <c r="D416" t="s">
        <v>8437</v>
      </c>
      <c r="G416" t="str">
        <f>B416&amp;":"&amp;C416&amp;":"&amp;D416</f>
        <v>Interface {#IFNAME}({#IFALIAS}): High bandwidth usage (&gt;{$IF.UTIL.MAX:{#IFNAME}}%)</v>
      </c>
      <c r="H416" t="e">
        <f>INDEX('7.0.17'!G:G,MATCH(G416,'7.0.17'!F:F,0))</f>
        <v>#N/A</v>
      </c>
      <c r="I416" t="e">
        <f t="shared" si="67"/>
        <v>#N/A</v>
      </c>
    </row>
    <row r="417" spans="1:9">
      <c r="A417" t="s">
        <v>8733</v>
      </c>
      <c r="B417" t="s">
        <v>8446</v>
      </c>
      <c r="C417" t="s">
        <v>8439</v>
      </c>
      <c r="D417" t="s">
        <v>8440</v>
      </c>
      <c r="E417" t="s">
        <v>8734</v>
      </c>
      <c r="G417" t="str">
        <f t="shared" ref="G417:G419" si="71">B417&amp;":"&amp;C417&amp;":"&amp;D417&amp;":"&amp;E417</f>
        <v>{#ENT_NAME}: Temperature is above critical threshold: &gt;{$TEMP_CRIT:"{#ENT_NAME}"}</v>
      </c>
      <c r="H417" t="e">
        <f>INDEX('7.0.17'!G:G,MATCH(G417,'7.0.17'!F:F,0))</f>
        <v>#N/A</v>
      </c>
      <c r="I417" t="e">
        <f t="shared" si="67"/>
        <v>#N/A</v>
      </c>
    </row>
    <row r="418" spans="1:9">
      <c r="A418" t="s">
        <v>8733</v>
      </c>
      <c r="B418" t="s">
        <v>8446</v>
      </c>
      <c r="C418" t="s">
        <v>8442</v>
      </c>
      <c r="D418" t="s">
        <v>8443</v>
      </c>
      <c r="E418" t="s">
        <v>8734</v>
      </c>
      <c r="G418" t="str">
        <f t="shared" si="71"/>
        <v>{#ENT_NAME}: Temperature is above warning threshold: &gt;{$TEMP_WARN:"{#ENT_NAME}"}</v>
      </c>
      <c r="H418" t="e">
        <f>INDEX('7.0.17'!G:G,MATCH(G418,'7.0.17'!F:F,0))</f>
        <v>#N/A</v>
      </c>
      <c r="I418" t="e">
        <f t="shared" si="67"/>
        <v>#N/A</v>
      </c>
    </row>
    <row r="419" spans="1:9">
      <c r="A419" t="s">
        <v>8733</v>
      </c>
      <c r="B419" t="s">
        <v>8446</v>
      </c>
      <c r="C419" t="s">
        <v>8444</v>
      </c>
      <c r="D419" t="s">
        <v>8445</v>
      </c>
      <c r="E419" t="s">
        <v>8734</v>
      </c>
      <c r="G419" t="str">
        <f t="shared" si="71"/>
        <v>{#ENT_NAME}: Temperature is too low: &lt;{$TEMP_CRIT_LOW:"{#ENT_NAME}"}</v>
      </c>
      <c r="H419" t="e">
        <f>INDEX('7.0.17'!G:G,MATCH(G419,'7.0.17'!F:F,0))</f>
        <v>#N/A</v>
      </c>
      <c r="I419" t="e">
        <f t="shared" si="67"/>
        <v>#N/A</v>
      </c>
    </row>
    <row r="420" spans="1:9">
      <c r="A420" t="s">
        <v>8733</v>
      </c>
      <c r="B420" t="s">
        <v>8446</v>
      </c>
      <c r="C420" t="s">
        <v>8565</v>
      </c>
      <c r="G420" t="str">
        <f t="shared" ref="G420:G422" si="72">B420&amp;":"&amp;C420</f>
        <v>{#ENT_NAME}: High CPU utilization (over {$CPU.UTIL.CRIT}% for 5m)</v>
      </c>
      <c r="H420" t="e">
        <f>INDEX('7.0.17'!G:G,MATCH(G420,'7.0.17'!F:F,0))</f>
        <v>#N/A</v>
      </c>
      <c r="I420" t="e">
        <f t="shared" si="67"/>
        <v>#N/A</v>
      </c>
    </row>
    <row r="421" spans="1:9">
      <c r="A421" t="s">
        <v>8733</v>
      </c>
      <c r="B421" t="s">
        <v>8446</v>
      </c>
      <c r="C421" t="s">
        <v>8447</v>
      </c>
      <c r="G421" t="str">
        <f t="shared" si="72"/>
        <v>{#ENT_NAME}: Device has been replaced (new serial number received)</v>
      </c>
      <c r="H421" t="e">
        <f>INDEX('7.0.17'!G:G,MATCH(G421,'7.0.17'!F:F,0))</f>
        <v>#N/A</v>
      </c>
      <c r="I421" t="e">
        <f t="shared" si="67"/>
        <v>#N/A</v>
      </c>
    </row>
    <row r="422" spans="1:9">
      <c r="A422" t="s">
        <v>8733</v>
      </c>
      <c r="B422" t="s">
        <v>8446</v>
      </c>
      <c r="C422" t="s">
        <v>8515</v>
      </c>
      <c r="G422" t="str">
        <f t="shared" si="72"/>
        <v>{#ENT_NAME}: High memory utilization (&gt;{$MEMORY.UTIL.MAX}% for 5m)</v>
      </c>
      <c r="H422" t="e">
        <f>INDEX('7.0.17'!G:G,MATCH(G422,'7.0.17'!F:F,0))</f>
        <v>#N/A</v>
      </c>
      <c r="I422" t="e">
        <f t="shared" si="67"/>
        <v>#N/A</v>
      </c>
    </row>
    <row r="423" spans="1:9">
      <c r="A423" t="s">
        <v>8735</v>
      </c>
      <c r="B423" t="s">
        <v>8736</v>
      </c>
      <c r="C423" t="s">
        <v>8442</v>
      </c>
      <c r="D423" t="s">
        <v>8443</v>
      </c>
      <c r="E423" t="s">
        <v>8592</v>
      </c>
      <c r="G423" t="str">
        <f t="shared" ref="G423:G431" si="73">B423&amp;":"&amp;C423&amp;":"&amp;D423&amp;":"&amp;E423</f>
        <v>Ambient: Temperature is above warning threshold: &gt;{$TEMP_WARN:"Ambient"}</v>
      </c>
      <c r="H423" t="e">
        <f>INDEX('7.0.17'!G:G,MATCH(G423,'7.0.17'!F:F,0))</f>
        <v>#N/A</v>
      </c>
      <c r="I423" t="e">
        <f t="shared" si="67"/>
        <v>#N/A</v>
      </c>
    </row>
    <row r="424" spans="1:9">
      <c r="A424" t="s">
        <v>8735</v>
      </c>
      <c r="B424" t="s">
        <v>8736</v>
      </c>
      <c r="C424" t="s">
        <v>8439</v>
      </c>
      <c r="D424" t="s">
        <v>8440</v>
      </c>
      <c r="E424" t="s">
        <v>8592</v>
      </c>
      <c r="G424" t="str">
        <f t="shared" si="73"/>
        <v>Ambient: Temperature is above critical threshold: &gt;{$TEMP_CRIT:"Ambient"}</v>
      </c>
      <c r="H424" t="e">
        <f>INDEX('7.0.17'!G:G,MATCH(G424,'7.0.17'!F:F,0))</f>
        <v>#N/A</v>
      </c>
      <c r="I424" t="e">
        <f t="shared" si="67"/>
        <v>#N/A</v>
      </c>
    </row>
    <row r="425" spans="1:9">
      <c r="A425" t="s">
        <v>8735</v>
      </c>
      <c r="B425" t="s">
        <v>8736</v>
      </c>
      <c r="C425" t="s">
        <v>8444</v>
      </c>
      <c r="D425" t="s">
        <v>8445</v>
      </c>
      <c r="E425" t="s">
        <v>8592</v>
      </c>
      <c r="G425" t="str">
        <f t="shared" si="73"/>
        <v>Ambient: Temperature is too low: &lt;{$TEMP_CRIT_LOW:"Ambient"}</v>
      </c>
      <c r="H425" t="e">
        <f>INDEX('7.0.17'!G:G,MATCH(G425,'7.0.17'!F:F,0))</f>
        <v>#N/A</v>
      </c>
      <c r="I425" t="e">
        <f t="shared" si="67"/>
        <v>#N/A</v>
      </c>
    </row>
    <row r="426" spans="1:9">
      <c r="A426" t="s">
        <v>8735</v>
      </c>
      <c r="B426" t="s">
        <v>8737</v>
      </c>
      <c r="C426" t="s">
        <v>8442</v>
      </c>
      <c r="D426" t="s">
        <v>8443</v>
      </c>
      <c r="E426" t="s">
        <v>8598</v>
      </c>
      <c r="G426" t="str">
        <f t="shared" si="73"/>
        <v>CPU: Temperature is above warning threshold: &gt;{$TEMP_WARN:"CPU"}</v>
      </c>
      <c r="H426" t="e">
        <f>INDEX('7.0.17'!G:G,MATCH(G426,'7.0.17'!F:F,0))</f>
        <v>#N/A</v>
      </c>
      <c r="I426" t="e">
        <f t="shared" si="67"/>
        <v>#N/A</v>
      </c>
    </row>
    <row r="427" spans="1:9">
      <c r="A427" t="s">
        <v>8735</v>
      </c>
      <c r="B427" t="s">
        <v>8737</v>
      </c>
      <c r="C427" t="s">
        <v>8439</v>
      </c>
      <c r="D427" t="s">
        <v>8440</v>
      </c>
      <c r="E427" t="s">
        <v>8598</v>
      </c>
      <c r="G427" t="str">
        <f t="shared" si="73"/>
        <v>CPU: Temperature is above critical threshold: &gt;{$TEMP_CRIT:"CPU"}</v>
      </c>
      <c r="H427" t="e">
        <f>INDEX('7.0.17'!G:G,MATCH(G427,'7.0.17'!F:F,0))</f>
        <v>#N/A</v>
      </c>
      <c r="I427" t="e">
        <f t="shared" si="67"/>
        <v>#N/A</v>
      </c>
    </row>
    <row r="428" spans="1:9">
      <c r="A428" t="s">
        <v>8735</v>
      </c>
      <c r="B428" t="s">
        <v>8737</v>
      </c>
      <c r="C428" t="s">
        <v>8444</v>
      </c>
      <c r="D428" t="s">
        <v>8445</v>
      </c>
      <c r="E428" t="s">
        <v>8598</v>
      </c>
      <c r="G428" t="str">
        <f t="shared" si="73"/>
        <v>CPU: Temperature is too low: &lt;{$TEMP_CRIT_LOW:"CPU"}</v>
      </c>
      <c r="H428" t="e">
        <f>INDEX('7.0.17'!G:G,MATCH(G428,'7.0.17'!F:F,0))</f>
        <v>#N/A</v>
      </c>
      <c r="I428" t="e">
        <f t="shared" si="67"/>
        <v>#N/A</v>
      </c>
    </row>
    <row r="429" spans="1:9">
      <c r="A429" t="s">
        <v>8735</v>
      </c>
      <c r="B429" t="s">
        <v>8438</v>
      </c>
      <c r="C429" t="s">
        <v>8439</v>
      </c>
      <c r="D429" t="s">
        <v>8440</v>
      </c>
      <c r="E429" t="s">
        <v>8441</v>
      </c>
      <c r="G429" t="str">
        <f t="shared" si="73"/>
        <v>{#SNMPVALUE}: Temperature is above critical threshold: &gt;{$TEMP_CRIT:{#SNMPVALUE}}</v>
      </c>
      <c r="H429" t="e">
        <f>INDEX('7.0.17'!G:G,MATCH(G429,'7.0.17'!F:F,0))</f>
        <v>#N/A</v>
      </c>
      <c r="I429" t="e">
        <f t="shared" si="67"/>
        <v>#N/A</v>
      </c>
    </row>
    <row r="430" spans="1:9">
      <c r="A430" t="s">
        <v>8735</v>
      </c>
      <c r="B430" t="s">
        <v>8438</v>
      </c>
      <c r="C430" t="s">
        <v>8442</v>
      </c>
      <c r="D430" t="s">
        <v>8443</v>
      </c>
      <c r="E430" t="s">
        <v>8441</v>
      </c>
      <c r="G430" t="str">
        <f t="shared" si="73"/>
        <v>{#SNMPVALUE}: Temperature is above warning threshold: &gt;{$TEMP_WARN:{#SNMPVALUE}}</v>
      </c>
      <c r="H430" t="e">
        <f>INDEX('7.0.17'!G:G,MATCH(G430,'7.0.17'!F:F,0))</f>
        <v>#N/A</v>
      </c>
      <c r="I430" t="e">
        <f t="shared" si="67"/>
        <v>#N/A</v>
      </c>
    </row>
    <row r="431" spans="1:9">
      <c r="A431" t="s">
        <v>8735</v>
      </c>
      <c r="B431" t="s">
        <v>8438</v>
      </c>
      <c r="C431" t="s">
        <v>8444</v>
      </c>
      <c r="D431" t="s">
        <v>8445</v>
      </c>
      <c r="E431" t="s">
        <v>8441</v>
      </c>
      <c r="G431" t="str">
        <f t="shared" si="73"/>
        <v>{#SNMPVALUE}: Temperature is too low: &lt;{$TEMP_CRIT_LOW:{#SNMPVALUE}}</v>
      </c>
      <c r="H431" t="e">
        <f>INDEX('7.0.17'!G:G,MATCH(G431,'7.0.17'!F:F,0))</f>
        <v>#N/A</v>
      </c>
      <c r="I431" t="e">
        <f t="shared" si="67"/>
        <v>#N/A</v>
      </c>
    </row>
    <row r="432" spans="1:9">
      <c r="A432" t="s">
        <v>8738</v>
      </c>
      <c r="B432" t="s">
        <v>8647</v>
      </c>
      <c r="C432" t="s">
        <v>8460</v>
      </c>
      <c r="D432" t="s">
        <v>8461</v>
      </c>
      <c r="G432" t="str">
        <f>B432&amp;":"&amp;C432&amp;":"&amp;D432</f>
        <v>Cache group [{#JMXNAME}]: Version has changed (new version: {ITEM.VALUE})</v>
      </c>
      <c r="H432" t="e">
        <f>INDEX('7.0.17'!G:G,MATCH(G432,'7.0.17'!F:F,0))</f>
        <v>#N/A</v>
      </c>
      <c r="I432" t="e">
        <f t="shared" si="67"/>
        <v>#N/A</v>
      </c>
    </row>
    <row r="433" spans="1:9">
      <c r="A433" t="s">
        <v>8738</v>
      </c>
      <c r="B433" t="s">
        <v>8648</v>
      </c>
      <c r="C433" t="s">
        <v>8739</v>
      </c>
      <c r="G433" t="str">
        <f>B433&amp;":"&amp;C433</f>
        <v>Data region {#JMXNAME}: Checkpoint buffer utilization is too high (over {$IGNITE.CHECKPOINT.PUSED.MAX.HIGH} in 5m)</v>
      </c>
      <c r="H433" t="e">
        <f>INDEX('7.0.17'!G:G,MATCH(G433,'7.0.17'!F:F,0))</f>
        <v>#N/A</v>
      </c>
      <c r="I433" t="e">
        <f t="shared" si="67"/>
        <v>#N/A</v>
      </c>
    </row>
    <row r="434" spans="1:9">
      <c r="A434" t="s">
        <v>8738</v>
      </c>
      <c r="B434" t="s">
        <v>8648</v>
      </c>
      <c r="C434" t="s">
        <v>8740</v>
      </c>
      <c r="G434" t="str">
        <f>B434&amp;":"&amp;C434</f>
        <v>Data region {#JMXNAME}: Checkpoint buffer utilization is too high (over {$IGNITE.CHECKPOINT.PUSED.MAX.WARN} in 5m)</v>
      </c>
      <c r="H434" t="e">
        <f>INDEX('7.0.17'!G:G,MATCH(G434,'7.0.17'!F:F,0))</f>
        <v>#N/A</v>
      </c>
      <c r="I434" t="e">
        <f t="shared" si="67"/>
        <v>#N/A</v>
      </c>
    </row>
    <row r="435" spans="1:9">
      <c r="A435" t="s">
        <v>8738</v>
      </c>
      <c r="B435" t="s">
        <v>8741</v>
      </c>
      <c r="C435" t="s">
        <v>8460</v>
      </c>
      <c r="D435" t="s">
        <v>8461</v>
      </c>
      <c r="G435" t="str">
        <f>A435&amp;": "&amp;B435&amp;":"&amp;C435&amp;":"&amp;D435</f>
        <v>Ignite: [{#JMXIGNITEINSTANCENAME}]: Version has changed (new version: {ITEM.VALUE})</v>
      </c>
      <c r="H435" t="str">
        <f>INDEX('7.0.17'!G:G,MATCH(G435,'7.0.17'!F:F,0))</f>
        <v>Ignite: Ignite[{#JMXIGNITEINSTANCENAME}]: 版本已变更(新版本: {ITEM.VALUE})</v>
      </c>
      <c r="I435" t="str">
        <f t="shared" si="67"/>
        <v>Ignite: Ignite: Ignite[{#JMXIGNITEINSTANCENAME}]: 版本已变更(新版本: {ITEM.VALUE})</v>
      </c>
    </row>
    <row r="436" spans="1:9">
      <c r="A436" t="s">
        <v>8738</v>
      </c>
      <c r="B436" t="s">
        <v>8741</v>
      </c>
      <c r="C436" t="s">
        <v>8742</v>
      </c>
      <c r="G436" t="str">
        <f>A436&amp;": "&amp;B436&amp;":"&amp;C436</f>
        <v>Ignite: [{#JMXIGNITEINSTANCENAME}]: PME duration is too long (over {$IGNITE.PME.DURATION.MAX.HIGH} for 5 min)</v>
      </c>
      <c r="H436" t="str">
        <f>INDEX('7.0.17'!G:G,MATCH(G436,'7.0.17'!F:F,0))</f>
        <v>Ignite: Ignite[{#JMXIGNITEINSTANCENAME}]: PME持续时间太长(超过{$IGNITE.PME.DURATION.MAX.HIGH}5分钟)</v>
      </c>
      <c r="I436" t="str">
        <f t="shared" si="67"/>
        <v>Ignite: Ignite: Ignite[{#JMXIGNITEINSTANCENAME}]: PME持续时间太长(超过{$IGNITE.PME.DURATION.MAX.HIGH}5分钟)</v>
      </c>
    </row>
    <row r="437" spans="1:9">
      <c r="A437" t="s">
        <v>8738</v>
      </c>
      <c r="B437" t="s">
        <v>8741</v>
      </c>
      <c r="C437" t="s">
        <v>8743</v>
      </c>
      <c r="G437" t="str">
        <f>A437&amp;": "&amp;B437&amp;":"&amp;C437</f>
        <v>Ignite: [{#JMXIGNITEINSTANCENAME}]: PME duration is too long (over {$IGNITE.PME.DURATION.MAX.WARN} for 5 min)</v>
      </c>
      <c r="H437" t="str">
        <f>INDEX('7.0.17'!G:G,MATCH(G437,'7.0.17'!F:F,0))</f>
        <v>Ignite: Ignite[{#JMXIGNITEINSTANCENAME}]: PME持续时间太长(超过{$IGNITE.PME.DURATION.MAX.WARN}5分钟)</v>
      </c>
      <c r="I437" t="str">
        <f t="shared" si="67"/>
        <v>Ignite: Ignite: Ignite[{#JMXIGNITEINSTANCENAME}]: PME持续时间太长(超过{$IGNITE.PME.DURATION.MAX.WARN}5分钟)</v>
      </c>
    </row>
    <row r="438" spans="1:9">
      <c r="A438" t="s">
        <v>8738</v>
      </c>
      <c r="B438" t="s">
        <v>8741</v>
      </c>
      <c r="C438" t="s">
        <v>8744</v>
      </c>
      <c r="G438" t="str">
        <f>A438&amp;": "&amp;B438&amp;":"&amp;C438</f>
        <v>Ignite: [{#JMXIGNITEINSTANCENAME}]: Number of running threads is too high (over {$IGNITE.THREADS.COUNT.MAX.WARN} for 15 min)</v>
      </c>
      <c r="H438" t="str">
        <f>INDEX('7.0.17'!G:G,MATCH(G438,'7.0.17'!F:F,0))</f>
        <v>Ignite: Ignite[{#JMXIGNITEINSTANCENAME}]: 正在运行的线程数太高(超过{$IGNITE.THREADS.COUNT.MAX.WARN}15分钟)</v>
      </c>
      <c r="I438" t="str">
        <f t="shared" si="67"/>
        <v>Ignite: Ignite: Ignite[{#JMXIGNITEINSTANCENAME}]: 正在运行的线程数太高(超过{$IGNITE.THREADS.COUNT.MAX.WARN}15分钟)</v>
      </c>
    </row>
    <row r="439" spans="1:9">
      <c r="A439" t="s">
        <v>8738</v>
      </c>
      <c r="B439" t="s">
        <v>8741</v>
      </c>
      <c r="C439" t="s">
        <v>8745</v>
      </c>
      <c r="G439" t="str">
        <f>A439&amp;": "&amp;B439&amp;":"&amp;C439</f>
        <v>Ignite: [{#JMXIGNITEINSTANCENAME}]: Number of queued jobs is too high (over {$IGNITE.JOBS.QUEUE.MAX.WARN} for 15 min)</v>
      </c>
      <c r="H439" t="str">
        <f>INDEX('7.0.17'!G:G,MATCH(G439,'7.0.17'!F:F,0))</f>
        <v>Ignite: Ignite[{#JMXIGNITEINSTANCENAME}]: 排队任务的数量太高(超过{$IGNITE.JOBS.QUEUE.MAX.WARN}15分钟)</v>
      </c>
      <c r="I439" t="str">
        <f t="shared" si="67"/>
        <v>Ignite: Ignite: Ignite[{#JMXIGNITEINSTANCENAME}]: 排队任务的数量太高(超过{$IGNITE.JOBS.QUEUE.MAX.WARN}15分钟)</v>
      </c>
    </row>
    <row r="440" spans="1:9">
      <c r="A440" t="s">
        <v>8738</v>
      </c>
      <c r="B440" t="s">
        <v>8741</v>
      </c>
      <c r="C440" t="s">
        <v>8460</v>
      </c>
      <c r="D440" t="s">
        <v>8461</v>
      </c>
      <c r="G440" t="str">
        <f>A440&amp;": "&amp;B440&amp;":"&amp;C440&amp;":"&amp;D440</f>
        <v>Ignite: [{#JMXIGNITEINSTANCENAME}]: Version has changed (new version: {ITEM.VALUE})</v>
      </c>
      <c r="H440" t="str">
        <f>INDEX('7.0.17'!G:G,MATCH(G440,'7.0.17'!F:F,0))</f>
        <v>Ignite: Ignite[{#JMXIGNITEINSTANCENAME}]: 版本已变更(新版本: {ITEM.VALUE})</v>
      </c>
      <c r="I440" t="str">
        <f t="shared" si="67"/>
        <v>Ignite: Ignite: Ignite[{#JMXIGNITEINSTANCENAME}]: 版本已变更(新版本: {ITEM.VALUE})</v>
      </c>
    </row>
    <row r="441" spans="1:9">
      <c r="A441" t="s">
        <v>8738</v>
      </c>
      <c r="B441" t="s">
        <v>8648</v>
      </c>
      <c r="C441" t="s">
        <v>8746</v>
      </c>
      <c r="G441" t="str">
        <f t="shared" ref="G441:G445" si="74">B441&amp;":"&amp;C441</f>
        <v>Data region {#JMXNAME}: Data region utilization is too high (over {$IGNITE.DATA.REGION.PUSED.MAX.HIGH} in 5m)</v>
      </c>
      <c r="H441" t="e">
        <f>INDEX('7.0.17'!G:G,MATCH(G441,'7.0.17'!F:F,0))</f>
        <v>#N/A</v>
      </c>
      <c r="I441" t="e">
        <f t="shared" si="67"/>
        <v>#N/A</v>
      </c>
    </row>
    <row r="442" spans="1:9">
      <c r="A442" t="s">
        <v>8738</v>
      </c>
      <c r="B442" t="s">
        <v>8648</v>
      </c>
      <c r="C442" t="s">
        <v>8747</v>
      </c>
      <c r="G442" t="str">
        <f t="shared" si="74"/>
        <v>Data region {#JMXNAME}: Data region utilization is too high (over {$IGNITE.DATA.REGION.PUSED.MAX.WARN} in 5m)</v>
      </c>
      <c r="H442" t="e">
        <f>INDEX('7.0.17'!G:G,MATCH(G442,'7.0.17'!F:F,0))</f>
        <v>#N/A</v>
      </c>
      <c r="I442" t="e">
        <f t="shared" si="67"/>
        <v>#N/A</v>
      </c>
    </row>
    <row r="443" spans="1:9">
      <c r="A443" t="s">
        <v>8738</v>
      </c>
      <c r="B443" t="s">
        <v>8658</v>
      </c>
      <c r="C443" t="s">
        <v>8748</v>
      </c>
      <c r="D443" t="s">
        <v>8660</v>
      </c>
      <c r="G443" t="str">
        <f t="shared" ref="G443:G447" si="75">B443&amp;":"&amp;C443&amp;":"&amp;D443</f>
        <v>Thread pool [{#JMXNAME}]: Too many messages in queue (over {$IGNITE.THREAD.QUEUE.MAX.WARN:{#JMXNAME}} for 5 min)</v>
      </c>
      <c r="H443" t="e">
        <f>INDEX('7.0.17'!G:G,MATCH(G443,'7.0.17'!F:F,0))</f>
        <v>#N/A</v>
      </c>
      <c r="I443" t="e">
        <f t="shared" si="67"/>
        <v>#N/A</v>
      </c>
    </row>
    <row r="444" spans="1:9">
      <c r="A444" t="s">
        <v>8738</v>
      </c>
      <c r="B444" t="s">
        <v>8741</v>
      </c>
      <c r="C444" t="s">
        <v>8624</v>
      </c>
      <c r="G444" t="str">
        <f>A444&amp;": "&amp;B444&amp;":"&amp;C444</f>
        <v>Ignite: [{#JMXIGNITEINSTANCENAME}]: has been restarted (uptime &lt; 10m)</v>
      </c>
      <c r="H444" t="e">
        <f>INDEX('7.0.17'!G:G,MATCH(G444,'7.0.17'!F:F,0))</f>
        <v>#N/A</v>
      </c>
      <c r="I444" t="e">
        <f t="shared" si="67"/>
        <v>#N/A</v>
      </c>
    </row>
    <row r="445" spans="1:9">
      <c r="A445" t="s">
        <v>8738</v>
      </c>
      <c r="B445" t="s">
        <v>8741</v>
      </c>
      <c r="C445" t="s">
        <v>8661</v>
      </c>
      <c r="G445" t="str">
        <f>A445&amp;": "&amp;B445&amp;":"&amp;C445</f>
        <v>Ignite: [{#JMXIGNITEINSTANCENAME}]: Failed to fetch info data (or no data for 10m)</v>
      </c>
      <c r="H445" t="str">
        <f>INDEX('7.0.17'!G:G,MATCH(G445,'7.0.17'!F:F,0))</f>
        <v>Ignite: Ignite[{#JMXIGNITEINSTANCENAME}]: 无法获取信息数据(或10分钟无数据)</v>
      </c>
      <c r="I445" t="str">
        <f t="shared" si="67"/>
        <v>Ignite: Ignite: Ignite[{#JMXIGNITEINSTANCENAME}]: 无法获取信息数据(或10分钟无数据)</v>
      </c>
    </row>
    <row r="446" spans="1:9">
      <c r="A446" t="s">
        <v>8749</v>
      </c>
      <c r="B446" t="s">
        <v>8433</v>
      </c>
      <c r="C446" t="s">
        <v>8434</v>
      </c>
      <c r="D446" t="s">
        <v>8435</v>
      </c>
      <c r="G446" t="str">
        <f t="shared" si="75"/>
        <v>Interface {#IFNAME}({#IFALIAS}): High error rate (&gt;{$IF.ERRORS.WARN:{#IFNAME}} for 5m)</v>
      </c>
      <c r="H446" t="e">
        <f>INDEX('7.0.17'!G:G,MATCH(G446,'7.0.17'!F:F,0))</f>
        <v>#N/A</v>
      </c>
      <c r="I446" t="e">
        <f t="shared" si="67"/>
        <v>#N/A</v>
      </c>
    </row>
    <row r="447" spans="1:9">
      <c r="A447" t="s">
        <v>8749</v>
      </c>
      <c r="B447" t="s">
        <v>8433</v>
      </c>
      <c r="C447" t="s">
        <v>8436</v>
      </c>
      <c r="D447" t="s">
        <v>8437</v>
      </c>
      <c r="G447" t="str">
        <f t="shared" si="75"/>
        <v>Interface {#IFNAME}({#IFALIAS}): High bandwidth usage (&gt;{$IF.UTIL.MAX:{#IFNAME}}%)</v>
      </c>
      <c r="H447" t="e">
        <f>INDEX('7.0.17'!G:G,MATCH(G447,'7.0.17'!F:F,0))</f>
        <v>#N/A</v>
      </c>
      <c r="I447" t="e">
        <f t="shared" si="67"/>
        <v>#N/A</v>
      </c>
    </row>
    <row r="448" spans="1:9">
      <c r="A448" t="s">
        <v>8749</v>
      </c>
      <c r="B448" t="s">
        <v>8498</v>
      </c>
      <c r="C448" t="s">
        <v>8439</v>
      </c>
      <c r="D448" t="s">
        <v>8440</v>
      </c>
      <c r="E448" t="s">
        <v>8528</v>
      </c>
      <c r="G448" t="str">
        <f t="shared" ref="G448:G450" si="76">B448&amp;":"&amp;C448&amp;":"&amp;D448&amp;":"&amp;E448</f>
        <v>{#SENSOR_INFO}: Temperature is above critical threshold: &gt;{$TEMP_CRIT:"{#SENSOR_INFO}"}</v>
      </c>
      <c r="H448" t="e">
        <f>INDEX('7.0.17'!G:G,MATCH(G448,'7.0.17'!F:F,0))</f>
        <v>#N/A</v>
      </c>
      <c r="I448" t="e">
        <f t="shared" si="67"/>
        <v>#N/A</v>
      </c>
    </row>
    <row r="449" spans="1:9">
      <c r="A449" t="s">
        <v>8749</v>
      </c>
      <c r="B449" t="s">
        <v>8498</v>
      </c>
      <c r="C449" t="s">
        <v>8442</v>
      </c>
      <c r="D449" t="s">
        <v>8443</v>
      </c>
      <c r="E449" t="s">
        <v>8528</v>
      </c>
      <c r="G449" t="str">
        <f t="shared" si="76"/>
        <v>{#SENSOR_INFO}: Temperature is above warning threshold: &gt;{$TEMP_WARN:"{#SENSOR_INFO}"}</v>
      </c>
      <c r="H449" t="e">
        <f>INDEX('7.0.17'!G:G,MATCH(G449,'7.0.17'!F:F,0))</f>
        <v>#N/A</v>
      </c>
      <c r="I449" t="e">
        <f t="shared" si="67"/>
        <v>#N/A</v>
      </c>
    </row>
    <row r="450" spans="1:9">
      <c r="A450" t="s">
        <v>8749</v>
      </c>
      <c r="B450" t="s">
        <v>8498</v>
      </c>
      <c r="C450" t="s">
        <v>8444</v>
      </c>
      <c r="D450" t="s">
        <v>8445</v>
      </c>
      <c r="E450" t="s">
        <v>8528</v>
      </c>
      <c r="G450" t="str">
        <f t="shared" si="76"/>
        <v>{#SENSOR_INFO}: Temperature is too low: &lt;{$TEMP_CRIT_LOW:"{#SENSOR_INFO}"}</v>
      </c>
      <c r="H450" t="e">
        <f>INDEX('7.0.17'!G:G,MATCH(G450,'7.0.17'!F:F,0))</f>
        <v>#N/A</v>
      </c>
      <c r="I450" t="e">
        <f t="shared" si="67"/>
        <v>#N/A</v>
      </c>
    </row>
    <row r="451" spans="1:9">
      <c r="A451" t="s">
        <v>8749</v>
      </c>
      <c r="B451" t="s">
        <v>8446</v>
      </c>
      <c r="C451" t="s">
        <v>8447</v>
      </c>
      <c r="G451" t="str">
        <f>B451&amp;":"&amp;C451</f>
        <v>{#ENT_NAME}: Device has been replaced (new serial number received)</v>
      </c>
      <c r="H451" t="e">
        <f>INDEX('7.0.17'!G:G,MATCH(G451,'7.0.17'!F:F,0))</f>
        <v>#N/A</v>
      </c>
      <c r="I451" t="e">
        <f t="shared" ref="I451:I514" si="77">A451&amp;": "&amp;H451</f>
        <v>#N/A</v>
      </c>
    </row>
    <row r="452" spans="1:9">
      <c r="A452" t="s">
        <v>8750</v>
      </c>
      <c r="B452" t="s">
        <v>8751</v>
      </c>
      <c r="C452" t="s">
        <v>8752</v>
      </c>
      <c r="D452" t="s">
        <v>8753</v>
      </c>
      <c r="G452" t="str">
        <f t="shared" ref="G452:G455" si="78">B452&amp;":"&amp;C452&amp;":"&amp;D452</f>
        <v>License [{#LICENSE.TYPE}]: Low user capacity (created &gt; {$JIRA_DC.LICENSE.USER.CAPACITY.WARN:"{#LICENSE.TYPE}"}%)</v>
      </c>
      <c r="H452" t="e">
        <f>INDEX('7.0.17'!G:G,MATCH(G452,'7.0.17'!F:F,0))</f>
        <v>#N/A</v>
      </c>
      <c r="I452" t="e">
        <f t="shared" si="77"/>
        <v>#N/A</v>
      </c>
    </row>
    <row r="453" spans="1:9">
      <c r="A453" t="s">
        <v>8750</v>
      </c>
      <c r="B453" t="s">
        <v>8754</v>
      </c>
      <c r="C453" t="s">
        <v>8755</v>
      </c>
      <c r="D453" t="s">
        <v>8756</v>
      </c>
      <c r="G453" t="str">
        <f t="shared" si="78"/>
        <v>Indexing [{#JMXNAME}]: Slow performance (latency &gt; {$JIRA_DC.INDEXING.LATENCY.WARN:{#JMXNAME}}s)</v>
      </c>
      <c r="H453" t="e">
        <f>INDEX('7.0.17'!G:G,MATCH(G453,'7.0.17'!F:F,0))</f>
        <v>#N/A</v>
      </c>
      <c r="I453" t="e">
        <f t="shared" si="77"/>
        <v>#N/A</v>
      </c>
    </row>
    <row r="454" spans="1:9">
      <c r="A454" t="s">
        <v>8750</v>
      </c>
      <c r="B454" t="s">
        <v>8757</v>
      </c>
      <c r="C454" t="s">
        <v>8758</v>
      </c>
      <c r="D454" t="s">
        <v>8756</v>
      </c>
      <c r="G454" t="str">
        <f t="shared" si="78"/>
        <v>Issue [{#JMXNAME}]: Slow operations (longer then {$JIRA_DC.ISSUE.LATENCY.WARN:{#JMXNAME}}s)</v>
      </c>
      <c r="H454" t="e">
        <f>INDEX('7.0.17'!G:G,MATCH(G454,'7.0.17'!F:F,0))</f>
        <v>#N/A</v>
      </c>
      <c r="I454" t="e">
        <f t="shared" si="77"/>
        <v>#N/A</v>
      </c>
    </row>
    <row r="455" spans="1:9">
      <c r="A455" t="s">
        <v>8750</v>
      </c>
      <c r="B455" t="s">
        <v>8759</v>
      </c>
      <c r="C455" t="s">
        <v>8760</v>
      </c>
      <c r="D455" t="s">
        <v>8761</v>
      </c>
      <c r="G455" t="str">
        <f t="shared" si="78"/>
        <v>Storage [{#JMXCATEGORY01}]: Slow performance (latency &gt; {$JIRA_DC.STORAGE.LATENCY.WARN:"{#JMXCATEGORY01}"}s)</v>
      </c>
      <c r="H455" t="e">
        <f>INDEX('7.0.17'!G:G,MATCH(G455,'7.0.17'!F:F,0))</f>
        <v>#N/A</v>
      </c>
      <c r="I455" t="e">
        <f t="shared" si="77"/>
        <v>#N/A</v>
      </c>
    </row>
    <row r="456" spans="1:9">
      <c r="A456" t="s">
        <v>8762</v>
      </c>
      <c r="B456" t="s">
        <v>8763</v>
      </c>
      <c r="C456" t="s">
        <v>8764</v>
      </c>
      <c r="G456" t="str">
        <f t="shared" ref="G456:G465" si="79">B456&amp;":"&amp;C456</f>
        <v>System [{#SNMPVALUE}]: High CPU utilization (over {$JUNIPER.MX.CPU.UTIL.CRIT}% for 5m)</v>
      </c>
      <c r="H456" s="3" t="s">
        <v>8765</v>
      </c>
      <c r="I456" t="str">
        <f t="shared" si="77"/>
        <v>Juniper MX: 系统[{#SNMPVALUE}]：CPU利用率过高（5分钟内超过{$JUNIPER.MX.CPU.UTIL.CRIT}%）</v>
      </c>
    </row>
    <row r="457" spans="1:9">
      <c r="A457" t="s">
        <v>8762</v>
      </c>
      <c r="B457" t="s">
        <v>8766</v>
      </c>
      <c r="C457" t="s">
        <v>8767</v>
      </c>
      <c r="G457" t="str">
        <f t="shared" si="79"/>
        <v>SFP [{#IFNAME}][{#IFALIAS}]: Rx laser power high on [{#LANEINDEX}] lane</v>
      </c>
      <c r="H457" s="3" t="s">
        <v>8768</v>
      </c>
      <c r="I457" t="str">
        <f t="shared" si="77"/>
        <v>Juniper MX: 小型可插拔光模块（SFP）[{#IFNAME}][{#IFALIAS}]：[{#LANEINDEX}]通道上的接收激光功率过高</v>
      </c>
    </row>
    <row r="458" spans="1:9">
      <c r="A458" t="s">
        <v>8762</v>
      </c>
      <c r="B458" t="s">
        <v>8766</v>
      </c>
      <c r="C458" t="s">
        <v>8769</v>
      </c>
      <c r="G458" t="str">
        <f t="shared" si="79"/>
        <v>SFP [{#IFNAME}][{#IFALIAS}]: Rx laser power low on [{#LANEINDEX}] lane</v>
      </c>
      <c r="H458" s="3" t="s">
        <v>8770</v>
      </c>
      <c r="I458" t="str">
        <f t="shared" si="77"/>
        <v>Juniper MX: 小型可插拔光模块（SFP）[{#IFNAME}][{#IFALIAS}]：[{#LANEINDEX}]通道上的接收激光功率过低</v>
      </c>
    </row>
    <row r="459" spans="1:9">
      <c r="A459" t="s">
        <v>8762</v>
      </c>
      <c r="B459" t="s">
        <v>8766</v>
      </c>
      <c r="C459" t="s">
        <v>8771</v>
      </c>
      <c r="G459" t="str">
        <f t="shared" si="79"/>
        <v>SFP [{#IFNAME}][{#IFALIAS}]: Laser temperature high on [{#LANEINDEX}] lane</v>
      </c>
      <c r="H459" s="3" t="s">
        <v>8772</v>
      </c>
      <c r="I459" t="str">
        <f t="shared" si="77"/>
        <v>Juniper MX: 小型可插拔光模块（SFP）[{#IFNAME}][{#IFALIAS}]：[{#LANEINDEX}]通道上的激光器温度过高</v>
      </c>
    </row>
    <row r="460" spans="1:9">
      <c r="A460" t="s">
        <v>8762</v>
      </c>
      <c r="B460" t="s">
        <v>8766</v>
      </c>
      <c r="C460" t="s">
        <v>8773</v>
      </c>
      <c r="G460" t="str">
        <f t="shared" si="79"/>
        <v>SFP [{#IFNAME}][{#IFALIAS}]: Laser temperature low on [{#LANEINDEX}] lane</v>
      </c>
      <c r="H460" s="3" t="s">
        <v>8774</v>
      </c>
      <c r="I460" t="str">
        <f t="shared" si="77"/>
        <v>Juniper MX: 小型可插拔光模块（SFP）[{#IFNAME}][{#IFALIAS}]：[{#LANEINDEX}]通道上的激光器温度过低</v>
      </c>
    </row>
    <row r="461" spans="1:9">
      <c r="A461" t="s">
        <v>8762</v>
      </c>
      <c r="B461" t="s">
        <v>8766</v>
      </c>
      <c r="C461" t="s">
        <v>8775</v>
      </c>
      <c r="G461" t="str">
        <f t="shared" si="79"/>
        <v>SFP [{#IFNAME}][{#IFALIAS}]: Tx laser bias current high on [{#LANEINDEX}] lane</v>
      </c>
      <c r="H461" s="3" t="s">
        <v>8776</v>
      </c>
      <c r="I461" t="str">
        <f t="shared" si="77"/>
        <v>Juniper MX: 小型可插拔光模块（SFP）[{#IFNAME}][{#IFALIAS}]：[{#LANEINDEX}]通道上的发送激光偏置电流过高</v>
      </c>
    </row>
    <row r="462" spans="1:9">
      <c r="A462" t="s">
        <v>8762</v>
      </c>
      <c r="B462" t="s">
        <v>8766</v>
      </c>
      <c r="C462" t="s">
        <v>8777</v>
      </c>
      <c r="G462" t="str">
        <f t="shared" si="79"/>
        <v>SFP [{#IFNAME}][{#IFALIAS}]: Tx laser bias current low on [{#LANEINDEX}] lane</v>
      </c>
      <c r="H462" s="3" t="s">
        <v>8778</v>
      </c>
      <c r="I462" t="str">
        <f t="shared" si="77"/>
        <v>Juniper MX: 小型可插拔光模块（SFP）[{#IFNAME}][{#IFALIAS}]：[{#LANEINDEX}]通道上的发送激光偏置电流过低</v>
      </c>
    </row>
    <row r="463" spans="1:9">
      <c r="A463" t="s">
        <v>8762</v>
      </c>
      <c r="B463" t="s">
        <v>8766</v>
      </c>
      <c r="C463" t="s">
        <v>8779</v>
      </c>
      <c r="G463" t="str">
        <f t="shared" si="79"/>
        <v>SFP [{#IFNAME}][{#IFALIAS}]: Tx laser power high on [{#LANEINDEX}] lane</v>
      </c>
      <c r="H463" s="3" t="s">
        <v>8780</v>
      </c>
      <c r="I463" t="str">
        <f t="shared" si="77"/>
        <v>Juniper MX: 小型可插拔光模块（SFP）[{#IFNAME}][{#IFALIAS}]：[{#LANEINDEX}]通道上的发送激光功率过高</v>
      </c>
    </row>
    <row r="464" spans="1:9">
      <c r="A464" t="s">
        <v>8762</v>
      </c>
      <c r="B464" t="s">
        <v>8766</v>
      </c>
      <c r="C464" t="s">
        <v>8781</v>
      </c>
      <c r="G464" t="str">
        <f t="shared" si="79"/>
        <v>SFP [{#IFNAME}][{#IFALIAS}]: Tx laser power low on [{#LANEINDEX}] lane</v>
      </c>
      <c r="H464" s="3" t="s">
        <v>8782</v>
      </c>
      <c r="I464" t="str">
        <f t="shared" si="77"/>
        <v>Juniper MX: 小型可插拔光模块（SFP）[{#IFNAME}][{#IFALIAS}]：[{#LANEINDEX}]通道上的发送激光功率过低</v>
      </c>
    </row>
    <row r="465" spans="1:9">
      <c r="A465" t="s">
        <v>8762</v>
      </c>
      <c r="B465" t="s">
        <v>8763</v>
      </c>
      <c r="C465" t="s">
        <v>8783</v>
      </c>
      <c r="G465" t="str">
        <f t="shared" si="79"/>
        <v>System [{#SNMPVALUE}]: High memory utilization (&gt;{$JUNIPER.MX.MEMORY.UTIL.MAX}% for 5m)</v>
      </c>
      <c r="H465" s="3" t="s">
        <v>8784</v>
      </c>
      <c r="I465" t="str">
        <f t="shared" si="77"/>
        <v>Juniper MX: 系统[{#SNMPVALUE}]：内存利用率过高（5分钟内大于{$JUNIPER.MX.MEMORY.UTIL.MAX}%）</v>
      </c>
    </row>
    <row r="466" spans="1:9">
      <c r="A466" t="s">
        <v>8762</v>
      </c>
      <c r="B466" t="s">
        <v>8785</v>
      </c>
      <c r="C466" t="s">
        <v>8786</v>
      </c>
      <c r="D466" t="s">
        <v>8435</v>
      </c>
      <c r="G466" t="str">
        <f t="shared" ref="G466:G472" si="80">B466&amp;":"&amp;C466&amp;":"&amp;D466</f>
        <v>Interface [{#IFNAME}][{#IFALIAS}]: High error rate (&gt;{$JUNIPER.MX.IF.ERRORS.WARN:{#IFNAME}} for 5m)</v>
      </c>
      <c r="H466" s="3" t="s">
        <v>8787</v>
      </c>
      <c r="I466" t="str">
        <f t="shared" si="77"/>
        <v>Juniper MX: 接口[{#IFNAME}][{#IFALIAS}]：错误率过高（5分钟内大于{$JUNIPER.MX.IF.ERRORS.WARN:{#IFNAME}}）</v>
      </c>
    </row>
    <row r="467" spans="1:9">
      <c r="A467" t="s">
        <v>8762</v>
      </c>
      <c r="B467" t="s">
        <v>8785</v>
      </c>
      <c r="C467" t="s">
        <v>8788</v>
      </c>
      <c r="D467" t="s">
        <v>8437</v>
      </c>
      <c r="G467" t="str">
        <f t="shared" si="80"/>
        <v>Interface [{#IFNAME}][{#IFALIAS}]: High bandwidth usage (&gt;{$JUNIPER.MX.IF.UTIL.MAX:{#IFNAME}}%)</v>
      </c>
      <c r="H467" s="3" t="s">
        <v>8789</v>
      </c>
      <c r="I467" t="str">
        <f t="shared" si="77"/>
        <v>Juniper MX: 接口[{#IFNAME}][{#IFALIAS}]：带宽使用率过高（大于{$JUNIPER.MX.IF.UTIL.MAX:{#IFNAME}}%）</v>
      </c>
    </row>
    <row r="468" spans="1:9">
      <c r="A468" t="s">
        <v>8762</v>
      </c>
      <c r="B468" t="s">
        <v>8790</v>
      </c>
      <c r="C468" t="s">
        <v>8439</v>
      </c>
      <c r="D468" t="s">
        <v>8791</v>
      </c>
      <c r="E468" t="s">
        <v>8792</v>
      </c>
      <c r="G468" t="str">
        <f t="shared" ref="G468:G470" si="81">B468&amp;":"&amp;C468&amp;":"&amp;D468&amp;":"&amp;E468</f>
        <v>Sensor [{#SENSOR_INFO}]: Temperature is above critical threshold: &gt;{$JUNIPER.MX.TEMP_CRIT:Juniper MX: Sensor ["{#SENSOR_INFO}]}</v>
      </c>
      <c r="H468" s="3" t="s">
        <v>8793</v>
      </c>
      <c r="I468" t="str">
        <f t="shared" si="77"/>
        <v>Juniper MX: 传感器[{#SENSOR_INFO}]：温度高于临界阈值：大于{$JUNIPER.MX.TEMP_CRIT:瞻博网络（Juniper）MX: 传感器 ["{#SENSOR_INFO}"]}</v>
      </c>
    </row>
    <row r="469" spans="1:9">
      <c r="A469" t="s">
        <v>8762</v>
      </c>
      <c r="B469" t="s">
        <v>8790</v>
      </c>
      <c r="C469" t="s">
        <v>8442</v>
      </c>
      <c r="D469" t="s">
        <v>8794</v>
      </c>
      <c r="E469" t="s">
        <v>8792</v>
      </c>
      <c r="G469" t="str">
        <f t="shared" si="81"/>
        <v>Sensor [{#SENSOR_INFO}]: Temperature is above warning threshold: &gt;{$JUNIPER.MX.TEMP_WARN:Juniper MX: Sensor ["{#SENSOR_INFO}]}</v>
      </c>
      <c r="H469" s="3" t="s">
        <v>8795</v>
      </c>
      <c r="I469" t="str">
        <f t="shared" si="77"/>
        <v>Juniper MX: 传感器[{#SENSOR_INFO}]：温度高于警告阈值：大于{$JUNIPER.MX.TEMP_WARN:瞻博网络（Juniper）MX: 传感器 ["{#SENSOR_INFO}"]}</v>
      </c>
    </row>
    <row r="470" spans="1:9">
      <c r="A470" t="s">
        <v>8762</v>
      </c>
      <c r="B470" t="s">
        <v>8790</v>
      </c>
      <c r="C470" t="s">
        <v>8444</v>
      </c>
      <c r="D470" t="s">
        <v>8796</v>
      </c>
      <c r="E470" t="s">
        <v>8792</v>
      </c>
      <c r="G470" t="str">
        <f t="shared" si="81"/>
        <v>Sensor [{#SENSOR_INFO}]: Temperature is too low: &lt;{$JUNIPER.MX.TEMP_CRIT_LOW:Juniper MX: Sensor ["{#SENSOR_INFO}]}</v>
      </c>
      <c r="H470" s="3" t="s">
        <v>8797</v>
      </c>
      <c r="I470" t="str">
        <f t="shared" si="77"/>
        <v>Juniper MX: 传感器[{#SENSOR_INFO}]：温度过低：小于{$JUNIPER.MX.TEMP_CRIT_LOW:瞻博网络（Juniper）MX: 传感器 ["{#SENSOR_INFO}"]}</v>
      </c>
    </row>
    <row r="471" spans="1:9">
      <c r="A471" t="s">
        <v>8798</v>
      </c>
      <c r="B471" t="s">
        <v>8433</v>
      </c>
      <c r="C471" t="s">
        <v>8434</v>
      </c>
      <c r="D471" t="s">
        <v>8435</v>
      </c>
      <c r="G471" t="str">
        <f t="shared" si="80"/>
        <v>Interface {#IFNAME}({#IFALIAS}): High error rate (&gt;{$IF.ERRORS.WARN:{#IFNAME}} for 5m)</v>
      </c>
      <c r="H471" t="e">
        <f>INDEX('7.0.17'!G:G,MATCH(G471,'7.0.17'!F:F,0))</f>
        <v>#N/A</v>
      </c>
      <c r="I471" t="e">
        <f t="shared" si="77"/>
        <v>#N/A</v>
      </c>
    </row>
    <row r="472" spans="1:9">
      <c r="A472" t="s">
        <v>8798</v>
      </c>
      <c r="B472" t="s">
        <v>8433</v>
      </c>
      <c r="C472" t="s">
        <v>8436</v>
      </c>
      <c r="D472" t="s">
        <v>8437</v>
      </c>
      <c r="G472" t="str">
        <f t="shared" si="80"/>
        <v>Interface {#IFNAME}({#IFALIAS}): High bandwidth usage (&gt;{$IF.UTIL.MAX:{#IFNAME}}%)</v>
      </c>
      <c r="H472" t="e">
        <f>INDEX('7.0.17'!G:G,MATCH(G472,'7.0.17'!F:F,0))</f>
        <v>#N/A</v>
      </c>
      <c r="I472" t="e">
        <f t="shared" si="77"/>
        <v>#N/A</v>
      </c>
    </row>
    <row r="473" spans="1:9">
      <c r="A473" t="s">
        <v>8798</v>
      </c>
      <c r="B473" t="s">
        <v>8498</v>
      </c>
      <c r="C473" t="s">
        <v>8439</v>
      </c>
      <c r="D473" t="s">
        <v>8440</v>
      </c>
      <c r="E473" t="s">
        <v>8528</v>
      </c>
      <c r="G473" t="str">
        <f t="shared" ref="G473:G475" si="82">B473&amp;":"&amp;C473&amp;":"&amp;D473&amp;":"&amp;E473</f>
        <v>{#SENSOR_INFO}: Temperature is above critical threshold: &gt;{$TEMP_CRIT:"{#SENSOR_INFO}"}</v>
      </c>
      <c r="H473" t="e">
        <f>INDEX('7.0.17'!G:G,MATCH(G473,'7.0.17'!F:F,0))</f>
        <v>#N/A</v>
      </c>
      <c r="I473" t="e">
        <f t="shared" si="77"/>
        <v>#N/A</v>
      </c>
    </row>
    <row r="474" spans="1:9">
      <c r="A474" t="s">
        <v>8798</v>
      </c>
      <c r="B474" t="s">
        <v>8498</v>
      </c>
      <c r="C474" t="s">
        <v>8442</v>
      </c>
      <c r="D474" t="s">
        <v>8443</v>
      </c>
      <c r="E474" t="s">
        <v>8528</v>
      </c>
      <c r="G474" t="str">
        <f t="shared" si="82"/>
        <v>{#SENSOR_INFO}: Temperature is above warning threshold: &gt;{$TEMP_WARN:"{#SENSOR_INFO}"}</v>
      </c>
      <c r="H474" t="e">
        <f>INDEX('7.0.17'!G:G,MATCH(G474,'7.0.17'!F:F,0))</f>
        <v>#N/A</v>
      </c>
      <c r="I474" t="e">
        <f t="shared" si="77"/>
        <v>#N/A</v>
      </c>
    </row>
    <row r="475" spans="1:9">
      <c r="A475" t="s">
        <v>8798</v>
      </c>
      <c r="B475" t="s">
        <v>8498</v>
      </c>
      <c r="C475" t="s">
        <v>8444</v>
      </c>
      <c r="D475" t="s">
        <v>8445</v>
      </c>
      <c r="E475" t="s">
        <v>8528</v>
      </c>
      <c r="G475" t="str">
        <f t="shared" si="82"/>
        <v>{#SENSOR_INFO}: Temperature is too low: &lt;{$TEMP_CRIT_LOW:"{#SENSOR_INFO}"}</v>
      </c>
      <c r="H475" t="e">
        <f>INDEX('7.0.17'!G:G,MATCH(G475,'7.0.17'!F:F,0))</f>
        <v>#N/A</v>
      </c>
      <c r="I475" t="e">
        <f t="shared" si="77"/>
        <v>#N/A</v>
      </c>
    </row>
    <row r="476" spans="1:9">
      <c r="A476" t="s">
        <v>8798</v>
      </c>
      <c r="B476" t="s">
        <v>8438</v>
      </c>
      <c r="C476" t="s">
        <v>8565</v>
      </c>
      <c r="G476" t="str">
        <f t="shared" ref="G476:G487" si="83">B476&amp;":"&amp;C476</f>
        <v>{#SNMPVALUE}: High CPU utilization (over {$CPU.UTIL.CRIT}% for 5m)</v>
      </c>
      <c r="H476" t="e">
        <f>INDEX('7.0.17'!G:G,MATCH(G476,'7.0.17'!F:F,0))</f>
        <v>#N/A</v>
      </c>
      <c r="I476" t="e">
        <f t="shared" si="77"/>
        <v>#N/A</v>
      </c>
    </row>
    <row r="477" spans="1:9">
      <c r="A477" t="s">
        <v>8798</v>
      </c>
      <c r="B477" t="s">
        <v>8438</v>
      </c>
      <c r="C477" t="s">
        <v>8515</v>
      </c>
      <c r="G477" t="str">
        <f t="shared" si="83"/>
        <v>{#SNMPVALUE}: High memory utilization (&gt;{$MEMORY.UTIL.MAX}% for 5m)</v>
      </c>
      <c r="H477" t="e">
        <f>INDEX('7.0.17'!G:G,MATCH(G477,'7.0.17'!F:F,0))</f>
        <v>#N/A</v>
      </c>
      <c r="I477" t="e">
        <f t="shared" si="77"/>
        <v>#N/A</v>
      </c>
    </row>
    <row r="478" spans="1:9">
      <c r="A478" t="s">
        <v>8799</v>
      </c>
      <c r="B478" t="s">
        <v>8800</v>
      </c>
      <c r="G478" t="str">
        <f>B478</f>
        <v>Kubernetes client certificate expires in {$KUBE.API.CERT.EXPIRATION} days</v>
      </c>
      <c r="H478" t="e">
        <f>INDEX('7.0.17'!G:G,MATCH(G478,'7.0.17'!F:F,0))</f>
        <v>#N/A</v>
      </c>
      <c r="I478" t="e">
        <f t="shared" si="77"/>
        <v>#N/A</v>
      </c>
    </row>
    <row r="479" spans="1:9">
      <c r="A479" t="s">
        <v>8801</v>
      </c>
      <c r="B479" t="s">
        <v>8802</v>
      </c>
      <c r="C479" t="s">
        <v>8803</v>
      </c>
      <c r="G479" t="str">
        <f t="shared" si="83"/>
        <v>Node [{#NAME}] Limits: Total CPU limits are too high (more than 90% of allocatable)</v>
      </c>
      <c r="H479" t="e">
        <f>INDEX('7.0.17'!G:G,MATCH(G479,'7.0.17'!F:F,0))</f>
        <v>#N/A</v>
      </c>
      <c r="I479" t="e">
        <f t="shared" si="77"/>
        <v>#N/A</v>
      </c>
    </row>
    <row r="480" spans="1:9">
      <c r="A480" t="s">
        <v>8801</v>
      </c>
      <c r="B480" t="s">
        <v>8802</v>
      </c>
      <c r="C480" t="s">
        <v>8804</v>
      </c>
      <c r="G480" t="str">
        <f t="shared" si="83"/>
        <v>Node [{#NAME}] Limits: Total CPU limits are too high (more than 100% of allocatable)</v>
      </c>
      <c r="H480" t="e">
        <f>INDEX('7.0.17'!G:G,MATCH(G480,'7.0.17'!F:F,0))</f>
        <v>#N/A</v>
      </c>
      <c r="I480" t="e">
        <f t="shared" si="77"/>
        <v>#N/A</v>
      </c>
    </row>
    <row r="481" spans="1:9">
      <c r="A481" t="s">
        <v>8801</v>
      </c>
      <c r="B481" t="s">
        <v>8805</v>
      </c>
      <c r="C481" t="s">
        <v>8806</v>
      </c>
      <c r="G481" t="str">
        <f t="shared" si="83"/>
        <v>Node [{#NAME}] Requests: Total CPU requests are too high (more than 50% of allocatable)</v>
      </c>
      <c r="H481" t="e">
        <f>INDEX('7.0.17'!G:G,MATCH(G481,'7.0.17'!F:F,0))</f>
        <v>#N/A</v>
      </c>
      <c r="I481" t="e">
        <f t="shared" si="77"/>
        <v>#N/A</v>
      </c>
    </row>
    <row r="482" spans="1:9">
      <c r="A482" t="s">
        <v>8801</v>
      </c>
      <c r="B482" t="s">
        <v>8805</v>
      </c>
      <c r="C482" t="s">
        <v>8807</v>
      </c>
      <c r="G482" t="str">
        <f t="shared" si="83"/>
        <v>Node [{#NAME}] Requests: Total CPU requests are too high (more than 80% of allocatable)</v>
      </c>
      <c r="H482" t="e">
        <f>INDEX('7.0.17'!G:G,MATCH(G482,'7.0.17'!F:F,0))</f>
        <v>#N/A</v>
      </c>
      <c r="I482" t="e">
        <f t="shared" si="77"/>
        <v>#N/A</v>
      </c>
    </row>
    <row r="483" spans="1:9">
      <c r="A483" t="s">
        <v>8801</v>
      </c>
      <c r="B483" t="s">
        <v>8802</v>
      </c>
      <c r="C483" t="s">
        <v>8808</v>
      </c>
      <c r="G483" t="str">
        <f t="shared" si="83"/>
        <v>Node [{#NAME}] Limits: Total memory limits are too high (more than 90% of allocatable)</v>
      </c>
      <c r="H483" t="e">
        <f>INDEX('7.0.17'!G:G,MATCH(G483,'7.0.17'!F:F,0))</f>
        <v>#N/A</v>
      </c>
      <c r="I483" t="e">
        <f t="shared" si="77"/>
        <v>#N/A</v>
      </c>
    </row>
    <row r="484" spans="1:9">
      <c r="A484" t="s">
        <v>8801</v>
      </c>
      <c r="B484" t="s">
        <v>8802</v>
      </c>
      <c r="C484" t="s">
        <v>8809</v>
      </c>
      <c r="G484" t="str">
        <f t="shared" si="83"/>
        <v>Node [{#NAME}] Limits: Total memory limits are too high (more than 100% of allocatable)</v>
      </c>
      <c r="H484" t="e">
        <f>INDEX('7.0.17'!G:G,MATCH(G484,'7.0.17'!F:F,0))</f>
        <v>#N/A</v>
      </c>
      <c r="I484" t="e">
        <f t="shared" si="77"/>
        <v>#N/A</v>
      </c>
    </row>
    <row r="485" spans="1:9">
      <c r="A485" t="s">
        <v>8801</v>
      </c>
      <c r="B485" t="s">
        <v>8805</v>
      </c>
      <c r="C485" t="s">
        <v>8810</v>
      </c>
      <c r="G485" t="str">
        <f t="shared" si="83"/>
        <v>Node [{#NAME}] Requests: Total memory requests are too high (more than 50% of allocatable)</v>
      </c>
      <c r="H485" t="e">
        <f>INDEX('7.0.17'!G:G,MATCH(G485,'7.0.17'!F:F,0))</f>
        <v>#N/A</v>
      </c>
      <c r="I485" t="e">
        <f t="shared" si="77"/>
        <v>#N/A</v>
      </c>
    </row>
    <row r="486" spans="1:9">
      <c r="A486" t="s">
        <v>8801</v>
      </c>
      <c r="B486" t="s">
        <v>8805</v>
      </c>
      <c r="C486" t="s">
        <v>8811</v>
      </c>
      <c r="G486" t="str">
        <f t="shared" si="83"/>
        <v>Node [{#NAME}] Requests: Total memory requests are too high (more than 80% of allocatable)</v>
      </c>
      <c r="H486" t="e">
        <f>INDEX('7.0.17'!G:G,MATCH(G486,'7.0.17'!F:F,0))</f>
        <v>#N/A</v>
      </c>
      <c r="I486" t="e">
        <f t="shared" si="77"/>
        <v>#N/A</v>
      </c>
    </row>
    <row r="487" spans="1:9">
      <c r="A487" t="s">
        <v>8801</v>
      </c>
      <c r="B487" t="s">
        <v>8812</v>
      </c>
      <c r="C487" t="s">
        <v>8813</v>
      </c>
      <c r="G487" t="str">
        <f t="shared" si="83"/>
        <v>Node [{#NAME}] Used: Kubelet too many pods (more than 95% of capacity)</v>
      </c>
      <c r="H487" t="e">
        <f>INDEX('7.0.17'!G:G,MATCH(G487,'7.0.17'!F:F,0))</f>
        <v>#N/A</v>
      </c>
      <c r="I487" t="e">
        <f t="shared" si="77"/>
        <v>#N/A</v>
      </c>
    </row>
    <row r="488" spans="1:9">
      <c r="A488" t="s">
        <v>8801</v>
      </c>
      <c r="B488" t="s">
        <v>8814</v>
      </c>
      <c r="C488" t="s">
        <v>8815</v>
      </c>
      <c r="D488" t="s">
        <v>8461</v>
      </c>
      <c r="G488" t="str">
        <f t="shared" ref="G488:G492" si="84">B488&amp;":"&amp;C488&amp;":"&amp;D488</f>
        <v>Node [{#NAME}] Conditions: Pressure exists on the disk size (state: {ITEM.VALUE})</v>
      </c>
      <c r="H488" t="e">
        <f>INDEX('7.0.17'!G:G,MATCH(G488,'7.0.17'!F:F,0))</f>
        <v>#N/A</v>
      </c>
      <c r="I488" t="e">
        <f t="shared" si="77"/>
        <v>#N/A</v>
      </c>
    </row>
    <row r="489" spans="1:9">
      <c r="A489" t="s">
        <v>8801</v>
      </c>
      <c r="B489" t="s">
        <v>8814</v>
      </c>
      <c r="C489" t="s">
        <v>8816</v>
      </c>
      <c r="D489" t="s">
        <v>8461</v>
      </c>
      <c r="G489" t="str">
        <f t="shared" si="84"/>
        <v>Node [{#NAME}] Conditions: Pressure exists on the node memory (state: {ITEM.VALUE})</v>
      </c>
      <c r="H489" t="e">
        <f>INDEX('7.0.17'!G:G,MATCH(G489,'7.0.17'!F:F,0))</f>
        <v>#N/A</v>
      </c>
      <c r="I489" t="e">
        <f t="shared" si="77"/>
        <v>#N/A</v>
      </c>
    </row>
    <row r="490" spans="1:9">
      <c r="A490" t="s">
        <v>8801</v>
      </c>
      <c r="B490" t="s">
        <v>8814</v>
      </c>
      <c r="C490" t="s">
        <v>8817</v>
      </c>
      <c r="D490" t="s">
        <v>8461</v>
      </c>
      <c r="G490" t="str">
        <f t="shared" si="84"/>
        <v>Node [{#NAME}] Conditions: Network is not correctly configured (state: {ITEM.VALUE})</v>
      </c>
      <c r="H490" t="e">
        <f>INDEX('7.0.17'!G:G,MATCH(G490,'7.0.17'!F:F,0))</f>
        <v>#N/A</v>
      </c>
      <c r="I490" t="e">
        <f t="shared" si="77"/>
        <v>#N/A</v>
      </c>
    </row>
    <row r="491" spans="1:9">
      <c r="A491" t="s">
        <v>8801</v>
      </c>
      <c r="B491" t="s">
        <v>8814</v>
      </c>
      <c r="C491" t="s">
        <v>8818</v>
      </c>
      <c r="D491" t="s">
        <v>8461</v>
      </c>
      <c r="G491" t="str">
        <f t="shared" si="84"/>
        <v>Node [{#NAME}] Conditions: Pressure exists on the processes (state: {ITEM.VALUE})</v>
      </c>
      <c r="H491" t="e">
        <f>INDEX('7.0.17'!G:G,MATCH(G491,'7.0.17'!F:F,0))</f>
        <v>#N/A</v>
      </c>
      <c r="I491" t="e">
        <f t="shared" si="77"/>
        <v>#N/A</v>
      </c>
    </row>
    <row r="492" spans="1:9">
      <c r="A492" t="s">
        <v>8801</v>
      </c>
      <c r="B492" t="s">
        <v>8814</v>
      </c>
      <c r="C492" t="s">
        <v>8819</v>
      </c>
      <c r="D492" t="s">
        <v>8461</v>
      </c>
      <c r="G492" t="str">
        <f t="shared" si="84"/>
        <v>Node [{#NAME}] Conditions: Is not in Ready state (state: {ITEM.VALUE})</v>
      </c>
      <c r="H492" t="e">
        <f>INDEX('7.0.17'!G:G,MATCH(G492,'7.0.17'!F:F,0))</f>
        <v>#N/A</v>
      </c>
      <c r="I492" t="e">
        <f t="shared" si="77"/>
        <v>#N/A</v>
      </c>
    </row>
    <row r="493" spans="1:9">
      <c r="A493" t="s">
        <v>8801</v>
      </c>
      <c r="B493" t="s">
        <v>8820</v>
      </c>
      <c r="C493" t="s">
        <v>8821</v>
      </c>
      <c r="G493" t="str">
        <f>B493&amp;":"&amp;C493</f>
        <v>Node [{#NAME}]: Has been restarted (uptime &lt; 10m)</v>
      </c>
      <c r="H493" t="e">
        <f>INDEX('7.0.17'!G:G,MATCH(G493,'7.0.17'!F:F,0))</f>
        <v>#N/A</v>
      </c>
      <c r="I493" t="e">
        <f t="shared" si="77"/>
        <v>#N/A</v>
      </c>
    </row>
    <row r="494" spans="1:9">
      <c r="A494" t="s">
        <v>8822</v>
      </c>
      <c r="B494" t="s">
        <v>8433</v>
      </c>
      <c r="C494" t="s">
        <v>8434</v>
      </c>
      <c r="D494" t="s">
        <v>8435</v>
      </c>
      <c r="G494" t="str">
        <f t="shared" ref="G494:G508" si="85">B494&amp;":"&amp;C494&amp;":"&amp;D494</f>
        <v>Interface {#IFNAME}({#IFALIAS}): High error rate (&gt;{$IF.ERRORS.WARN:{#IFNAME}} for 5m)</v>
      </c>
      <c r="H494" t="e">
        <f>INDEX('7.0.17'!G:G,MATCH(G494,'7.0.17'!F:F,0))</f>
        <v>#N/A</v>
      </c>
      <c r="I494" t="e">
        <f t="shared" si="77"/>
        <v>#N/A</v>
      </c>
    </row>
    <row r="495" spans="1:9">
      <c r="A495" t="s">
        <v>8822</v>
      </c>
      <c r="B495" t="s">
        <v>8433</v>
      </c>
      <c r="C495" t="s">
        <v>8436</v>
      </c>
      <c r="D495" t="s">
        <v>8437</v>
      </c>
      <c r="G495" t="str">
        <f t="shared" si="85"/>
        <v>Interface {#IFNAME}({#IFALIAS}): High bandwidth usage (&gt;{$IF.UTIL.MAX:{#IFNAME}}%)</v>
      </c>
      <c r="H495" t="e">
        <f>INDEX('7.0.17'!G:G,MATCH(G495,'7.0.17'!F:F,0))</f>
        <v>#N/A</v>
      </c>
      <c r="I495" t="e">
        <f t="shared" si="77"/>
        <v>#N/A</v>
      </c>
    </row>
    <row r="496" spans="1:9">
      <c r="A496" t="s">
        <v>8822</v>
      </c>
      <c r="B496" t="s">
        <v>8823</v>
      </c>
      <c r="C496" t="s">
        <v>8824</v>
      </c>
      <c r="D496" t="s">
        <v>8825</v>
      </c>
      <c r="E496" t="s">
        <v>8826</v>
      </c>
      <c r="G496" t="str">
        <f>B496&amp;":"&amp;C496&amp;":"&amp;D496&amp;":"&amp;E496</f>
        <v>{#DEVNAME}: Disk read/write request responses are too high (read &gt; {$VFS.DEV.READ.AWAIT.WARN:"{#DEVNAME}"} ms for 15m or write &gt; {$VFS.DEV.WRITE.AWAIT.WARN:"{#DEVNAME}"} ms for 15m)</v>
      </c>
      <c r="H496" t="e">
        <f>INDEX('7.0.17'!G:G,MATCH(G496,'7.0.17'!F:F,0))</f>
        <v>#N/A</v>
      </c>
      <c r="I496" t="e">
        <f t="shared" si="77"/>
        <v>#N/A</v>
      </c>
    </row>
    <row r="497" spans="1:9">
      <c r="A497" t="s">
        <v>8822</v>
      </c>
      <c r="B497" t="s">
        <v>8642</v>
      </c>
      <c r="C497" t="s">
        <v>8385</v>
      </c>
      <c r="D497" t="s">
        <v>8384</v>
      </c>
      <c r="G497" t="str">
        <f t="shared" si="85"/>
        <v>FS [{#FSNAME}]: Running out of free inodes (free &lt; {$VFS.FS.INODE.PFREE.MIN.CRIT:{#FSNAME}}%)</v>
      </c>
      <c r="H497" t="e">
        <f>INDEX('7.0.17'!G:G,MATCH(G497,'7.0.17'!F:F,0))</f>
        <v>#N/A</v>
      </c>
      <c r="I497" t="e">
        <f t="shared" si="77"/>
        <v>#N/A</v>
      </c>
    </row>
    <row r="498" spans="1:9">
      <c r="A498" t="s">
        <v>8822</v>
      </c>
      <c r="B498" t="s">
        <v>8642</v>
      </c>
      <c r="C498" t="s">
        <v>8383</v>
      </c>
      <c r="D498" t="s">
        <v>8384</v>
      </c>
      <c r="G498" t="str">
        <f t="shared" si="85"/>
        <v>FS [{#FSNAME}]: Running out of free inodes (free &lt; {$VFS.FS.INODE.PFREE.MIN.WARN:{#FSNAME}}%)</v>
      </c>
      <c r="H498" t="e">
        <f>INDEX('7.0.17'!G:G,MATCH(G498,'7.0.17'!F:F,0))</f>
        <v>#N/A</v>
      </c>
      <c r="I498" t="e">
        <f t="shared" si="77"/>
        <v>#N/A</v>
      </c>
    </row>
    <row r="499" spans="1:9">
      <c r="A499" t="s">
        <v>8822</v>
      </c>
      <c r="B499" t="s">
        <v>8642</v>
      </c>
      <c r="C499" t="s">
        <v>8389</v>
      </c>
      <c r="D499" t="s">
        <v>8827</v>
      </c>
      <c r="G499" t="str">
        <f t="shared" si="85"/>
        <v>FS [{#FSNAME}]: Space is critically low (used &gt; {$VFS.FS.PUSED.MAX.CRIT:{#FSNAME}}%, total {{?last(//vfs.fs.total[node_exporter,{#FSNAME}])/1024/1024/1024}.fmtnum(1)}GB)</v>
      </c>
      <c r="H499" t="e">
        <f>INDEX('7.0.17'!G:G,MATCH(G499,'7.0.17'!F:F,0))</f>
        <v>#N/A</v>
      </c>
      <c r="I499" t="e">
        <f t="shared" si="77"/>
        <v>#N/A</v>
      </c>
    </row>
    <row r="500" spans="1:9">
      <c r="A500" t="s">
        <v>8822</v>
      </c>
      <c r="B500" t="s">
        <v>8642</v>
      </c>
      <c r="C500" t="s">
        <v>8387</v>
      </c>
      <c r="D500" t="s">
        <v>8827</v>
      </c>
      <c r="G500" t="str">
        <f t="shared" si="85"/>
        <v>FS [{#FSNAME}]: Space is low (used &gt; {$VFS.FS.PUSED.MAX.WARN:{#FSNAME}}%, total {{?last(//vfs.fs.total[node_exporter,{#FSNAME}])/1024/1024/1024}.fmtnum(1)}GB)</v>
      </c>
      <c r="H500" t="e">
        <f>INDEX('7.0.17'!G:G,MATCH(G500,'7.0.17'!F:F,0))</f>
        <v>#N/A</v>
      </c>
      <c r="I500" t="e">
        <f t="shared" si="77"/>
        <v>#N/A</v>
      </c>
    </row>
    <row r="501" spans="1:9">
      <c r="A501" t="s">
        <v>8822</v>
      </c>
      <c r="B501" t="s">
        <v>8433</v>
      </c>
      <c r="C501" t="s">
        <v>8434</v>
      </c>
      <c r="D501" t="s">
        <v>8435</v>
      </c>
      <c r="G501" t="str">
        <f t="shared" si="85"/>
        <v>Interface {#IFNAME}({#IFALIAS}): High error rate (&gt;{$IF.ERRORS.WARN:{#IFNAME}} for 5m)</v>
      </c>
      <c r="H501" t="e">
        <f>INDEX('7.0.17'!G:G,MATCH(G501,'7.0.17'!F:F,0))</f>
        <v>#N/A</v>
      </c>
      <c r="I501" t="e">
        <f t="shared" si="77"/>
        <v>#N/A</v>
      </c>
    </row>
    <row r="502" spans="1:9">
      <c r="A502" t="s">
        <v>8822</v>
      </c>
      <c r="B502" t="s">
        <v>8433</v>
      </c>
      <c r="C502" t="s">
        <v>8436</v>
      </c>
      <c r="D502" t="s">
        <v>8437</v>
      </c>
      <c r="G502" t="str">
        <f t="shared" si="85"/>
        <v>Interface {#IFNAME}({#IFALIAS}): High bandwidth usage (&gt;{$IF.UTIL.MAX:{#IFNAME}}%)</v>
      </c>
      <c r="H502" t="e">
        <f>INDEX('7.0.17'!G:G,MATCH(G502,'7.0.17'!F:F,0))</f>
        <v>#N/A</v>
      </c>
      <c r="I502" t="e">
        <f t="shared" si="77"/>
        <v>#N/A</v>
      </c>
    </row>
    <row r="503" spans="1:9">
      <c r="A503" t="s">
        <v>8822</v>
      </c>
      <c r="B503" t="s">
        <v>8642</v>
      </c>
      <c r="C503" t="s">
        <v>8385</v>
      </c>
      <c r="D503" t="s">
        <v>8384</v>
      </c>
      <c r="G503" t="str">
        <f t="shared" si="85"/>
        <v>FS [{#FSNAME}]: Running out of free inodes (free &lt; {$VFS.FS.INODE.PFREE.MIN.CRIT:{#FSNAME}}%)</v>
      </c>
      <c r="H503" t="e">
        <f>INDEX('7.0.17'!G:G,MATCH(G503,'7.0.17'!F:F,0))</f>
        <v>#N/A</v>
      </c>
      <c r="I503" t="e">
        <f t="shared" si="77"/>
        <v>#N/A</v>
      </c>
    </row>
    <row r="504" spans="1:9">
      <c r="A504" t="s">
        <v>8822</v>
      </c>
      <c r="B504" t="s">
        <v>8642</v>
      </c>
      <c r="C504" t="s">
        <v>8383</v>
      </c>
      <c r="D504" t="s">
        <v>8384</v>
      </c>
      <c r="G504" t="str">
        <f t="shared" si="85"/>
        <v>FS [{#FSNAME}]: Running out of free inodes (free &lt; {$VFS.FS.INODE.PFREE.MIN.WARN:{#FSNAME}}%)</v>
      </c>
      <c r="H504" t="e">
        <f>INDEX('7.0.17'!G:G,MATCH(G504,'7.0.17'!F:F,0))</f>
        <v>#N/A</v>
      </c>
      <c r="I504" t="e">
        <f t="shared" si="77"/>
        <v>#N/A</v>
      </c>
    </row>
    <row r="505" spans="1:9">
      <c r="A505" t="s">
        <v>8822</v>
      </c>
      <c r="B505" t="s">
        <v>8642</v>
      </c>
      <c r="C505" t="s">
        <v>8389</v>
      </c>
      <c r="D505" t="s">
        <v>8828</v>
      </c>
      <c r="G505" t="str">
        <f t="shared" si="85"/>
        <v>FS [{#FSNAME}]: Space is critically low (used &gt; {$VFS.FS.PUSED.MAX.CRIT:{#FSNAME}}%, total {{?last(//vfs.fs.total[dskTotal.{#SNMPINDEX}])/1024/1024/1024}.fmtnum(1)}GB)</v>
      </c>
      <c r="H505" t="e">
        <f>INDEX('7.0.17'!G:G,MATCH(G505,'7.0.17'!F:F,0))</f>
        <v>#N/A</v>
      </c>
      <c r="I505" t="e">
        <f t="shared" si="77"/>
        <v>#N/A</v>
      </c>
    </row>
    <row r="506" spans="1:9">
      <c r="A506" t="s">
        <v>8822</v>
      </c>
      <c r="B506" t="s">
        <v>8642</v>
      </c>
      <c r="C506" t="s">
        <v>8387</v>
      </c>
      <c r="D506" t="s">
        <v>8828</v>
      </c>
      <c r="G506" t="str">
        <f t="shared" si="85"/>
        <v>FS [{#FSNAME}]: Space is low (used &gt; {$VFS.FS.PUSED.MAX.WARN:{#FSNAME}}%, total {{?last(//vfs.fs.total[dskTotal.{#SNMPINDEX}])/1024/1024/1024}.fmtnum(1)}GB)</v>
      </c>
      <c r="H506" t="e">
        <f>INDEX('7.0.17'!G:G,MATCH(G506,'7.0.17'!F:F,0))</f>
        <v>#N/A</v>
      </c>
      <c r="I506" t="e">
        <f t="shared" si="77"/>
        <v>#N/A</v>
      </c>
    </row>
    <row r="507" spans="1:9">
      <c r="A507" t="s">
        <v>8822</v>
      </c>
      <c r="B507" t="s">
        <v>8829</v>
      </c>
      <c r="C507" t="s">
        <v>8434</v>
      </c>
      <c r="D507" t="s">
        <v>8435</v>
      </c>
      <c r="G507" t="str">
        <f t="shared" si="85"/>
        <v>Interface {#IFNAME}: High error rate (&gt;{$IF.ERRORS.WARN:{#IFNAME}} for 5m)</v>
      </c>
      <c r="H507" t="e">
        <f>INDEX('7.0.17'!G:G,MATCH(G507,'7.0.17'!F:F,0))</f>
        <v>#N/A</v>
      </c>
      <c r="I507" t="e">
        <f t="shared" si="77"/>
        <v>#N/A</v>
      </c>
    </row>
    <row r="508" spans="1:9">
      <c r="A508" t="s">
        <v>8822</v>
      </c>
      <c r="B508" t="s">
        <v>8829</v>
      </c>
      <c r="C508" t="s">
        <v>8436</v>
      </c>
      <c r="D508" t="s">
        <v>8437</v>
      </c>
      <c r="G508" t="str">
        <f t="shared" si="85"/>
        <v>Interface {#IFNAME}: High bandwidth usage (&gt;{$IF.UTIL.MAX:{#IFNAME}}%)</v>
      </c>
      <c r="H508" t="e">
        <f>INDEX('7.0.17'!G:G,MATCH(G508,'7.0.17'!F:F,0))</f>
        <v>#N/A</v>
      </c>
      <c r="I508" t="e">
        <f t="shared" si="77"/>
        <v>#N/A</v>
      </c>
    </row>
    <row r="509" spans="1:9">
      <c r="A509" t="s">
        <v>8822</v>
      </c>
      <c r="B509" t="s">
        <v>8823</v>
      </c>
      <c r="C509" t="s">
        <v>8824</v>
      </c>
      <c r="D509" t="s">
        <v>8825</v>
      </c>
      <c r="E509" t="s">
        <v>8826</v>
      </c>
      <c r="G509" t="str">
        <f>B509&amp;":"&amp;C509&amp;":"&amp;D509&amp;":"&amp;E509</f>
        <v>{#DEVNAME}: Disk read/write request responses are too high (read &gt; {$VFS.DEV.READ.AWAIT.WARN:"{#DEVNAME}"} ms for 15m or write &gt; {$VFS.DEV.WRITE.AWAIT.WARN:"{#DEVNAME}"} ms for 15m)</v>
      </c>
      <c r="H509" t="e">
        <f>INDEX('7.0.17'!G:G,MATCH(G509,'7.0.17'!F:F,0))</f>
        <v>#N/A</v>
      </c>
      <c r="I509" t="e">
        <f t="shared" si="77"/>
        <v>#N/A</v>
      </c>
    </row>
    <row r="510" spans="1:9">
      <c r="A510" t="s">
        <v>8822</v>
      </c>
      <c r="B510" t="s">
        <v>8511</v>
      </c>
      <c r="C510" t="s">
        <v>8385</v>
      </c>
      <c r="D510" t="s">
        <v>8384</v>
      </c>
      <c r="G510" t="str">
        <f t="shared" ref="G510:G515" si="86">B510&amp;":"&amp;C510&amp;":"&amp;D510</f>
        <v>{#FSNAME}: Running out of free inodes (free &lt; {$VFS.FS.INODE.PFREE.MIN.CRIT:{#FSNAME}}%)</v>
      </c>
      <c r="H510" t="e">
        <f>INDEX('7.0.17'!G:G,MATCH(G510,'7.0.17'!F:F,0))</f>
        <v>#N/A</v>
      </c>
      <c r="I510" t="e">
        <f t="shared" si="77"/>
        <v>#N/A</v>
      </c>
    </row>
    <row r="511" spans="1:9">
      <c r="A511" t="s">
        <v>8822</v>
      </c>
      <c r="B511" t="s">
        <v>8642</v>
      </c>
      <c r="C511" t="s">
        <v>8383</v>
      </c>
      <c r="D511" t="s">
        <v>8384</v>
      </c>
      <c r="G511" t="str">
        <f t="shared" si="86"/>
        <v>FS [{#FSNAME}]: Running out of free inodes (free &lt; {$VFS.FS.INODE.PFREE.MIN.WARN:{#FSNAME}}%)</v>
      </c>
      <c r="H511" t="e">
        <f>INDEX('7.0.17'!G:G,MATCH(G511,'7.0.17'!F:F,0))</f>
        <v>#N/A</v>
      </c>
      <c r="I511" t="e">
        <f t="shared" si="77"/>
        <v>#N/A</v>
      </c>
    </row>
    <row r="512" spans="1:9">
      <c r="A512" t="s">
        <v>8822</v>
      </c>
      <c r="B512" t="s">
        <v>8642</v>
      </c>
      <c r="C512" t="s">
        <v>8389</v>
      </c>
      <c r="D512" t="s">
        <v>8388</v>
      </c>
      <c r="G512" t="str">
        <f t="shared" si="86"/>
        <v>FS [{#FSNAME}]: Space is critically low (used &gt; {$VFS.FS.PUSED.MAX.CRIT:{#FSNAME}}%, total {{?last(//vfs.fs.dependent.size[{#FSNAME},total])/1024/1024/1024}.fmtnum(1)}GB)</v>
      </c>
      <c r="H512" t="e">
        <f>INDEX('7.0.17'!G:G,MATCH(G512,'7.0.17'!F:F,0))</f>
        <v>#N/A</v>
      </c>
      <c r="I512" t="e">
        <f t="shared" si="77"/>
        <v>#N/A</v>
      </c>
    </row>
    <row r="513" spans="1:9">
      <c r="A513" t="s">
        <v>8822</v>
      </c>
      <c r="B513" t="s">
        <v>8642</v>
      </c>
      <c r="C513" t="s">
        <v>8387</v>
      </c>
      <c r="D513" t="s">
        <v>8388</v>
      </c>
      <c r="G513" t="str">
        <f t="shared" si="86"/>
        <v>FS [{#FSNAME}]: Space is low (used &gt; {$VFS.FS.PUSED.MAX.WARN:{#FSNAME}}%, total {{?last(//vfs.fs.dependent.size[{#FSNAME},total])/1024/1024/1024}.fmtnum(1)}GB)</v>
      </c>
      <c r="H513" t="e">
        <f>INDEX('7.0.17'!G:G,MATCH(G513,'7.0.17'!F:F,0))</f>
        <v>#N/A</v>
      </c>
      <c r="I513" t="e">
        <f t="shared" si="77"/>
        <v>#N/A</v>
      </c>
    </row>
    <row r="514" spans="1:9">
      <c r="A514" t="s">
        <v>8822</v>
      </c>
      <c r="B514" t="s">
        <v>8829</v>
      </c>
      <c r="C514" t="s">
        <v>8434</v>
      </c>
      <c r="D514" t="s">
        <v>8435</v>
      </c>
      <c r="G514" t="str">
        <f t="shared" si="86"/>
        <v>Interface {#IFNAME}: High error rate (&gt;{$IF.ERRORS.WARN:{#IFNAME}} for 5m)</v>
      </c>
      <c r="H514" t="e">
        <f>INDEX('7.0.17'!G:G,MATCH(G514,'7.0.17'!F:F,0))</f>
        <v>#N/A</v>
      </c>
      <c r="I514" t="e">
        <f t="shared" si="77"/>
        <v>#N/A</v>
      </c>
    </row>
    <row r="515" spans="1:9">
      <c r="A515" t="s">
        <v>8822</v>
      </c>
      <c r="B515" t="s">
        <v>8829</v>
      </c>
      <c r="C515" t="s">
        <v>8436</v>
      </c>
      <c r="D515" t="s">
        <v>8437</v>
      </c>
      <c r="G515" t="str">
        <f t="shared" si="86"/>
        <v>Interface {#IFNAME}: High bandwidth usage (&gt;{$IF.UTIL.MAX:{#IFNAME}}%)</v>
      </c>
      <c r="H515" t="e">
        <f>INDEX('7.0.17'!G:G,MATCH(G515,'7.0.17'!F:F,0))</f>
        <v>#N/A</v>
      </c>
      <c r="I515" t="e">
        <f t="shared" ref="I515:I578" si="87">A515&amp;": "&amp;H515</f>
        <v>#N/A</v>
      </c>
    </row>
    <row r="516" spans="1:9">
      <c r="A516" t="s">
        <v>8822</v>
      </c>
      <c r="B516" t="s">
        <v>8823</v>
      </c>
      <c r="C516" t="s">
        <v>8824</v>
      </c>
      <c r="D516" t="s">
        <v>8825</v>
      </c>
      <c r="E516" t="s">
        <v>8826</v>
      </c>
      <c r="G516" t="str">
        <f>B516&amp;":"&amp;C516&amp;":"&amp;D516&amp;":"&amp;E516</f>
        <v>{#DEVNAME}: Disk read/write request responses are too high (read &gt; {$VFS.DEV.READ.AWAIT.WARN:"{#DEVNAME}"} ms for 15m or write &gt; {$VFS.DEV.WRITE.AWAIT.WARN:"{#DEVNAME}"} ms for 15m)</v>
      </c>
      <c r="H516" t="e">
        <f>INDEX('7.0.17'!G:G,MATCH(G516,'7.0.17'!F:F,0))</f>
        <v>#N/A</v>
      </c>
      <c r="I516" t="e">
        <f t="shared" si="87"/>
        <v>#N/A</v>
      </c>
    </row>
    <row r="517" spans="1:9">
      <c r="A517" t="s">
        <v>8822</v>
      </c>
      <c r="B517" t="s">
        <v>8511</v>
      </c>
      <c r="C517" t="s">
        <v>8385</v>
      </c>
      <c r="D517" t="s">
        <v>8384</v>
      </c>
      <c r="G517" t="str">
        <f>B517&amp;":"&amp;C517&amp;":"&amp;D517</f>
        <v>{#FSNAME}: Running out of free inodes (free &lt; {$VFS.FS.INODE.PFREE.MIN.CRIT:{#FSNAME}}%)</v>
      </c>
      <c r="H517" t="e">
        <f>INDEX('7.0.17'!G:G,MATCH(G517,'7.0.17'!F:F,0))</f>
        <v>#N/A</v>
      </c>
      <c r="I517" t="e">
        <f t="shared" si="87"/>
        <v>#N/A</v>
      </c>
    </row>
    <row r="518" spans="1:9">
      <c r="A518" t="s">
        <v>8822</v>
      </c>
      <c r="B518" t="s">
        <v>8642</v>
      </c>
      <c r="C518" t="s">
        <v>8383</v>
      </c>
      <c r="D518" t="s">
        <v>8384</v>
      </c>
      <c r="G518" t="str">
        <f>B518&amp;":"&amp;C518&amp;":"&amp;D518</f>
        <v>FS [{#FSNAME}]: Running out of free inodes (free &lt; {$VFS.FS.INODE.PFREE.MIN.WARN:{#FSNAME}}%)</v>
      </c>
      <c r="H518" t="e">
        <f>INDEX('7.0.17'!G:G,MATCH(G518,'7.0.17'!F:F,0))</f>
        <v>#N/A</v>
      </c>
      <c r="I518" t="e">
        <f t="shared" si="87"/>
        <v>#N/A</v>
      </c>
    </row>
    <row r="519" spans="1:9">
      <c r="A519" t="s">
        <v>8822</v>
      </c>
      <c r="B519" t="s">
        <v>8642</v>
      </c>
      <c r="C519" t="s">
        <v>8389</v>
      </c>
      <c r="D519" t="s">
        <v>8388</v>
      </c>
      <c r="G519" t="str">
        <f>B519&amp;":"&amp;C519&amp;":"&amp;D519</f>
        <v>FS [{#FSNAME}]: Space is critically low (used &gt; {$VFS.FS.PUSED.MAX.CRIT:{#FSNAME}}%, total {{?last(//vfs.fs.dependent.size[{#FSNAME},total])/1024/1024/1024}.fmtnum(1)}GB)</v>
      </c>
      <c r="H519" t="e">
        <f>INDEX('7.0.17'!G:G,MATCH(G519,'7.0.17'!F:F,0))</f>
        <v>#N/A</v>
      </c>
      <c r="I519" t="e">
        <f t="shared" si="87"/>
        <v>#N/A</v>
      </c>
    </row>
    <row r="520" spans="1:9">
      <c r="A520" t="s">
        <v>8822</v>
      </c>
      <c r="B520" t="s">
        <v>8642</v>
      </c>
      <c r="C520" t="s">
        <v>8387</v>
      </c>
      <c r="D520" t="s">
        <v>8388</v>
      </c>
      <c r="G520" t="str">
        <f>B520&amp;":"&amp;C520&amp;":"&amp;D520</f>
        <v>FS [{#FSNAME}]: Space is low (used &gt; {$VFS.FS.PUSED.MAX.WARN:{#FSNAME}}%, total {{?last(//vfs.fs.dependent.size[{#FSNAME},total])/1024/1024/1024}.fmtnum(1)}GB)</v>
      </c>
      <c r="H520" t="e">
        <f>INDEX('7.0.17'!G:G,MATCH(G520,'7.0.17'!F:F,0))</f>
        <v>#N/A</v>
      </c>
      <c r="I520" t="e">
        <f t="shared" si="87"/>
        <v>#N/A</v>
      </c>
    </row>
    <row r="521" spans="1:9">
      <c r="A521" t="s">
        <v>8830</v>
      </c>
      <c r="B521" t="s">
        <v>8831</v>
      </c>
      <c r="C521" t="s">
        <v>8832</v>
      </c>
      <c r="D521" t="s">
        <v>8833</v>
      </c>
      <c r="G521" t="str">
        <f>A521&amp;": "&amp;B521&amp;":"&amp;C521&amp;":"&amp;D521</f>
        <v>MSSQL: DB '{#DBNAME}': Diff backup older than {$MSSQL.BACKUP_DIFF.CRIT:"{#DBNAME}"}</v>
      </c>
      <c r="H521" t="str">
        <f>INDEX('7.0.17'!G:G,MATCH(G521,'7.0.17'!F:F,0))</f>
        <v>MSSQL: MSSQL DB '{#DBNAME}': 差异备份早于{$MSSQL.BACKUP_DIFF.CRIT: "{#DBNAME}"}</v>
      </c>
      <c r="I521" t="str">
        <f t="shared" si="87"/>
        <v>MSSQL: MSSQL: MSSQL DB '{#DBNAME}': 差异备份早于{$MSSQL.BACKUP_DIFF.CRIT: "{#DBNAME}"}</v>
      </c>
    </row>
    <row r="522" spans="1:9">
      <c r="A522" t="s">
        <v>8830</v>
      </c>
      <c r="B522" t="s">
        <v>8831</v>
      </c>
      <c r="C522" t="s">
        <v>8834</v>
      </c>
      <c r="D522" t="s">
        <v>8833</v>
      </c>
      <c r="G522" t="str">
        <f t="shared" ref="G522:G540" si="88">A522&amp;": "&amp;B522&amp;":"&amp;C522&amp;":"&amp;D522</f>
        <v>MSSQL: DB '{#DBNAME}': Diff backup older than {$MSSQL.BACKUP_DIFF.WARN:"{#DBNAME}"}</v>
      </c>
      <c r="H522" t="str">
        <f>INDEX('7.0.17'!G:G,MATCH(G522,'7.0.17'!F:F,0))</f>
        <v>MSSQL: MSSQL DB '{#DBNAME}': 差异备份早于{$MSSQL.BACKUP_DIFF.WARN: "{#DBNAME}"}</v>
      </c>
      <c r="I522" t="str">
        <f t="shared" si="87"/>
        <v>MSSQL: MSSQL: MSSQL DB '{#DBNAME}': 差异备份早于{$MSSQL.BACKUP_DIFF.WARN: "{#DBNAME}"}</v>
      </c>
    </row>
    <row r="523" spans="1:9">
      <c r="A523" t="s">
        <v>8830</v>
      </c>
      <c r="B523" t="s">
        <v>8831</v>
      </c>
      <c r="C523" t="s">
        <v>8835</v>
      </c>
      <c r="D523" t="s">
        <v>8833</v>
      </c>
      <c r="G523" t="str">
        <f t="shared" si="88"/>
        <v>MSSQL: DB '{#DBNAME}': Full backup older than {$MSSQL.BACKUP_FULL.CRIT:"{#DBNAME}"}</v>
      </c>
      <c r="H523" t="str">
        <f>INDEX('7.0.17'!G:G,MATCH(G523,'7.0.17'!F:F,0))</f>
        <v>MSSQL: MSSQL DB '{#DBNAME}': 完整备份早于{$MSSQL.BACKUP_FULL.CRIT: "{#DBNAME}"}</v>
      </c>
      <c r="I523" t="str">
        <f t="shared" si="87"/>
        <v>MSSQL: MSSQL: MSSQL DB '{#DBNAME}': 完整备份早于{$MSSQL.BACKUP_FULL.CRIT: "{#DBNAME}"}</v>
      </c>
    </row>
    <row r="524" spans="1:9">
      <c r="A524" t="s">
        <v>8830</v>
      </c>
      <c r="B524" t="s">
        <v>8831</v>
      </c>
      <c r="C524" t="s">
        <v>8836</v>
      </c>
      <c r="D524" t="s">
        <v>8833</v>
      </c>
      <c r="G524" t="str">
        <f t="shared" si="88"/>
        <v>MSSQL: DB '{#DBNAME}': Full backup older than {$MSSQL.BACKUP_FULL.WARN:"{#DBNAME}"}</v>
      </c>
      <c r="H524" t="str">
        <f>INDEX('7.0.17'!G:G,MATCH(G524,'7.0.17'!F:F,0))</f>
        <v>MSSQL: MSSQL DB '{#DBNAME}': 完整备份早于{$MSSQL.BACKUP_FULL.WARN: "{#DBNAME}"}</v>
      </c>
      <c r="I524" t="str">
        <f t="shared" si="87"/>
        <v>MSSQL: MSSQL: MSSQL DB '{#DBNAME}': 完整备份早于{$MSSQL.BACKUP_FULL.WARN: "{#DBNAME}"}</v>
      </c>
    </row>
    <row r="525" spans="1:9">
      <c r="A525" t="s">
        <v>8830</v>
      </c>
      <c r="B525" t="s">
        <v>8831</v>
      </c>
      <c r="C525" t="s">
        <v>8837</v>
      </c>
      <c r="D525" t="s">
        <v>8833</v>
      </c>
      <c r="G525" t="str">
        <f t="shared" si="88"/>
        <v>MSSQL: DB '{#DBNAME}': Log backup older than {$MSSQL.BACKUP_LOG.CRIT:"{#DBNAME}"}</v>
      </c>
      <c r="H525" t="str">
        <f>INDEX('7.0.17'!G:G,MATCH(G525,'7.0.17'!F:F,0))</f>
        <v>MSSQL: MSSQL DB '{#DBNAME}': 日志备份早于{$MSSQL.BACKUP_LOG.CRIT: "{#DBNAME}"}</v>
      </c>
      <c r="I525" t="str">
        <f t="shared" si="87"/>
        <v>MSSQL: MSSQL: MSSQL DB '{#DBNAME}': 日志备份早于{$MSSQL.BACKUP_LOG.CRIT: "{#DBNAME}"}</v>
      </c>
    </row>
    <row r="526" spans="1:9">
      <c r="A526" t="s">
        <v>8830</v>
      </c>
      <c r="B526" t="s">
        <v>8831</v>
      </c>
      <c r="C526" t="s">
        <v>8838</v>
      </c>
      <c r="D526" t="s">
        <v>8833</v>
      </c>
      <c r="G526" t="str">
        <f t="shared" si="88"/>
        <v>MSSQL: DB '{#DBNAME}': Log backup older than {$MSSQL.BACKUP_LOG.WARN:"{#DBNAME}"}</v>
      </c>
      <c r="H526" t="str">
        <f>INDEX('7.0.17'!G:G,MATCH(G526,'7.0.17'!F:F,0))</f>
        <v>MSSQL: MSSQL DB '{#DBNAME}': 日志备份早于{$MSSQL.BACKUP_LOG.WARN: "{#DBNAME}"}</v>
      </c>
      <c r="I526" t="str">
        <f t="shared" si="87"/>
        <v>MSSQL: MSSQL: MSSQL DB '{#DBNAME}': 日志备份早于{$MSSQL.BACKUP_LOG.WARN: "{#DBNAME}"}</v>
      </c>
    </row>
    <row r="527" spans="1:9">
      <c r="A527" t="s">
        <v>8830</v>
      </c>
      <c r="B527" t="s">
        <v>8831</v>
      </c>
      <c r="C527" t="s">
        <v>8839</v>
      </c>
      <c r="D527" t="s">
        <v>8840</v>
      </c>
      <c r="G527" t="str">
        <f t="shared" si="88"/>
        <v>MSSQL: DB '{#DBNAME}': Total wait time to flush the log is high (over {$MSSQL.LOG_FLUSH_WAIT_TIME.MAX:"{#DBNAME}"}ms for 5m)</v>
      </c>
      <c r="H527" t="str">
        <f>INDEX('7.0.17'!G:G,MATCH(G527,'7.0.17'!F:F,0))</f>
        <v>MSSQL: MSSQL DB '{#DBNAME}': 刷新日志的总等待时间很长(超过{$MSSQL.LOG_FLUSH_WAIT_TIME.MAX: "{#DBNAME}"}毫秒达5分钟)</v>
      </c>
      <c r="I527" t="str">
        <f t="shared" si="87"/>
        <v>MSSQL: MSSQL: MSSQL DB '{#DBNAME}': 刷新日志的总等待时间很长(超过{$MSSQL.LOG_FLUSH_WAIT_TIME.MAX: "{#DBNAME}"}毫秒达5分钟)</v>
      </c>
    </row>
    <row r="528" spans="1:9">
      <c r="A528" t="s">
        <v>8830</v>
      </c>
      <c r="B528" t="s">
        <v>8831</v>
      </c>
      <c r="C528" t="s">
        <v>8841</v>
      </c>
      <c r="D528" t="s">
        <v>8842</v>
      </c>
      <c r="G528" t="str">
        <f t="shared" si="88"/>
        <v>MSSQL: DB '{#DBNAME}': Number of commits waiting for the log flush is high (over {$MSSQL.LOG_FLUSH_WAITS.MAX:"{#DBNAME}"}/sec for 5m)</v>
      </c>
      <c r="H528" t="str">
        <f>INDEX('7.0.17'!G:G,MATCH(G528,'7.0.17'!F:F,0))</f>
        <v>MSSQL: MSSQL DB '{#DBNAME}': 等待日志刷新的提交数很高(超过{$MSSQL.LOG_FLUSH_WAITS.MAX: "{#DBNAME}"}/秒达5分钟)</v>
      </c>
      <c r="I528" t="str">
        <f t="shared" si="87"/>
        <v>MSSQL: MSSQL: MSSQL DB '{#DBNAME}': 等待日志刷新的提交数很高(超过{$MSSQL.LOG_FLUSH_WAITS.MAX: "{#DBNAME}"}/秒达5分钟)</v>
      </c>
    </row>
    <row r="529" spans="1:9">
      <c r="A529" t="s">
        <v>8830</v>
      </c>
      <c r="B529" t="s">
        <v>8831</v>
      </c>
      <c r="C529" t="s">
        <v>8843</v>
      </c>
      <c r="D529" t="s">
        <v>8844</v>
      </c>
      <c r="G529" t="str">
        <f t="shared" si="88"/>
        <v>MSSQL: DB '{#DBNAME}': Percent of log usage is high (over {$MSSQL.PERCENT_LOG_USED.MAX:"{#DBNAME}"}% for 5m)</v>
      </c>
      <c r="H529" t="str">
        <f>INDEX('7.0.17'!G:G,MATCH(G529,'7.0.17'!F:F,0))</f>
        <v>MSSQL: MSSQL DB '{#DBNAME}': 日志使用率过高(超过 {$MSSQL.PERCENT_LOG_USED.MAX: "{#DBNAME}"}%,达5分钟)</v>
      </c>
      <c r="I529" t="str">
        <f t="shared" si="87"/>
        <v>MSSQL: MSSQL: MSSQL DB '{#DBNAME}': 日志使用率过高(超过 {$MSSQL.PERCENT_LOG_USED.MAX: "{#DBNAME}"}%,达5分钟)</v>
      </c>
    </row>
    <row r="530" spans="1:9">
      <c r="A530" t="s">
        <v>8830</v>
      </c>
      <c r="B530" t="s">
        <v>8845</v>
      </c>
      <c r="C530" t="s">
        <v>8846</v>
      </c>
      <c r="D530" t="s">
        <v>8847</v>
      </c>
      <c r="G530" t="str">
        <f t="shared" si="88"/>
        <v>MSSQL: Job '{#JOBNAME}': Job duration is greater than {$MSSQL.BACKUP_DURATION.WARN:"{#JOBNAME}"}</v>
      </c>
      <c r="H530" t="str">
        <f>INDEX('7.0.17'!G:G,MATCH(G530,'7.0.17'!F:F,0))</f>
        <v>MSSQL: MSSQL任务"{#JOBNAME}": 任务持续时间大于{$MSSQL.BACKUP_DURATION.WARN: "{#JOBNAME}"}</v>
      </c>
      <c r="I530" t="str">
        <f t="shared" si="87"/>
        <v>MSSQL: MSSQL: MSSQL任务"{#JOBNAME}": 任务持续时间大于{$MSSQL.BACKUP_DURATION.WARN: "{#JOBNAME}"}</v>
      </c>
    </row>
    <row r="531" spans="1:9">
      <c r="A531" t="s">
        <v>8830</v>
      </c>
      <c r="B531" t="s">
        <v>8831</v>
      </c>
      <c r="C531" t="s">
        <v>8832</v>
      </c>
      <c r="D531" t="s">
        <v>8833</v>
      </c>
      <c r="G531" t="str">
        <f t="shared" si="88"/>
        <v>MSSQL: DB '{#DBNAME}': Diff backup older than {$MSSQL.BACKUP_DIFF.CRIT:"{#DBNAME}"}</v>
      </c>
      <c r="H531" t="str">
        <f>INDEX('7.0.17'!G:G,MATCH(G531,'7.0.17'!F:F,0))</f>
        <v>MSSQL: MSSQL DB '{#DBNAME}': 差异备份早于{$MSSQL.BACKUP_DIFF.CRIT: "{#DBNAME}"}</v>
      </c>
      <c r="I531" t="str">
        <f t="shared" si="87"/>
        <v>MSSQL: MSSQL: MSSQL DB '{#DBNAME}': 差异备份早于{$MSSQL.BACKUP_DIFF.CRIT: "{#DBNAME}"}</v>
      </c>
    </row>
    <row r="532" spans="1:9">
      <c r="A532" t="s">
        <v>8830</v>
      </c>
      <c r="B532" t="s">
        <v>8831</v>
      </c>
      <c r="C532" t="s">
        <v>8834</v>
      </c>
      <c r="D532" t="s">
        <v>8833</v>
      </c>
      <c r="G532" t="str">
        <f t="shared" si="88"/>
        <v>MSSQL: DB '{#DBNAME}': Diff backup older than {$MSSQL.BACKUP_DIFF.WARN:"{#DBNAME}"}</v>
      </c>
      <c r="H532" t="str">
        <f>INDEX('7.0.17'!G:G,MATCH(G532,'7.0.17'!F:F,0))</f>
        <v>MSSQL: MSSQL DB '{#DBNAME}': 差异备份早于{$MSSQL.BACKUP_DIFF.WARN: "{#DBNAME}"}</v>
      </c>
      <c r="I532" t="str">
        <f t="shared" si="87"/>
        <v>MSSQL: MSSQL: MSSQL DB '{#DBNAME}': 差异备份早于{$MSSQL.BACKUP_DIFF.WARN: "{#DBNAME}"}</v>
      </c>
    </row>
    <row r="533" spans="1:9">
      <c r="A533" t="s">
        <v>8830</v>
      </c>
      <c r="B533" t="s">
        <v>8831</v>
      </c>
      <c r="C533" t="s">
        <v>8835</v>
      </c>
      <c r="D533" t="s">
        <v>8833</v>
      </c>
      <c r="G533" t="str">
        <f t="shared" si="88"/>
        <v>MSSQL: DB '{#DBNAME}': Full backup older than {$MSSQL.BACKUP_FULL.CRIT:"{#DBNAME}"}</v>
      </c>
      <c r="H533" t="str">
        <f>INDEX('7.0.17'!G:G,MATCH(G533,'7.0.17'!F:F,0))</f>
        <v>MSSQL: MSSQL DB '{#DBNAME}': 完整备份早于{$MSSQL.BACKUP_FULL.CRIT: "{#DBNAME}"}</v>
      </c>
      <c r="I533" t="str">
        <f t="shared" si="87"/>
        <v>MSSQL: MSSQL: MSSQL DB '{#DBNAME}': 完整备份早于{$MSSQL.BACKUP_FULL.CRIT: "{#DBNAME}"}</v>
      </c>
    </row>
    <row r="534" spans="1:9">
      <c r="A534" t="s">
        <v>8830</v>
      </c>
      <c r="B534" t="s">
        <v>8831</v>
      </c>
      <c r="C534" t="s">
        <v>8836</v>
      </c>
      <c r="D534" t="s">
        <v>8833</v>
      </c>
      <c r="G534" t="str">
        <f t="shared" si="88"/>
        <v>MSSQL: DB '{#DBNAME}': Full backup older than {$MSSQL.BACKUP_FULL.WARN:"{#DBNAME}"}</v>
      </c>
      <c r="H534" t="str">
        <f>INDEX('7.0.17'!G:G,MATCH(G534,'7.0.17'!F:F,0))</f>
        <v>MSSQL: MSSQL DB '{#DBNAME}': 完整备份早于{$MSSQL.BACKUP_FULL.WARN: "{#DBNAME}"}</v>
      </c>
      <c r="I534" t="str">
        <f t="shared" si="87"/>
        <v>MSSQL: MSSQL: MSSQL DB '{#DBNAME}': 完整备份早于{$MSSQL.BACKUP_FULL.WARN: "{#DBNAME}"}</v>
      </c>
    </row>
    <row r="535" spans="1:9">
      <c r="A535" t="s">
        <v>8830</v>
      </c>
      <c r="B535" t="s">
        <v>8831</v>
      </c>
      <c r="C535" t="s">
        <v>8837</v>
      </c>
      <c r="D535" t="s">
        <v>8833</v>
      </c>
      <c r="G535" t="str">
        <f t="shared" si="88"/>
        <v>MSSQL: DB '{#DBNAME}': Log backup older than {$MSSQL.BACKUP_LOG.CRIT:"{#DBNAME}"}</v>
      </c>
      <c r="H535" t="str">
        <f>INDEX('7.0.17'!G:G,MATCH(G535,'7.0.17'!F:F,0))</f>
        <v>MSSQL: MSSQL DB '{#DBNAME}': 日志备份早于{$MSSQL.BACKUP_LOG.CRIT: "{#DBNAME}"}</v>
      </c>
      <c r="I535" t="str">
        <f t="shared" si="87"/>
        <v>MSSQL: MSSQL: MSSQL DB '{#DBNAME}': 日志备份早于{$MSSQL.BACKUP_LOG.CRIT: "{#DBNAME}"}</v>
      </c>
    </row>
    <row r="536" spans="1:9">
      <c r="A536" t="s">
        <v>8830</v>
      </c>
      <c r="B536" t="s">
        <v>8831</v>
      </c>
      <c r="C536" t="s">
        <v>8838</v>
      </c>
      <c r="D536" t="s">
        <v>8833</v>
      </c>
      <c r="G536" t="str">
        <f t="shared" si="88"/>
        <v>MSSQL: DB '{#DBNAME}': Log backup older than {$MSSQL.BACKUP_LOG.WARN:"{#DBNAME}"}</v>
      </c>
      <c r="H536" t="str">
        <f>INDEX('7.0.17'!G:G,MATCH(G536,'7.0.17'!F:F,0))</f>
        <v>MSSQL: MSSQL DB '{#DBNAME}': 日志备份早于{$MSSQL.BACKUP_LOG.WARN: "{#DBNAME}"}</v>
      </c>
      <c r="I536" t="str">
        <f t="shared" si="87"/>
        <v>MSSQL: MSSQL: MSSQL DB '{#DBNAME}': 日志备份早于{$MSSQL.BACKUP_LOG.WARN: "{#DBNAME}"}</v>
      </c>
    </row>
    <row r="537" spans="1:9">
      <c r="A537" t="s">
        <v>8830</v>
      </c>
      <c r="B537" t="s">
        <v>8831</v>
      </c>
      <c r="C537" t="s">
        <v>8839</v>
      </c>
      <c r="D537" t="s">
        <v>8840</v>
      </c>
      <c r="G537" t="str">
        <f t="shared" si="88"/>
        <v>MSSQL: DB '{#DBNAME}': Total wait time to flush the log is high (over {$MSSQL.LOG_FLUSH_WAIT_TIME.MAX:"{#DBNAME}"}ms for 5m)</v>
      </c>
      <c r="H537" t="str">
        <f>INDEX('7.0.17'!G:G,MATCH(G537,'7.0.17'!F:F,0))</f>
        <v>MSSQL: MSSQL DB '{#DBNAME}': 刷新日志的总等待时间很长(超过{$MSSQL.LOG_FLUSH_WAIT_TIME.MAX: "{#DBNAME}"}毫秒达5分钟)</v>
      </c>
      <c r="I537" t="str">
        <f t="shared" si="87"/>
        <v>MSSQL: MSSQL: MSSQL DB '{#DBNAME}': 刷新日志的总等待时间很长(超过{$MSSQL.LOG_FLUSH_WAIT_TIME.MAX: "{#DBNAME}"}毫秒达5分钟)</v>
      </c>
    </row>
    <row r="538" spans="1:9">
      <c r="A538" t="s">
        <v>8830</v>
      </c>
      <c r="B538" t="s">
        <v>8831</v>
      </c>
      <c r="C538" t="s">
        <v>8841</v>
      </c>
      <c r="D538" t="s">
        <v>8842</v>
      </c>
      <c r="G538" t="str">
        <f t="shared" si="88"/>
        <v>MSSQL: DB '{#DBNAME}': Number of commits waiting for the log flush is high (over {$MSSQL.LOG_FLUSH_WAITS.MAX:"{#DBNAME}"}/sec for 5m)</v>
      </c>
      <c r="H538" t="str">
        <f>INDEX('7.0.17'!G:G,MATCH(G538,'7.0.17'!F:F,0))</f>
        <v>MSSQL: MSSQL DB '{#DBNAME}': 等待日志刷新的提交数很高(超过{$MSSQL.LOG_FLUSH_WAITS.MAX: "{#DBNAME}"}/秒达5分钟)</v>
      </c>
      <c r="I538" t="str">
        <f t="shared" si="87"/>
        <v>MSSQL: MSSQL: MSSQL DB '{#DBNAME}': 等待日志刷新的提交数很高(超过{$MSSQL.LOG_FLUSH_WAITS.MAX: "{#DBNAME}"}/秒达5分钟)</v>
      </c>
    </row>
    <row r="539" spans="1:9">
      <c r="A539" t="s">
        <v>8830</v>
      </c>
      <c r="B539" t="s">
        <v>8831</v>
      </c>
      <c r="C539" t="s">
        <v>8843</v>
      </c>
      <c r="D539" t="s">
        <v>8844</v>
      </c>
      <c r="G539" t="str">
        <f t="shared" si="88"/>
        <v>MSSQL: DB '{#DBNAME}': Percent of log usage is high (over {$MSSQL.PERCENT_LOG_USED.MAX:"{#DBNAME}"}% for 5m)</v>
      </c>
      <c r="H539" t="str">
        <f>INDEX('7.0.17'!G:G,MATCH(G539,'7.0.17'!F:F,0))</f>
        <v>MSSQL: MSSQL DB '{#DBNAME}': 日志使用率过高(超过 {$MSSQL.PERCENT_LOG_USED.MAX: "{#DBNAME}"}%,达5分钟)</v>
      </c>
      <c r="I539" t="str">
        <f t="shared" si="87"/>
        <v>MSSQL: MSSQL: MSSQL DB '{#DBNAME}': 日志使用率过高(超过 {$MSSQL.PERCENT_LOG_USED.MAX: "{#DBNAME}"}%,达5分钟)</v>
      </c>
    </row>
    <row r="540" spans="1:9">
      <c r="A540" t="s">
        <v>8830</v>
      </c>
      <c r="B540" t="s">
        <v>8845</v>
      </c>
      <c r="C540" t="s">
        <v>8846</v>
      </c>
      <c r="D540" t="s">
        <v>8847</v>
      </c>
      <c r="G540" t="str">
        <f t="shared" si="88"/>
        <v>MSSQL: Job '{#JOBNAME}': Job duration is greater than {$MSSQL.BACKUP_DURATION.WARN:"{#JOBNAME}"}</v>
      </c>
      <c r="H540" t="str">
        <f>INDEX('7.0.17'!G:G,MATCH(G540,'7.0.17'!F:F,0))</f>
        <v>MSSQL: MSSQL任务"{#JOBNAME}": 任务持续时间大于{$MSSQL.BACKUP_DURATION.WARN: "{#JOBNAME}"}</v>
      </c>
      <c r="I540" t="str">
        <f t="shared" si="87"/>
        <v>MSSQL: MSSQL: MSSQL任务"{#JOBNAME}": 任务持续时间大于{$MSSQL.BACKUP_DURATION.WARN: "{#JOBNAME}"}</v>
      </c>
    </row>
    <row r="541" spans="1:9">
      <c r="A541" t="s">
        <v>8848</v>
      </c>
      <c r="B541" t="s">
        <v>8433</v>
      </c>
      <c r="C541" t="s">
        <v>8434</v>
      </c>
      <c r="D541" t="s">
        <v>8435</v>
      </c>
      <c r="G541" t="str">
        <f>B541&amp;":"&amp;C541&amp;":"&amp;D541</f>
        <v>Interface {#IFNAME}({#IFALIAS}): High error rate (&gt;{$IF.ERRORS.WARN:{#IFNAME}} for 5m)</v>
      </c>
      <c r="H541" t="e">
        <f>INDEX('7.0.17'!G:G,MATCH(G541,'7.0.17'!F:F,0))</f>
        <v>#N/A</v>
      </c>
      <c r="I541" t="e">
        <f t="shared" si="87"/>
        <v>#N/A</v>
      </c>
    </row>
    <row r="542" spans="1:9">
      <c r="A542" t="s">
        <v>8848</v>
      </c>
      <c r="B542" t="s">
        <v>8433</v>
      </c>
      <c r="C542" t="s">
        <v>8436</v>
      </c>
      <c r="D542" t="s">
        <v>8437</v>
      </c>
      <c r="G542" t="str">
        <f>B542&amp;":"&amp;C542&amp;":"&amp;D542</f>
        <v>Interface {#IFNAME}({#IFALIAS}): High bandwidth usage (&gt;{$IF.UTIL.MAX:{#IFNAME}}%)</v>
      </c>
      <c r="H542" t="e">
        <f>INDEX('7.0.17'!G:G,MATCH(G542,'7.0.17'!F:F,0))</f>
        <v>#N/A</v>
      </c>
      <c r="I542" t="e">
        <f t="shared" si="87"/>
        <v>#N/A</v>
      </c>
    </row>
    <row r="543" spans="1:9">
      <c r="A543" t="s">
        <v>8848</v>
      </c>
      <c r="B543" t="s">
        <v>8498</v>
      </c>
      <c r="C543" t="s">
        <v>8442</v>
      </c>
      <c r="D543" t="s">
        <v>8593</v>
      </c>
      <c r="E543" t="s">
        <v>8528</v>
      </c>
      <c r="G543" t="str">
        <f t="shared" ref="G543:G545" si="89">B543&amp;":"&amp;C543&amp;":"&amp;D543&amp;":"&amp;E543</f>
        <v>{#SENSOR_INFO}: Temperature is above warning threshold: &gt;{$TEMP.MAX.WARN:"{#SENSOR_INFO}"}</v>
      </c>
      <c r="H543" t="e">
        <f>INDEX('7.0.17'!G:G,MATCH(G543,'7.0.17'!F:F,0))</f>
        <v>#N/A</v>
      </c>
      <c r="I543" t="e">
        <f t="shared" si="87"/>
        <v>#N/A</v>
      </c>
    </row>
    <row r="544" spans="1:9">
      <c r="A544" t="s">
        <v>8848</v>
      </c>
      <c r="B544" t="s">
        <v>8498</v>
      </c>
      <c r="C544" t="s">
        <v>8439</v>
      </c>
      <c r="D544" t="s">
        <v>8591</v>
      </c>
      <c r="E544" t="s">
        <v>8528</v>
      </c>
      <c r="G544" t="str">
        <f t="shared" si="89"/>
        <v>{#SENSOR_INFO}: Temperature is above critical threshold: &gt;{$TEMP.MAX.CRIT:"{#SENSOR_INFO}"}</v>
      </c>
      <c r="H544" t="e">
        <f>INDEX('7.0.17'!G:G,MATCH(G544,'7.0.17'!F:F,0))</f>
        <v>#N/A</v>
      </c>
      <c r="I544" t="e">
        <f t="shared" si="87"/>
        <v>#N/A</v>
      </c>
    </row>
    <row r="545" spans="1:9">
      <c r="A545" t="s">
        <v>8848</v>
      </c>
      <c r="B545" t="s">
        <v>8498</v>
      </c>
      <c r="C545" t="s">
        <v>8444</v>
      </c>
      <c r="D545" t="s">
        <v>8849</v>
      </c>
      <c r="E545" t="s">
        <v>8528</v>
      </c>
      <c r="G545" t="str">
        <f t="shared" si="89"/>
        <v>{#SENSOR_INFO}: Temperature is too low: &lt;{$TEMP.MIN.CRIT:"{#SENSOR_INFO}"}</v>
      </c>
      <c r="H545" t="e">
        <f>INDEX('7.0.17'!G:G,MATCH(G545,'7.0.17'!F:F,0))</f>
        <v>#N/A</v>
      </c>
      <c r="I545" t="e">
        <f t="shared" si="87"/>
        <v>#N/A</v>
      </c>
    </row>
    <row r="546" spans="1:9">
      <c r="A546" t="s">
        <v>8848</v>
      </c>
      <c r="B546" t="s">
        <v>8446</v>
      </c>
      <c r="C546" t="s">
        <v>8447</v>
      </c>
      <c r="G546" t="str">
        <f t="shared" ref="G546:G569" si="90">B546&amp;":"&amp;C546</f>
        <v>{#ENT_NAME}: Device has been replaced (new serial number received)</v>
      </c>
      <c r="H546" t="e">
        <f>INDEX('7.0.17'!G:G,MATCH(G546,'7.0.17'!F:F,0))</f>
        <v>#N/A</v>
      </c>
      <c r="I546" t="e">
        <f t="shared" si="87"/>
        <v>#N/A</v>
      </c>
    </row>
    <row r="547" spans="1:9">
      <c r="A547" t="s">
        <v>8848</v>
      </c>
      <c r="B547" t="s">
        <v>8511</v>
      </c>
      <c r="C547" t="s">
        <v>8512</v>
      </c>
      <c r="D547" t="s">
        <v>8384</v>
      </c>
      <c r="G547" t="str">
        <f>B547&amp;":"&amp;C547&amp;":"&amp;D547</f>
        <v>{#FSNAME}: Disk space is critically low (used &gt; {$VFS.FS.PUSED.MAX.CRIT:{#FSNAME}}%)</v>
      </c>
      <c r="H547" t="e">
        <f>INDEX('7.0.17'!G:G,MATCH(G547,'7.0.17'!F:F,0))</f>
        <v>#N/A</v>
      </c>
      <c r="I547" t="e">
        <f t="shared" si="87"/>
        <v>#N/A</v>
      </c>
    </row>
    <row r="548" spans="1:9">
      <c r="A548" t="s">
        <v>8848</v>
      </c>
      <c r="B548" t="s">
        <v>8511</v>
      </c>
      <c r="C548" t="s">
        <v>8513</v>
      </c>
      <c r="D548" t="s">
        <v>8384</v>
      </c>
      <c r="G548" t="str">
        <f>B548&amp;":"&amp;C548&amp;":"&amp;D548</f>
        <v>{#FSNAME}: Disk space is low (used &gt; {$VFS.FS.PUSED.MAX.WARN:{#FSNAME}}%)</v>
      </c>
      <c r="H548" t="e">
        <f>INDEX('7.0.17'!G:G,MATCH(G548,'7.0.17'!F:F,0))</f>
        <v>#N/A</v>
      </c>
      <c r="I548" t="e">
        <f t="shared" si="87"/>
        <v>#N/A</v>
      </c>
    </row>
    <row r="549" spans="1:9">
      <c r="A549" t="s">
        <v>8848</v>
      </c>
      <c r="B549" t="s">
        <v>8514</v>
      </c>
      <c r="C549" t="s">
        <v>8515</v>
      </c>
      <c r="G549" t="str">
        <f t="shared" si="90"/>
        <v>{#MEMNAME}: High memory utilization (&gt;{$MEMORY.UTIL.MAX}% for 5m)</v>
      </c>
      <c r="H549" t="e">
        <f>INDEX('7.0.17'!G:G,MATCH(G549,'7.0.17'!F:F,0))</f>
        <v>#N/A</v>
      </c>
      <c r="I549" t="e">
        <f t="shared" si="87"/>
        <v>#N/A</v>
      </c>
    </row>
    <row r="550" spans="1:9">
      <c r="A550" t="s">
        <v>8850</v>
      </c>
      <c r="B550" t="s">
        <v>8851</v>
      </c>
      <c r="C550" t="s">
        <v>8852</v>
      </c>
      <c r="G550" t="str">
        <f t="shared" si="90"/>
        <v>Domain Controller [{#INSTANCE}]: LDAP read time is too high (&gt;{$MS.EXCHANGE.LDAP.WARN}s for {$MS.EXCHANGE.LDAP.TIME})</v>
      </c>
      <c r="H550" t="e">
        <f>INDEX('7.0.17'!G:G,MATCH(G550,'7.0.17'!F:F,0))</f>
        <v>#N/A</v>
      </c>
      <c r="I550" t="e">
        <f t="shared" si="87"/>
        <v>#N/A</v>
      </c>
    </row>
    <row r="551" spans="1:9">
      <c r="A551" t="s">
        <v>8850</v>
      </c>
      <c r="B551" t="s">
        <v>8851</v>
      </c>
      <c r="C551" t="s">
        <v>8853</v>
      </c>
      <c r="G551" t="str">
        <f t="shared" si="90"/>
        <v>Domain Controller [{#INSTANCE}]: LDAP search time is too high (&gt;{$MS.EXCHANGE.LDAP.WARN}s for {$MS.EXCHANGE.LDAP.TIME})</v>
      </c>
      <c r="H551" t="e">
        <f>INDEX('7.0.17'!G:G,MATCH(G551,'7.0.17'!F:F,0))</f>
        <v>#N/A</v>
      </c>
      <c r="I551" t="e">
        <f t="shared" si="87"/>
        <v>#N/A</v>
      </c>
    </row>
    <row r="552" spans="1:9">
      <c r="A552" t="s">
        <v>8850</v>
      </c>
      <c r="B552" t="s">
        <v>8854</v>
      </c>
      <c r="C552" t="s">
        <v>8855</v>
      </c>
      <c r="G552" t="str">
        <f t="shared" si="90"/>
        <v>Database Counters [{#INSTANCE}]: Average read time latency is too high (&gt;{$MS.EXCHANGE.DB.ACTIVE.READ.WARN}s for {$MS.EXCHANGE.DB.ACTIVE.READ.TIME})</v>
      </c>
      <c r="H552" t="e">
        <f>INDEX('7.0.17'!G:G,MATCH(G552,'7.0.17'!F:F,0))</f>
        <v>#N/A</v>
      </c>
      <c r="I552" t="e">
        <f t="shared" si="87"/>
        <v>#N/A</v>
      </c>
    </row>
    <row r="553" spans="1:9">
      <c r="A553" t="s">
        <v>8850</v>
      </c>
      <c r="B553" t="s">
        <v>8854</v>
      </c>
      <c r="C553" t="s">
        <v>8856</v>
      </c>
      <c r="G553" t="str">
        <f t="shared" si="90"/>
        <v>Database Counters [{#INSTANCE}]: Average read time latency is too high (&gt;{$MS.EXCHANGE.DB.PASSIVE.READ.WARN}s for {$MS.EXCHANGE.DB.PASSIVE.READ.TIME})</v>
      </c>
      <c r="H553" t="e">
        <f>INDEX('7.0.17'!G:G,MATCH(G553,'7.0.17'!F:F,0))</f>
        <v>#N/A</v>
      </c>
      <c r="I553" t="e">
        <f t="shared" si="87"/>
        <v>#N/A</v>
      </c>
    </row>
    <row r="554" spans="1:9">
      <c r="A554" t="s">
        <v>8850</v>
      </c>
      <c r="B554" t="s">
        <v>8857</v>
      </c>
      <c r="C554" t="s">
        <v>8858</v>
      </c>
      <c r="G554" t="str">
        <f t="shared" si="90"/>
        <v>Information Store [{#INSTANCE}]: Page faults is too high (&gt;{$MS.EXCHANGE.DB.FAULTS.WARN} for {$MS.EXCHANGE.DB.FAULTS.TIME})</v>
      </c>
      <c r="H554" t="e">
        <f>INDEX('7.0.17'!G:G,MATCH(G554,'7.0.17'!F:F,0))</f>
        <v>#N/A</v>
      </c>
      <c r="I554" t="e">
        <f t="shared" si="87"/>
        <v>#N/A</v>
      </c>
    </row>
    <row r="555" spans="1:9">
      <c r="A555" t="s">
        <v>8850</v>
      </c>
      <c r="B555" t="s">
        <v>8857</v>
      </c>
      <c r="C555" t="s">
        <v>8859</v>
      </c>
      <c r="G555" t="str">
        <f t="shared" si="90"/>
        <v>Information Store [{#INSTANCE}]: Log records stalls is too high (&gt;{$MS.EXCHANGE.LOG.STALLS.WARN} for {$MS.EXCHANGE.LOG.STALLS.TIME})</v>
      </c>
      <c r="H555" t="e">
        <f>INDEX('7.0.17'!G:G,MATCH(G555,'7.0.17'!F:F,0))</f>
        <v>#N/A</v>
      </c>
      <c r="I555" t="e">
        <f t="shared" si="87"/>
        <v>#N/A</v>
      </c>
    </row>
    <row r="556" spans="1:9">
      <c r="A556" t="s">
        <v>8850</v>
      </c>
      <c r="B556" t="s">
        <v>8857</v>
      </c>
      <c r="C556" t="s">
        <v>8860</v>
      </c>
      <c r="G556" t="str">
        <f t="shared" si="90"/>
        <v>Information Store [{#INSTANCE}]: RPC Requests latency is too high (&gt;{$MS.EXCHANGE.RPC.WARN}s for {$MS.EXCHANGE.RPC.TIME})</v>
      </c>
      <c r="H556" t="e">
        <f>INDEX('7.0.17'!G:G,MATCH(G556,'7.0.17'!F:F,0))</f>
        <v>#N/A</v>
      </c>
      <c r="I556" t="e">
        <f t="shared" si="87"/>
        <v>#N/A</v>
      </c>
    </row>
    <row r="557" spans="1:9">
      <c r="A557" t="s">
        <v>8850</v>
      </c>
      <c r="B557" t="s">
        <v>8857</v>
      </c>
      <c r="C557" t="s">
        <v>8861</v>
      </c>
      <c r="G557" t="str">
        <f t="shared" si="90"/>
        <v>Information Store [{#INSTANCE}]: RPC Requests total count is too high (&gt;{$MS.EXCHANGE.RPC.COUNT.WARN} for {$MS.EXCHANGE.RPC.COUNT.TIME})</v>
      </c>
      <c r="H557" t="e">
        <f>INDEX('7.0.17'!G:G,MATCH(G557,'7.0.17'!F:F,0))</f>
        <v>#N/A</v>
      </c>
      <c r="I557" t="e">
        <f t="shared" si="87"/>
        <v>#N/A</v>
      </c>
    </row>
    <row r="558" spans="1:9">
      <c r="A558" t="s">
        <v>8850</v>
      </c>
      <c r="B558" t="s">
        <v>8851</v>
      </c>
      <c r="C558" t="s">
        <v>8852</v>
      </c>
      <c r="G558" t="str">
        <f t="shared" si="90"/>
        <v>Domain Controller [{#INSTANCE}]: LDAP read time is too high (&gt;{$MS.EXCHANGE.LDAP.WARN}s for {$MS.EXCHANGE.LDAP.TIME})</v>
      </c>
      <c r="H558" t="e">
        <f>INDEX('7.0.17'!G:G,MATCH(G558,'7.0.17'!F:F,0))</f>
        <v>#N/A</v>
      </c>
      <c r="I558" t="e">
        <f t="shared" si="87"/>
        <v>#N/A</v>
      </c>
    </row>
    <row r="559" spans="1:9">
      <c r="A559" t="s">
        <v>8850</v>
      </c>
      <c r="B559" t="s">
        <v>8851</v>
      </c>
      <c r="C559" t="s">
        <v>8853</v>
      </c>
      <c r="G559" t="str">
        <f t="shared" si="90"/>
        <v>Domain Controller [{#INSTANCE}]: LDAP search time is too high (&gt;{$MS.EXCHANGE.LDAP.WARN}s for {$MS.EXCHANGE.LDAP.TIME})</v>
      </c>
      <c r="H559" t="e">
        <f>INDEX('7.0.17'!G:G,MATCH(G559,'7.0.17'!F:F,0))</f>
        <v>#N/A</v>
      </c>
      <c r="I559" t="e">
        <f t="shared" si="87"/>
        <v>#N/A</v>
      </c>
    </row>
    <row r="560" spans="1:9">
      <c r="A560" t="s">
        <v>8850</v>
      </c>
      <c r="B560" t="s">
        <v>8854</v>
      </c>
      <c r="C560" t="s">
        <v>8855</v>
      </c>
      <c r="G560" t="str">
        <f t="shared" si="90"/>
        <v>Database Counters [{#INSTANCE}]: Average read time latency is too high (&gt;{$MS.EXCHANGE.DB.ACTIVE.READ.WARN}s for {$MS.EXCHANGE.DB.ACTIVE.READ.TIME})</v>
      </c>
      <c r="H560" t="e">
        <f>INDEX('7.0.17'!G:G,MATCH(G560,'7.0.17'!F:F,0))</f>
        <v>#N/A</v>
      </c>
      <c r="I560" t="e">
        <f t="shared" si="87"/>
        <v>#N/A</v>
      </c>
    </row>
    <row r="561" spans="1:9">
      <c r="A561" t="s">
        <v>8850</v>
      </c>
      <c r="B561" t="s">
        <v>8854</v>
      </c>
      <c r="C561" t="s">
        <v>8856</v>
      </c>
      <c r="G561" t="str">
        <f t="shared" si="90"/>
        <v>Database Counters [{#INSTANCE}]: Average read time latency is too high (&gt;{$MS.EXCHANGE.DB.PASSIVE.READ.WARN}s for {$MS.EXCHANGE.DB.PASSIVE.READ.TIME})</v>
      </c>
      <c r="H561" t="e">
        <f>INDEX('7.0.17'!G:G,MATCH(G561,'7.0.17'!F:F,0))</f>
        <v>#N/A</v>
      </c>
      <c r="I561" t="e">
        <f t="shared" si="87"/>
        <v>#N/A</v>
      </c>
    </row>
    <row r="562" spans="1:9">
      <c r="A562" t="s">
        <v>8850</v>
      </c>
      <c r="B562" t="s">
        <v>8857</v>
      </c>
      <c r="C562" t="s">
        <v>8858</v>
      </c>
      <c r="G562" t="str">
        <f t="shared" si="90"/>
        <v>Information Store [{#INSTANCE}]: Page faults is too high (&gt;{$MS.EXCHANGE.DB.FAULTS.WARN} for {$MS.EXCHANGE.DB.FAULTS.TIME})</v>
      </c>
      <c r="H562" t="e">
        <f>INDEX('7.0.17'!G:G,MATCH(G562,'7.0.17'!F:F,0))</f>
        <v>#N/A</v>
      </c>
      <c r="I562" t="e">
        <f t="shared" si="87"/>
        <v>#N/A</v>
      </c>
    </row>
    <row r="563" spans="1:9">
      <c r="A563" t="s">
        <v>8850</v>
      </c>
      <c r="B563" t="s">
        <v>8857</v>
      </c>
      <c r="C563" t="s">
        <v>8859</v>
      </c>
      <c r="G563" t="str">
        <f t="shared" si="90"/>
        <v>Information Store [{#INSTANCE}]: Log records stalls is too high (&gt;{$MS.EXCHANGE.LOG.STALLS.WARN} for {$MS.EXCHANGE.LOG.STALLS.TIME})</v>
      </c>
      <c r="H563" t="e">
        <f>INDEX('7.0.17'!G:G,MATCH(G563,'7.0.17'!F:F,0))</f>
        <v>#N/A</v>
      </c>
      <c r="I563" t="e">
        <f t="shared" si="87"/>
        <v>#N/A</v>
      </c>
    </row>
    <row r="564" spans="1:9">
      <c r="A564" t="s">
        <v>8850</v>
      </c>
      <c r="B564" t="s">
        <v>8857</v>
      </c>
      <c r="C564" t="s">
        <v>8860</v>
      </c>
      <c r="G564" t="str">
        <f t="shared" si="90"/>
        <v>Information Store [{#INSTANCE}]: RPC Requests latency is too high (&gt;{$MS.EXCHANGE.RPC.WARN}s for {$MS.EXCHANGE.RPC.TIME})</v>
      </c>
      <c r="H564" t="e">
        <f>INDEX('7.0.17'!G:G,MATCH(G564,'7.0.17'!F:F,0))</f>
        <v>#N/A</v>
      </c>
      <c r="I564" t="e">
        <f t="shared" si="87"/>
        <v>#N/A</v>
      </c>
    </row>
    <row r="565" spans="1:9">
      <c r="A565" t="s">
        <v>8850</v>
      </c>
      <c r="B565" t="s">
        <v>8857</v>
      </c>
      <c r="C565" t="s">
        <v>8861</v>
      </c>
      <c r="G565" t="str">
        <f t="shared" si="90"/>
        <v>Information Store [{#INSTANCE}]: RPC Requests total count is too high (&gt;{$MS.EXCHANGE.RPC.COUNT.WARN} for {$MS.EXCHANGE.RPC.COUNT.TIME})</v>
      </c>
      <c r="H565" t="e">
        <f>INDEX('7.0.17'!G:G,MATCH(G565,'7.0.17'!F:F,0))</f>
        <v>#N/A</v>
      </c>
      <c r="I565" t="e">
        <f t="shared" si="87"/>
        <v>#N/A</v>
      </c>
    </row>
    <row r="566" spans="1:9">
      <c r="A566" t="s">
        <v>8862</v>
      </c>
      <c r="B566" t="s">
        <v>8433</v>
      </c>
      <c r="C566" t="s">
        <v>8863</v>
      </c>
      <c r="G566" t="str">
        <f t="shared" si="90"/>
        <v>Interface {#IFNAME}({#IFALIAS}): LTE modem RSRP is low (below {$LTEMODEM.RSRP.MIN.WARN}dbm for 5m)</v>
      </c>
      <c r="H566" t="e">
        <f>INDEX('7.0.17'!G:G,MATCH(G566,'7.0.17'!F:F,0))</f>
        <v>#N/A</v>
      </c>
      <c r="I566" t="e">
        <f t="shared" si="87"/>
        <v>#N/A</v>
      </c>
    </row>
    <row r="567" spans="1:9">
      <c r="A567" t="s">
        <v>8862</v>
      </c>
      <c r="B567" t="s">
        <v>8433</v>
      </c>
      <c r="C567" t="s">
        <v>8864</v>
      </c>
      <c r="G567" t="str">
        <f t="shared" si="90"/>
        <v>Interface {#IFNAME}({#IFALIAS}): LTE modem RSRQ is low (below {$LTEMODEM.RSRQ.MIN.WARN}db for 5m)</v>
      </c>
      <c r="H567" t="e">
        <f>INDEX('7.0.17'!G:G,MATCH(G567,'7.0.17'!F:F,0))</f>
        <v>#N/A</v>
      </c>
      <c r="I567" t="e">
        <f t="shared" si="87"/>
        <v>#N/A</v>
      </c>
    </row>
    <row r="568" spans="1:9">
      <c r="A568" t="s">
        <v>8862</v>
      </c>
      <c r="B568" t="s">
        <v>8433</v>
      </c>
      <c r="C568" t="s">
        <v>8865</v>
      </c>
      <c r="G568" t="str">
        <f t="shared" si="90"/>
        <v>Interface {#IFNAME}({#IFALIAS}): LTE modem RSSI is low (below {$LTEMODEM.RSSI.MIN.WARN}dbm for 5m)</v>
      </c>
      <c r="H568" t="e">
        <f>INDEX('7.0.17'!G:G,MATCH(G568,'7.0.17'!F:F,0))</f>
        <v>#N/A</v>
      </c>
      <c r="I568" t="e">
        <f t="shared" si="87"/>
        <v>#N/A</v>
      </c>
    </row>
    <row r="569" spans="1:9">
      <c r="A569" t="s">
        <v>8862</v>
      </c>
      <c r="B569" t="s">
        <v>8433</v>
      </c>
      <c r="C569" t="s">
        <v>8866</v>
      </c>
      <c r="G569" t="str">
        <f t="shared" si="90"/>
        <v>Interface {#IFNAME}({#IFALIAS}): LTE modem SINR is low (below {$LTEMODEM.SINR.MIN.WARN}db for 5m)</v>
      </c>
      <c r="H569" t="e">
        <f>INDEX('7.0.17'!G:G,MATCH(G569,'7.0.17'!F:F,0))</f>
        <v>#N/A</v>
      </c>
      <c r="I569" t="e">
        <f t="shared" si="87"/>
        <v>#N/A</v>
      </c>
    </row>
    <row r="570" spans="1:9">
      <c r="A570" t="s">
        <v>8862</v>
      </c>
      <c r="B570" t="s">
        <v>8433</v>
      </c>
      <c r="C570" t="s">
        <v>8434</v>
      </c>
      <c r="D570" t="s">
        <v>8435</v>
      </c>
      <c r="G570" t="str">
        <f>B570&amp;":"&amp;C570&amp;":"&amp;D570</f>
        <v>Interface {#IFNAME}({#IFALIAS}): High error rate (&gt;{$IF.ERRORS.WARN:{#IFNAME}} for 5m)</v>
      </c>
      <c r="H570" t="e">
        <f>INDEX('7.0.17'!G:G,MATCH(G570,'7.0.17'!F:F,0))</f>
        <v>#N/A</v>
      </c>
      <c r="I570" t="e">
        <f t="shared" si="87"/>
        <v>#N/A</v>
      </c>
    </row>
    <row r="571" spans="1:9">
      <c r="A571" t="s">
        <v>8862</v>
      </c>
      <c r="B571" t="s">
        <v>8433</v>
      </c>
      <c r="C571" t="s">
        <v>8436</v>
      </c>
      <c r="D571" t="s">
        <v>8437</v>
      </c>
      <c r="G571" t="str">
        <f>B571&amp;":"&amp;C571&amp;":"&amp;D571</f>
        <v>Interface {#IFNAME}({#IFALIAS}): High bandwidth usage (&gt;{$IF.UTIL.MAX:{#IFNAME}}%)</v>
      </c>
      <c r="H571" t="e">
        <f>INDEX('7.0.17'!G:G,MATCH(G571,'7.0.17'!F:F,0))</f>
        <v>#N/A</v>
      </c>
      <c r="I571" t="e">
        <f t="shared" si="87"/>
        <v>#N/A</v>
      </c>
    </row>
    <row r="572" spans="1:9">
      <c r="A572" t="s">
        <v>8862</v>
      </c>
      <c r="B572" t="s">
        <v>8737</v>
      </c>
      <c r="C572" t="s">
        <v>8439</v>
      </c>
      <c r="D572" t="s">
        <v>8440</v>
      </c>
      <c r="E572" t="s">
        <v>8598</v>
      </c>
      <c r="G572" t="str">
        <f t="shared" ref="G572:G577" si="91">B572&amp;":"&amp;C572&amp;":"&amp;D572&amp;":"&amp;E572</f>
        <v>CPU: Temperature is above critical threshold: &gt;{$TEMP_CRIT:"CPU"}</v>
      </c>
      <c r="H572" t="e">
        <f>INDEX('7.0.17'!G:G,MATCH(G572,'7.0.17'!F:F,0))</f>
        <v>#N/A</v>
      </c>
      <c r="I572" t="e">
        <f t="shared" si="87"/>
        <v>#N/A</v>
      </c>
    </row>
    <row r="573" spans="1:9">
      <c r="A573" t="s">
        <v>8862</v>
      </c>
      <c r="B573" t="s">
        <v>8737</v>
      </c>
      <c r="C573" t="s">
        <v>8442</v>
      </c>
      <c r="D573" t="s">
        <v>8443</v>
      </c>
      <c r="E573" t="s">
        <v>8598</v>
      </c>
      <c r="G573" t="str">
        <f t="shared" si="91"/>
        <v>CPU: Temperature is above warning threshold: &gt;{$TEMP_WARN:"CPU"}</v>
      </c>
      <c r="H573" t="e">
        <f>INDEX('7.0.17'!G:G,MATCH(G573,'7.0.17'!F:F,0))</f>
        <v>#N/A</v>
      </c>
      <c r="I573" t="e">
        <f t="shared" si="87"/>
        <v>#N/A</v>
      </c>
    </row>
    <row r="574" spans="1:9">
      <c r="A574" t="s">
        <v>8862</v>
      </c>
      <c r="B574" t="s">
        <v>8737</v>
      </c>
      <c r="C574" t="s">
        <v>8444</v>
      </c>
      <c r="D574" t="s">
        <v>8445</v>
      </c>
      <c r="E574" t="s">
        <v>8598</v>
      </c>
      <c r="G574" t="str">
        <f t="shared" si="91"/>
        <v>CPU: Temperature is too low: &lt;{$TEMP_CRIT_LOW:"CPU"}</v>
      </c>
      <c r="H574" t="e">
        <f>INDEX('7.0.17'!G:G,MATCH(G574,'7.0.17'!F:F,0))</f>
        <v>#N/A</v>
      </c>
      <c r="I574" t="e">
        <f t="shared" si="87"/>
        <v>#N/A</v>
      </c>
    </row>
    <row r="575" spans="1:9">
      <c r="A575" t="s">
        <v>8862</v>
      </c>
      <c r="B575" t="s">
        <v>8867</v>
      </c>
      <c r="C575" t="s">
        <v>8439</v>
      </c>
      <c r="D575" t="s">
        <v>8440</v>
      </c>
      <c r="E575" t="s">
        <v>8868</v>
      </c>
      <c r="G575" t="str">
        <f t="shared" si="91"/>
        <v>Device: Temperature is above critical threshold: &gt;{$TEMP_CRIT:Device}</v>
      </c>
      <c r="H575" t="e">
        <f>INDEX('7.0.17'!G:G,MATCH(G575,'7.0.17'!F:F,0))</f>
        <v>#N/A</v>
      </c>
      <c r="I575" t="e">
        <f t="shared" si="87"/>
        <v>#N/A</v>
      </c>
    </row>
    <row r="576" spans="1:9">
      <c r="A576" t="s">
        <v>8862</v>
      </c>
      <c r="B576" t="s">
        <v>8867</v>
      </c>
      <c r="C576" t="s">
        <v>8442</v>
      </c>
      <c r="D576" t="s">
        <v>8443</v>
      </c>
      <c r="E576" t="s">
        <v>8868</v>
      </c>
      <c r="G576" t="str">
        <f t="shared" si="91"/>
        <v>Device: Temperature is above warning threshold: &gt;{$TEMP_WARN:Device}</v>
      </c>
      <c r="H576" t="e">
        <f>INDEX('7.0.17'!G:G,MATCH(G576,'7.0.17'!F:F,0))</f>
        <v>#N/A</v>
      </c>
      <c r="I576" t="e">
        <f t="shared" si="87"/>
        <v>#N/A</v>
      </c>
    </row>
    <row r="577" spans="1:9">
      <c r="A577" t="s">
        <v>8862</v>
      </c>
      <c r="B577" t="s">
        <v>8867</v>
      </c>
      <c r="C577" t="s">
        <v>8444</v>
      </c>
      <c r="D577" t="s">
        <v>8445</v>
      </c>
      <c r="E577" t="s">
        <v>8868</v>
      </c>
      <c r="G577" t="str">
        <f t="shared" si="91"/>
        <v>Device: Temperature is too low: &lt;{$TEMP_CRIT_LOW:Device}</v>
      </c>
      <c r="H577" t="e">
        <f>INDEX('7.0.17'!G:G,MATCH(G577,'7.0.17'!F:F,0))</f>
        <v>#N/A</v>
      </c>
      <c r="I577" t="e">
        <f t="shared" si="87"/>
        <v>#N/A</v>
      </c>
    </row>
    <row r="578" spans="1:9">
      <c r="A578" t="s">
        <v>8862</v>
      </c>
      <c r="B578" t="s">
        <v>8564</v>
      </c>
      <c r="C578" t="s">
        <v>8565</v>
      </c>
      <c r="G578" t="str">
        <f t="shared" ref="G578:G584" si="92">B578&amp;":"&amp;C578</f>
        <v>#{#SNMPINDEX}: High CPU utilization (over {$CPU.UTIL.CRIT}% for 5m)</v>
      </c>
      <c r="H578" t="e">
        <f>INDEX('7.0.17'!G:G,MATCH(G578,'7.0.17'!F:F,0))</f>
        <v>#N/A</v>
      </c>
      <c r="I578" t="e">
        <f t="shared" si="87"/>
        <v>#N/A</v>
      </c>
    </row>
    <row r="579" spans="1:9">
      <c r="A579" t="s">
        <v>8862</v>
      </c>
      <c r="B579" t="s">
        <v>8869</v>
      </c>
      <c r="C579" t="s">
        <v>8512</v>
      </c>
      <c r="D579" t="s">
        <v>8870</v>
      </c>
      <c r="G579" t="str">
        <f>B579&amp;":"&amp;C579&amp;":"&amp;D579</f>
        <v>Disk-{#SNMPINDEX}: Disk space is critically low (used &gt; {$VFS.FS.PUSED.MAX.CRIT:Disk-"{#SNMPINDEX}"}%)</v>
      </c>
      <c r="H579" t="e">
        <f>INDEX('7.0.17'!G:G,MATCH(G579,'7.0.17'!F:F,0))</f>
        <v>#N/A</v>
      </c>
      <c r="I579" t="e">
        <f t="shared" ref="I579:I642" si="93">A579&amp;": "&amp;H579</f>
        <v>#N/A</v>
      </c>
    </row>
    <row r="580" spans="1:9">
      <c r="A580" t="s">
        <v>8862</v>
      </c>
      <c r="B580" t="s">
        <v>8869</v>
      </c>
      <c r="C580" t="s">
        <v>8513</v>
      </c>
      <c r="D580" t="s">
        <v>8870</v>
      </c>
      <c r="G580" t="str">
        <f>B580&amp;":"&amp;C580&amp;":"&amp;D580</f>
        <v>Disk-{#SNMPINDEX}: Disk space is low (used &gt; {$VFS.FS.PUSED.MAX.WARN:Disk-"{#SNMPINDEX}"}%)</v>
      </c>
      <c r="H580" t="e">
        <f>INDEX('7.0.17'!G:G,MATCH(G580,'7.0.17'!F:F,0))</f>
        <v>#N/A</v>
      </c>
      <c r="I580" t="e">
        <f t="shared" si="93"/>
        <v>#N/A</v>
      </c>
    </row>
    <row r="581" spans="1:9">
      <c r="A581" t="s">
        <v>8862</v>
      </c>
      <c r="B581" t="s">
        <v>8433</v>
      </c>
      <c r="C581" t="s">
        <v>8863</v>
      </c>
      <c r="G581" t="str">
        <f t="shared" si="92"/>
        <v>Interface {#IFNAME}({#IFALIAS}): LTE modem RSRP is low (below {$LTEMODEM.RSRP.MIN.WARN}dbm for 5m)</v>
      </c>
      <c r="H581" t="e">
        <f>INDEX('7.0.17'!G:G,MATCH(G581,'7.0.17'!F:F,0))</f>
        <v>#N/A</v>
      </c>
      <c r="I581" t="e">
        <f t="shared" si="93"/>
        <v>#N/A</v>
      </c>
    </row>
    <row r="582" spans="1:9">
      <c r="A582" t="s">
        <v>8862</v>
      </c>
      <c r="B582" t="s">
        <v>8433</v>
      </c>
      <c r="C582" t="s">
        <v>8864</v>
      </c>
      <c r="G582" t="str">
        <f t="shared" si="92"/>
        <v>Interface {#IFNAME}({#IFALIAS}): LTE modem RSRQ is low (below {$LTEMODEM.RSRQ.MIN.WARN}db for 5m)</v>
      </c>
      <c r="H582" t="e">
        <f>INDEX('7.0.17'!G:G,MATCH(G582,'7.0.17'!F:F,0))</f>
        <v>#N/A</v>
      </c>
      <c r="I582" t="e">
        <f t="shared" si="93"/>
        <v>#N/A</v>
      </c>
    </row>
    <row r="583" spans="1:9">
      <c r="A583" t="s">
        <v>8862</v>
      </c>
      <c r="B583" t="s">
        <v>8433</v>
      </c>
      <c r="C583" t="s">
        <v>8865</v>
      </c>
      <c r="G583" t="str">
        <f t="shared" si="92"/>
        <v>Interface {#IFNAME}({#IFALIAS}): LTE modem RSSI is low (below {$LTEMODEM.RSSI.MIN.WARN}dbm for 5m)</v>
      </c>
      <c r="H583" t="e">
        <f>INDEX('7.0.17'!G:G,MATCH(G583,'7.0.17'!F:F,0))</f>
        <v>#N/A</v>
      </c>
      <c r="I583" t="e">
        <f t="shared" si="93"/>
        <v>#N/A</v>
      </c>
    </row>
    <row r="584" spans="1:9">
      <c r="A584" t="s">
        <v>8862</v>
      </c>
      <c r="B584" t="s">
        <v>8433</v>
      </c>
      <c r="C584" t="s">
        <v>8866</v>
      </c>
      <c r="G584" t="str">
        <f t="shared" si="92"/>
        <v>Interface {#IFNAME}({#IFALIAS}): LTE modem SINR is low (below {$LTEMODEM.SINR.MIN.WARN}db for 5m)</v>
      </c>
      <c r="H584" t="e">
        <f>INDEX('7.0.17'!G:G,MATCH(G584,'7.0.17'!F:F,0))</f>
        <v>#N/A</v>
      </c>
      <c r="I584" t="e">
        <f t="shared" si="93"/>
        <v>#N/A</v>
      </c>
    </row>
    <row r="585" spans="1:9">
      <c r="A585" t="s">
        <v>8862</v>
      </c>
      <c r="B585" t="s">
        <v>8433</v>
      </c>
      <c r="C585" t="s">
        <v>8434</v>
      </c>
      <c r="D585" t="s">
        <v>8435</v>
      </c>
      <c r="G585" t="str">
        <f>B585&amp;":"&amp;C585&amp;":"&amp;D585</f>
        <v>Interface {#IFNAME}({#IFALIAS}): High error rate (&gt;{$IF.ERRORS.WARN:{#IFNAME}} for 5m)</v>
      </c>
      <c r="H585" t="e">
        <f>INDEX('7.0.17'!G:G,MATCH(G585,'7.0.17'!F:F,0))</f>
        <v>#N/A</v>
      </c>
      <c r="I585" t="e">
        <f t="shared" si="93"/>
        <v>#N/A</v>
      </c>
    </row>
    <row r="586" spans="1:9">
      <c r="A586" t="s">
        <v>8862</v>
      </c>
      <c r="B586" t="s">
        <v>8433</v>
      </c>
      <c r="C586" t="s">
        <v>8436</v>
      </c>
      <c r="D586" t="s">
        <v>8437</v>
      </c>
      <c r="G586" t="str">
        <f>B586&amp;":"&amp;C586&amp;":"&amp;D586</f>
        <v>Interface {#IFNAME}({#IFALIAS}): High bandwidth usage (&gt;{$IF.UTIL.MAX:{#IFNAME}}%)</v>
      </c>
      <c r="H586" t="e">
        <f>INDEX('7.0.17'!G:G,MATCH(G586,'7.0.17'!F:F,0))</f>
        <v>#N/A</v>
      </c>
      <c r="I586" t="e">
        <f t="shared" si="93"/>
        <v>#N/A</v>
      </c>
    </row>
    <row r="587" spans="1:9">
      <c r="A587" t="s">
        <v>8862</v>
      </c>
      <c r="B587" t="s">
        <v>8737</v>
      </c>
      <c r="C587" t="s">
        <v>8439</v>
      </c>
      <c r="D587" t="s">
        <v>8440</v>
      </c>
      <c r="E587" t="s">
        <v>8598</v>
      </c>
      <c r="G587" t="str">
        <f t="shared" ref="G587:G592" si="94">B587&amp;":"&amp;C587&amp;":"&amp;D587&amp;":"&amp;E587</f>
        <v>CPU: Temperature is above critical threshold: &gt;{$TEMP_CRIT:"CPU"}</v>
      </c>
      <c r="H587" t="e">
        <f>INDEX('7.0.17'!G:G,MATCH(G587,'7.0.17'!F:F,0))</f>
        <v>#N/A</v>
      </c>
      <c r="I587" t="e">
        <f t="shared" si="93"/>
        <v>#N/A</v>
      </c>
    </row>
    <row r="588" spans="1:9">
      <c r="A588" t="s">
        <v>8862</v>
      </c>
      <c r="B588" t="s">
        <v>8737</v>
      </c>
      <c r="C588" t="s">
        <v>8442</v>
      </c>
      <c r="D588" t="s">
        <v>8443</v>
      </c>
      <c r="E588" t="s">
        <v>8598</v>
      </c>
      <c r="G588" t="str">
        <f t="shared" si="94"/>
        <v>CPU: Temperature is above warning threshold: &gt;{$TEMP_WARN:"CPU"}</v>
      </c>
      <c r="H588" t="e">
        <f>INDEX('7.0.17'!G:G,MATCH(G588,'7.0.17'!F:F,0))</f>
        <v>#N/A</v>
      </c>
      <c r="I588" t="e">
        <f t="shared" si="93"/>
        <v>#N/A</v>
      </c>
    </row>
    <row r="589" spans="1:9">
      <c r="A589" t="s">
        <v>8862</v>
      </c>
      <c r="B589" t="s">
        <v>8737</v>
      </c>
      <c r="C589" t="s">
        <v>8444</v>
      </c>
      <c r="D589" t="s">
        <v>8445</v>
      </c>
      <c r="E589" t="s">
        <v>8598</v>
      </c>
      <c r="G589" t="str">
        <f t="shared" si="94"/>
        <v>CPU: Temperature is too low: &lt;{$TEMP_CRIT_LOW:"CPU"}</v>
      </c>
      <c r="H589" t="e">
        <f>INDEX('7.0.17'!G:G,MATCH(G589,'7.0.17'!F:F,0))</f>
        <v>#N/A</v>
      </c>
      <c r="I589" t="e">
        <f t="shared" si="93"/>
        <v>#N/A</v>
      </c>
    </row>
    <row r="590" spans="1:9">
      <c r="A590" t="s">
        <v>8862</v>
      </c>
      <c r="B590" t="s">
        <v>8867</v>
      </c>
      <c r="C590" t="s">
        <v>8439</v>
      </c>
      <c r="D590" t="s">
        <v>8440</v>
      </c>
      <c r="E590" t="s">
        <v>8868</v>
      </c>
      <c r="G590" t="str">
        <f t="shared" si="94"/>
        <v>Device: Temperature is above critical threshold: &gt;{$TEMP_CRIT:Device}</v>
      </c>
      <c r="H590" t="e">
        <f>INDEX('7.0.17'!G:G,MATCH(G590,'7.0.17'!F:F,0))</f>
        <v>#N/A</v>
      </c>
      <c r="I590" t="e">
        <f t="shared" si="93"/>
        <v>#N/A</v>
      </c>
    </row>
    <row r="591" spans="1:9">
      <c r="A591" t="s">
        <v>8862</v>
      </c>
      <c r="B591" t="s">
        <v>8867</v>
      </c>
      <c r="C591" t="s">
        <v>8442</v>
      </c>
      <c r="D591" t="s">
        <v>8443</v>
      </c>
      <c r="E591" t="s">
        <v>8868</v>
      </c>
      <c r="G591" t="str">
        <f t="shared" si="94"/>
        <v>Device: Temperature is above warning threshold: &gt;{$TEMP_WARN:Device}</v>
      </c>
      <c r="H591" t="e">
        <f>INDEX('7.0.17'!G:G,MATCH(G591,'7.0.17'!F:F,0))</f>
        <v>#N/A</v>
      </c>
      <c r="I591" t="e">
        <f t="shared" si="93"/>
        <v>#N/A</v>
      </c>
    </row>
    <row r="592" spans="1:9">
      <c r="A592" t="s">
        <v>8862</v>
      </c>
      <c r="B592" t="s">
        <v>8867</v>
      </c>
      <c r="C592" t="s">
        <v>8444</v>
      </c>
      <c r="D592" t="s">
        <v>8445</v>
      </c>
      <c r="E592" t="s">
        <v>8868</v>
      </c>
      <c r="G592" t="str">
        <f t="shared" si="94"/>
        <v>Device: Temperature is too low: &lt;{$TEMP_CRIT_LOW:Device}</v>
      </c>
      <c r="H592" t="e">
        <f>INDEX('7.0.17'!G:G,MATCH(G592,'7.0.17'!F:F,0))</f>
        <v>#N/A</v>
      </c>
      <c r="I592" t="e">
        <f t="shared" si="93"/>
        <v>#N/A</v>
      </c>
    </row>
    <row r="593" spans="1:9">
      <c r="A593" t="s">
        <v>8862</v>
      </c>
      <c r="B593" t="s">
        <v>8564</v>
      </c>
      <c r="C593" t="s">
        <v>8565</v>
      </c>
      <c r="G593" t="str">
        <f t="shared" ref="G593:G599" si="95">B593&amp;":"&amp;C593</f>
        <v>#{#SNMPINDEX}: High CPU utilization (over {$CPU.UTIL.CRIT}% for 5m)</v>
      </c>
      <c r="H593" t="e">
        <f>INDEX('7.0.17'!G:G,MATCH(G593,'7.0.17'!F:F,0))</f>
        <v>#N/A</v>
      </c>
      <c r="I593" t="e">
        <f t="shared" si="93"/>
        <v>#N/A</v>
      </c>
    </row>
    <row r="594" spans="1:9">
      <c r="A594" t="s">
        <v>8862</v>
      </c>
      <c r="B594" t="s">
        <v>8869</v>
      </c>
      <c r="C594" t="s">
        <v>8512</v>
      </c>
      <c r="D594" t="s">
        <v>8870</v>
      </c>
      <c r="G594" t="str">
        <f>B594&amp;":"&amp;C594&amp;":"&amp;D594</f>
        <v>Disk-{#SNMPINDEX}: Disk space is critically low (used &gt; {$VFS.FS.PUSED.MAX.CRIT:Disk-"{#SNMPINDEX}"}%)</v>
      </c>
      <c r="H594" t="e">
        <f>INDEX('7.0.17'!G:G,MATCH(G594,'7.0.17'!F:F,0))</f>
        <v>#N/A</v>
      </c>
      <c r="I594" t="e">
        <f t="shared" si="93"/>
        <v>#N/A</v>
      </c>
    </row>
    <row r="595" spans="1:9">
      <c r="A595" t="s">
        <v>8862</v>
      </c>
      <c r="B595" t="s">
        <v>8869</v>
      </c>
      <c r="C595" t="s">
        <v>8513</v>
      </c>
      <c r="D595" t="s">
        <v>8870</v>
      </c>
      <c r="G595" t="str">
        <f>B595&amp;":"&amp;C595&amp;":"&amp;D595</f>
        <v>Disk-{#SNMPINDEX}: Disk space is low (used &gt; {$VFS.FS.PUSED.MAX.WARN:Disk-"{#SNMPINDEX}"}%)</v>
      </c>
      <c r="H595" t="e">
        <f>INDEX('7.0.17'!G:G,MATCH(G595,'7.0.17'!F:F,0))</f>
        <v>#N/A</v>
      </c>
      <c r="I595" t="e">
        <f t="shared" si="93"/>
        <v>#N/A</v>
      </c>
    </row>
    <row r="596" spans="1:9">
      <c r="A596" t="s">
        <v>8862</v>
      </c>
      <c r="B596" t="s">
        <v>8433</v>
      </c>
      <c r="C596" t="s">
        <v>8863</v>
      </c>
      <c r="G596" t="str">
        <f t="shared" si="95"/>
        <v>Interface {#IFNAME}({#IFALIAS}): LTE modem RSRP is low (below {$LTEMODEM.RSRP.MIN.WARN}dbm for 5m)</v>
      </c>
      <c r="H596" t="e">
        <f>INDEX('7.0.17'!G:G,MATCH(G596,'7.0.17'!F:F,0))</f>
        <v>#N/A</v>
      </c>
      <c r="I596" t="e">
        <f t="shared" si="93"/>
        <v>#N/A</v>
      </c>
    </row>
    <row r="597" spans="1:9">
      <c r="A597" t="s">
        <v>8862</v>
      </c>
      <c r="B597" t="s">
        <v>8433</v>
      </c>
      <c r="C597" t="s">
        <v>8864</v>
      </c>
      <c r="G597" t="str">
        <f t="shared" si="95"/>
        <v>Interface {#IFNAME}({#IFALIAS}): LTE modem RSRQ is low (below {$LTEMODEM.RSRQ.MIN.WARN}db for 5m)</v>
      </c>
      <c r="H597" t="e">
        <f>INDEX('7.0.17'!G:G,MATCH(G597,'7.0.17'!F:F,0))</f>
        <v>#N/A</v>
      </c>
      <c r="I597" t="e">
        <f t="shared" si="93"/>
        <v>#N/A</v>
      </c>
    </row>
    <row r="598" spans="1:9">
      <c r="A598" t="s">
        <v>8862</v>
      </c>
      <c r="B598" t="s">
        <v>8433</v>
      </c>
      <c r="C598" t="s">
        <v>8865</v>
      </c>
      <c r="G598" t="str">
        <f t="shared" si="95"/>
        <v>Interface {#IFNAME}({#IFALIAS}): LTE modem RSSI is low (below {$LTEMODEM.RSSI.MIN.WARN}dbm for 5m)</v>
      </c>
      <c r="H598" t="e">
        <f>INDEX('7.0.17'!G:G,MATCH(G598,'7.0.17'!F:F,0))</f>
        <v>#N/A</v>
      </c>
      <c r="I598" t="e">
        <f t="shared" si="93"/>
        <v>#N/A</v>
      </c>
    </row>
    <row r="599" spans="1:9">
      <c r="A599" t="s">
        <v>8862</v>
      </c>
      <c r="B599" t="s">
        <v>8433</v>
      </c>
      <c r="C599" t="s">
        <v>8866</v>
      </c>
      <c r="G599" t="str">
        <f t="shared" si="95"/>
        <v>Interface {#IFNAME}({#IFALIAS}): LTE modem SINR is low (below {$LTEMODEM.SINR.MIN.WARN}db for 5m)</v>
      </c>
      <c r="H599" t="e">
        <f>INDEX('7.0.17'!G:G,MATCH(G599,'7.0.17'!F:F,0))</f>
        <v>#N/A</v>
      </c>
      <c r="I599" t="e">
        <f t="shared" si="93"/>
        <v>#N/A</v>
      </c>
    </row>
    <row r="600" spans="1:9">
      <c r="A600" t="s">
        <v>8862</v>
      </c>
      <c r="B600" t="s">
        <v>8433</v>
      </c>
      <c r="C600" t="s">
        <v>8434</v>
      </c>
      <c r="D600" t="s">
        <v>8435</v>
      </c>
      <c r="G600" t="str">
        <f>B600&amp;":"&amp;C600&amp;":"&amp;D600</f>
        <v>Interface {#IFNAME}({#IFALIAS}): High error rate (&gt;{$IF.ERRORS.WARN:{#IFNAME}} for 5m)</v>
      </c>
      <c r="H600" t="e">
        <f>INDEX('7.0.17'!G:G,MATCH(G600,'7.0.17'!F:F,0))</f>
        <v>#N/A</v>
      </c>
      <c r="I600" t="e">
        <f t="shared" si="93"/>
        <v>#N/A</v>
      </c>
    </row>
    <row r="601" spans="1:9">
      <c r="A601" t="s">
        <v>8862</v>
      </c>
      <c r="B601" t="s">
        <v>8433</v>
      </c>
      <c r="C601" t="s">
        <v>8436</v>
      </c>
      <c r="D601" t="s">
        <v>8437</v>
      </c>
      <c r="G601" t="str">
        <f>B601&amp;":"&amp;C601&amp;":"&amp;D601</f>
        <v>Interface {#IFNAME}({#IFALIAS}): High bandwidth usage (&gt;{$IF.UTIL.MAX:{#IFNAME}}%)</v>
      </c>
      <c r="H601" t="e">
        <f>INDEX('7.0.17'!G:G,MATCH(G601,'7.0.17'!F:F,0))</f>
        <v>#N/A</v>
      </c>
      <c r="I601" t="e">
        <f t="shared" si="93"/>
        <v>#N/A</v>
      </c>
    </row>
    <row r="602" spans="1:9">
      <c r="A602" t="s">
        <v>8862</v>
      </c>
      <c r="B602" t="s">
        <v>8737</v>
      </c>
      <c r="C602" t="s">
        <v>8439</v>
      </c>
      <c r="D602" t="s">
        <v>8440</v>
      </c>
      <c r="E602" t="s">
        <v>8598</v>
      </c>
      <c r="G602" t="str">
        <f t="shared" ref="G602:G607" si="96">B602&amp;":"&amp;C602&amp;":"&amp;D602&amp;":"&amp;E602</f>
        <v>CPU: Temperature is above critical threshold: &gt;{$TEMP_CRIT:"CPU"}</v>
      </c>
      <c r="H602" t="e">
        <f>INDEX('7.0.17'!G:G,MATCH(G602,'7.0.17'!F:F,0))</f>
        <v>#N/A</v>
      </c>
      <c r="I602" t="e">
        <f t="shared" si="93"/>
        <v>#N/A</v>
      </c>
    </row>
    <row r="603" spans="1:9">
      <c r="A603" t="s">
        <v>8862</v>
      </c>
      <c r="B603" t="s">
        <v>8737</v>
      </c>
      <c r="C603" t="s">
        <v>8442</v>
      </c>
      <c r="D603" t="s">
        <v>8443</v>
      </c>
      <c r="E603" t="s">
        <v>8598</v>
      </c>
      <c r="G603" t="str">
        <f t="shared" si="96"/>
        <v>CPU: Temperature is above warning threshold: &gt;{$TEMP_WARN:"CPU"}</v>
      </c>
      <c r="H603" t="e">
        <f>INDEX('7.0.17'!G:G,MATCH(G603,'7.0.17'!F:F,0))</f>
        <v>#N/A</v>
      </c>
      <c r="I603" t="e">
        <f t="shared" si="93"/>
        <v>#N/A</v>
      </c>
    </row>
    <row r="604" spans="1:9">
      <c r="A604" t="s">
        <v>8862</v>
      </c>
      <c r="B604" t="s">
        <v>8737</v>
      </c>
      <c r="C604" t="s">
        <v>8444</v>
      </c>
      <c r="D604" t="s">
        <v>8445</v>
      </c>
      <c r="E604" t="s">
        <v>8598</v>
      </c>
      <c r="G604" t="str">
        <f t="shared" si="96"/>
        <v>CPU: Temperature is too low: &lt;{$TEMP_CRIT_LOW:"CPU"}</v>
      </c>
      <c r="H604" t="e">
        <f>INDEX('7.0.17'!G:G,MATCH(G604,'7.0.17'!F:F,0))</f>
        <v>#N/A</v>
      </c>
      <c r="I604" t="e">
        <f t="shared" si="93"/>
        <v>#N/A</v>
      </c>
    </row>
    <row r="605" spans="1:9">
      <c r="A605" t="s">
        <v>8862</v>
      </c>
      <c r="B605" t="s">
        <v>8867</v>
      </c>
      <c r="C605" t="s">
        <v>8439</v>
      </c>
      <c r="D605" t="s">
        <v>8440</v>
      </c>
      <c r="E605" t="s">
        <v>8868</v>
      </c>
      <c r="G605" t="str">
        <f t="shared" si="96"/>
        <v>Device: Temperature is above critical threshold: &gt;{$TEMP_CRIT:Device}</v>
      </c>
      <c r="H605" t="e">
        <f>INDEX('7.0.17'!G:G,MATCH(G605,'7.0.17'!F:F,0))</f>
        <v>#N/A</v>
      </c>
      <c r="I605" t="e">
        <f t="shared" si="93"/>
        <v>#N/A</v>
      </c>
    </row>
    <row r="606" spans="1:9">
      <c r="A606" t="s">
        <v>8862</v>
      </c>
      <c r="B606" t="s">
        <v>8867</v>
      </c>
      <c r="C606" t="s">
        <v>8442</v>
      </c>
      <c r="D606" t="s">
        <v>8443</v>
      </c>
      <c r="E606" t="s">
        <v>8868</v>
      </c>
      <c r="G606" t="str">
        <f t="shared" si="96"/>
        <v>Device: Temperature is above warning threshold: &gt;{$TEMP_WARN:Device}</v>
      </c>
      <c r="H606" t="e">
        <f>INDEX('7.0.17'!G:G,MATCH(G606,'7.0.17'!F:F,0))</f>
        <v>#N/A</v>
      </c>
      <c r="I606" t="e">
        <f t="shared" si="93"/>
        <v>#N/A</v>
      </c>
    </row>
    <row r="607" spans="1:9">
      <c r="A607" t="s">
        <v>8862</v>
      </c>
      <c r="B607" t="s">
        <v>8867</v>
      </c>
      <c r="C607" t="s">
        <v>8444</v>
      </c>
      <c r="D607" t="s">
        <v>8445</v>
      </c>
      <c r="E607" t="s">
        <v>8868</v>
      </c>
      <c r="G607" t="str">
        <f t="shared" si="96"/>
        <v>Device: Temperature is too low: &lt;{$TEMP_CRIT_LOW:Device}</v>
      </c>
      <c r="H607" t="e">
        <f>INDEX('7.0.17'!G:G,MATCH(G607,'7.0.17'!F:F,0))</f>
        <v>#N/A</v>
      </c>
      <c r="I607" t="e">
        <f t="shared" si="93"/>
        <v>#N/A</v>
      </c>
    </row>
    <row r="608" spans="1:9">
      <c r="A608" t="s">
        <v>8862</v>
      </c>
      <c r="B608" t="s">
        <v>8564</v>
      </c>
      <c r="C608" t="s">
        <v>8565</v>
      </c>
      <c r="G608" t="str">
        <f t="shared" ref="G608:G614" si="97">B608&amp;":"&amp;C608</f>
        <v>#{#SNMPINDEX}: High CPU utilization (over {$CPU.UTIL.CRIT}% for 5m)</v>
      </c>
      <c r="H608" t="e">
        <f>INDEX('7.0.17'!G:G,MATCH(G608,'7.0.17'!F:F,0))</f>
        <v>#N/A</v>
      </c>
      <c r="I608" t="e">
        <f t="shared" si="93"/>
        <v>#N/A</v>
      </c>
    </row>
    <row r="609" spans="1:9">
      <c r="A609" t="s">
        <v>8862</v>
      </c>
      <c r="B609" t="s">
        <v>8869</v>
      </c>
      <c r="C609" t="s">
        <v>8512</v>
      </c>
      <c r="D609" t="s">
        <v>8870</v>
      </c>
      <c r="G609" t="str">
        <f>B609&amp;":"&amp;C609&amp;":"&amp;D609</f>
        <v>Disk-{#SNMPINDEX}: Disk space is critically low (used &gt; {$VFS.FS.PUSED.MAX.CRIT:Disk-"{#SNMPINDEX}"}%)</v>
      </c>
      <c r="H609" t="e">
        <f>INDEX('7.0.17'!G:G,MATCH(G609,'7.0.17'!F:F,0))</f>
        <v>#N/A</v>
      </c>
      <c r="I609" t="e">
        <f t="shared" si="93"/>
        <v>#N/A</v>
      </c>
    </row>
    <row r="610" spans="1:9">
      <c r="A610" t="s">
        <v>8862</v>
      </c>
      <c r="B610" t="s">
        <v>8869</v>
      </c>
      <c r="C610" t="s">
        <v>8513</v>
      </c>
      <c r="D610" t="s">
        <v>8870</v>
      </c>
      <c r="G610" t="str">
        <f>B610&amp;":"&amp;C610&amp;":"&amp;D610</f>
        <v>Disk-{#SNMPINDEX}: Disk space is low (used &gt; {$VFS.FS.PUSED.MAX.WARN:Disk-"{#SNMPINDEX}"}%)</v>
      </c>
      <c r="H610" t="e">
        <f>INDEX('7.0.17'!G:G,MATCH(G610,'7.0.17'!F:F,0))</f>
        <v>#N/A</v>
      </c>
      <c r="I610" t="e">
        <f t="shared" si="93"/>
        <v>#N/A</v>
      </c>
    </row>
    <row r="611" spans="1:9">
      <c r="A611" t="s">
        <v>8862</v>
      </c>
      <c r="B611" t="s">
        <v>8433</v>
      </c>
      <c r="C611" t="s">
        <v>8863</v>
      </c>
      <c r="G611" t="str">
        <f t="shared" si="97"/>
        <v>Interface {#IFNAME}({#IFALIAS}): LTE modem RSRP is low (below {$LTEMODEM.RSRP.MIN.WARN}dbm for 5m)</v>
      </c>
      <c r="H611" t="e">
        <f>INDEX('7.0.17'!G:G,MATCH(G611,'7.0.17'!F:F,0))</f>
        <v>#N/A</v>
      </c>
      <c r="I611" t="e">
        <f t="shared" si="93"/>
        <v>#N/A</v>
      </c>
    </row>
    <row r="612" spans="1:9">
      <c r="A612" t="s">
        <v>8862</v>
      </c>
      <c r="B612" t="s">
        <v>8433</v>
      </c>
      <c r="C612" t="s">
        <v>8864</v>
      </c>
      <c r="G612" t="str">
        <f t="shared" si="97"/>
        <v>Interface {#IFNAME}({#IFALIAS}): LTE modem RSRQ is low (below {$LTEMODEM.RSRQ.MIN.WARN}db for 5m)</v>
      </c>
      <c r="H612" t="e">
        <f>INDEX('7.0.17'!G:G,MATCH(G612,'7.0.17'!F:F,0))</f>
        <v>#N/A</v>
      </c>
      <c r="I612" t="e">
        <f t="shared" si="93"/>
        <v>#N/A</v>
      </c>
    </row>
    <row r="613" spans="1:9">
      <c r="A613" t="s">
        <v>8862</v>
      </c>
      <c r="B613" t="s">
        <v>8433</v>
      </c>
      <c r="C613" t="s">
        <v>8865</v>
      </c>
      <c r="G613" t="str">
        <f t="shared" si="97"/>
        <v>Interface {#IFNAME}({#IFALIAS}): LTE modem RSSI is low (below {$LTEMODEM.RSSI.MIN.WARN}dbm for 5m)</v>
      </c>
      <c r="H613" t="e">
        <f>INDEX('7.0.17'!G:G,MATCH(G613,'7.0.17'!F:F,0))</f>
        <v>#N/A</v>
      </c>
      <c r="I613" t="e">
        <f t="shared" si="93"/>
        <v>#N/A</v>
      </c>
    </row>
    <row r="614" spans="1:9">
      <c r="A614" t="s">
        <v>8862</v>
      </c>
      <c r="B614" t="s">
        <v>8433</v>
      </c>
      <c r="C614" t="s">
        <v>8866</v>
      </c>
      <c r="G614" t="str">
        <f t="shared" si="97"/>
        <v>Interface {#IFNAME}({#IFALIAS}): LTE modem SINR is low (below {$LTEMODEM.SINR.MIN.WARN}db for 5m)</v>
      </c>
      <c r="H614" t="e">
        <f>INDEX('7.0.17'!G:G,MATCH(G614,'7.0.17'!F:F,0))</f>
        <v>#N/A</v>
      </c>
      <c r="I614" t="e">
        <f t="shared" si="93"/>
        <v>#N/A</v>
      </c>
    </row>
    <row r="615" spans="1:9">
      <c r="A615" t="s">
        <v>8862</v>
      </c>
      <c r="B615" t="s">
        <v>8433</v>
      </c>
      <c r="C615" t="s">
        <v>8434</v>
      </c>
      <c r="D615" t="s">
        <v>8435</v>
      </c>
      <c r="G615" t="str">
        <f>B615&amp;":"&amp;C615&amp;":"&amp;D615</f>
        <v>Interface {#IFNAME}({#IFALIAS}): High error rate (&gt;{$IF.ERRORS.WARN:{#IFNAME}} for 5m)</v>
      </c>
      <c r="H615" t="e">
        <f>INDEX('7.0.17'!G:G,MATCH(G615,'7.0.17'!F:F,0))</f>
        <v>#N/A</v>
      </c>
      <c r="I615" t="e">
        <f t="shared" si="93"/>
        <v>#N/A</v>
      </c>
    </row>
    <row r="616" spans="1:9">
      <c r="A616" t="s">
        <v>8862</v>
      </c>
      <c r="B616" t="s">
        <v>8433</v>
      </c>
      <c r="C616" t="s">
        <v>8436</v>
      </c>
      <c r="D616" t="s">
        <v>8437</v>
      </c>
      <c r="G616" t="str">
        <f>B616&amp;":"&amp;C616&amp;":"&amp;D616</f>
        <v>Interface {#IFNAME}({#IFALIAS}): High bandwidth usage (&gt;{$IF.UTIL.MAX:{#IFNAME}}%)</v>
      </c>
      <c r="H616" t="e">
        <f>INDEX('7.0.17'!G:G,MATCH(G616,'7.0.17'!F:F,0))</f>
        <v>#N/A</v>
      </c>
      <c r="I616" t="e">
        <f t="shared" si="93"/>
        <v>#N/A</v>
      </c>
    </row>
    <row r="617" spans="1:9">
      <c r="A617" t="s">
        <v>8862</v>
      </c>
      <c r="B617" t="s">
        <v>8737</v>
      </c>
      <c r="C617" t="s">
        <v>8439</v>
      </c>
      <c r="D617" t="s">
        <v>8440</v>
      </c>
      <c r="E617" t="s">
        <v>8598</v>
      </c>
      <c r="G617" t="str">
        <f t="shared" ref="G617:G622" si="98">B617&amp;":"&amp;C617&amp;":"&amp;D617&amp;":"&amp;E617</f>
        <v>CPU: Temperature is above critical threshold: &gt;{$TEMP_CRIT:"CPU"}</v>
      </c>
      <c r="H617" t="e">
        <f>INDEX('7.0.17'!G:G,MATCH(G617,'7.0.17'!F:F,0))</f>
        <v>#N/A</v>
      </c>
      <c r="I617" t="e">
        <f t="shared" si="93"/>
        <v>#N/A</v>
      </c>
    </row>
    <row r="618" spans="1:9">
      <c r="A618" t="s">
        <v>8862</v>
      </c>
      <c r="B618" t="s">
        <v>8737</v>
      </c>
      <c r="C618" t="s">
        <v>8442</v>
      </c>
      <c r="D618" t="s">
        <v>8443</v>
      </c>
      <c r="E618" t="s">
        <v>8598</v>
      </c>
      <c r="G618" t="str">
        <f t="shared" si="98"/>
        <v>CPU: Temperature is above warning threshold: &gt;{$TEMP_WARN:"CPU"}</v>
      </c>
      <c r="H618" t="e">
        <f>INDEX('7.0.17'!G:G,MATCH(G618,'7.0.17'!F:F,0))</f>
        <v>#N/A</v>
      </c>
      <c r="I618" t="e">
        <f t="shared" si="93"/>
        <v>#N/A</v>
      </c>
    </row>
    <row r="619" spans="1:9">
      <c r="A619" t="s">
        <v>8862</v>
      </c>
      <c r="B619" t="s">
        <v>8737</v>
      </c>
      <c r="C619" t="s">
        <v>8444</v>
      </c>
      <c r="D619" t="s">
        <v>8445</v>
      </c>
      <c r="E619" t="s">
        <v>8598</v>
      </c>
      <c r="G619" t="str">
        <f t="shared" si="98"/>
        <v>CPU: Temperature is too low: &lt;{$TEMP_CRIT_LOW:"CPU"}</v>
      </c>
      <c r="H619" t="e">
        <f>INDEX('7.0.17'!G:G,MATCH(G619,'7.0.17'!F:F,0))</f>
        <v>#N/A</v>
      </c>
      <c r="I619" t="e">
        <f t="shared" si="93"/>
        <v>#N/A</v>
      </c>
    </row>
    <row r="620" spans="1:9">
      <c r="A620" t="s">
        <v>8862</v>
      </c>
      <c r="B620" t="s">
        <v>8867</v>
      </c>
      <c r="C620" t="s">
        <v>8439</v>
      </c>
      <c r="D620" t="s">
        <v>8440</v>
      </c>
      <c r="E620" t="s">
        <v>8868</v>
      </c>
      <c r="G620" t="str">
        <f t="shared" si="98"/>
        <v>Device: Temperature is above critical threshold: &gt;{$TEMP_CRIT:Device}</v>
      </c>
      <c r="H620" t="e">
        <f>INDEX('7.0.17'!G:G,MATCH(G620,'7.0.17'!F:F,0))</f>
        <v>#N/A</v>
      </c>
      <c r="I620" t="e">
        <f t="shared" si="93"/>
        <v>#N/A</v>
      </c>
    </row>
    <row r="621" spans="1:9">
      <c r="A621" t="s">
        <v>8862</v>
      </c>
      <c r="B621" t="s">
        <v>8867</v>
      </c>
      <c r="C621" t="s">
        <v>8442</v>
      </c>
      <c r="D621" t="s">
        <v>8443</v>
      </c>
      <c r="E621" t="s">
        <v>8868</v>
      </c>
      <c r="G621" t="str">
        <f t="shared" si="98"/>
        <v>Device: Temperature is above warning threshold: &gt;{$TEMP_WARN:Device}</v>
      </c>
      <c r="H621" t="e">
        <f>INDEX('7.0.17'!G:G,MATCH(G621,'7.0.17'!F:F,0))</f>
        <v>#N/A</v>
      </c>
      <c r="I621" t="e">
        <f t="shared" si="93"/>
        <v>#N/A</v>
      </c>
    </row>
    <row r="622" spans="1:9">
      <c r="A622" t="s">
        <v>8862</v>
      </c>
      <c r="B622" t="s">
        <v>8867</v>
      </c>
      <c r="C622" t="s">
        <v>8444</v>
      </c>
      <c r="D622" t="s">
        <v>8445</v>
      </c>
      <c r="E622" t="s">
        <v>8868</v>
      </c>
      <c r="G622" t="str">
        <f t="shared" si="98"/>
        <v>Device: Temperature is too low: &lt;{$TEMP_CRIT_LOW:Device}</v>
      </c>
      <c r="H622" t="e">
        <f>INDEX('7.0.17'!G:G,MATCH(G622,'7.0.17'!F:F,0))</f>
        <v>#N/A</v>
      </c>
      <c r="I622" t="e">
        <f t="shared" si="93"/>
        <v>#N/A</v>
      </c>
    </row>
    <row r="623" spans="1:9">
      <c r="A623" t="s">
        <v>8862</v>
      </c>
      <c r="B623" t="s">
        <v>8564</v>
      </c>
      <c r="C623" t="s">
        <v>8565</v>
      </c>
      <c r="G623" t="str">
        <f t="shared" ref="G623:G629" si="99">B623&amp;":"&amp;C623</f>
        <v>#{#SNMPINDEX}: High CPU utilization (over {$CPU.UTIL.CRIT}% for 5m)</v>
      </c>
      <c r="H623" t="e">
        <f>INDEX('7.0.17'!G:G,MATCH(G623,'7.0.17'!F:F,0))</f>
        <v>#N/A</v>
      </c>
      <c r="I623" t="e">
        <f t="shared" si="93"/>
        <v>#N/A</v>
      </c>
    </row>
    <row r="624" spans="1:9">
      <c r="A624" t="s">
        <v>8862</v>
      </c>
      <c r="B624" t="s">
        <v>8869</v>
      </c>
      <c r="C624" t="s">
        <v>8512</v>
      </c>
      <c r="D624" t="s">
        <v>8870</v>
      </c>
      <c r="G624" t="str">
        <f>B624&amp;":"&amp;C624&amp;":"&amp;D624</f>
        <v>Disk-{#SNMPINDEX}: Disk space is critically low (used &gt; {$VFS.FS.PUSED.MAX.CRIT:Disk-"{#SNMPINDEX}"}%)</v>
      </c>
      <c r="H624" t="e">
        <f>INDEX('7.0.17'!G:G,MATCH(G624,'7.0.17'!F:F,0))</f>
        <v>#N/A</v>
      </c>
      <c r="I624" t="e">
        <f t="shared" si="93"/>
        <v>#N/A</v>
      </c>
    </row>
    <row r="625" spans="1:9">
      <c r="A625" t="s">
        <v>8862</v>
      </c>
      <c r="B625" t="s">
        <v>8869</v>
      </c>
      <c r="C625" t="s">
        <v>8513</v>
      </c>
      <c r="D625" t="s">
        <v>8870</v>
      </c>
      <c r="G625" t="str">
        <f>B625&amp;":"&amp;C625&amp;":"&amp;D625</f>
        <v>Disk-{#SNMPINDEX}: Disk space is low (used &gt; {$VFS.FS.PUSED.MAX.WARN:Disk-"{#SNMPINDEX}"}%)</v>
      </c>
      <c r="H625" t="e">
        <f>INDEX('7.0.17'!G:G,MATCH(G625,'7.0.17'!F:F,0))</f>
        <v>#N/A</v>
      </c>
      <c r="I625" t="e">
        <f t="shared" si="93"/>
        <v>#N/A</v>
      </c>
    </row>
    <row r="626" spans="1:9">
      <c r="A626" t="s">
        <v>8862</v>
      </c>
      <c r="B626" t="s">
        <v>8433</v>
      </c>
      <c r="C626" t="s">
        <v>8863</v>
      </c>
      <c r="G626" t="str">
        <f t="shared" si="99"/>
        <v>Interface {#IFNAME}({#IFALIAS}): LTE modem RSRP is low (below {$LTEMODEM.RSRP.MIN.WARN}dbm for 5m)</v>
      </c>
      <c r="H626" t="e">
        <f>INDEX('7.0.17'!G:G,MATCH(G626,'7.0.17'!F:F,0))</f>
        <v>#N/A</v>
      </c>
      <c r="I626" t="e">
        <f t="shared" si="93"/>
        <v>#N/A</v>
      </c>
    </row>
    <row r="627" spans="1:9">
      <c r="A627" t="s">
        <v>8862</v>
      </c>
      <c r="B627" t="s">
        <v>8433</v>
      </c>
      <c r="C627" t="s">
        <v>8864</v>
      </c>
      <c r="G627" t="str">
        <f t="shared" si="99"/>
        <v>Interface {#IFNAME}({#IFALIAS}): LTE modem RSRQ is low (below {$LTEMODEM.RSRQ.MIN.WARN}db for 5m)</v>
      </c>
      <c r="H627" t="e">
        <f>INDEX('7.0.17'!G:G,MATCH(G627,'7.0.17'!F:F,0))</f>
        <v>#N/A</v>
      </c>
      <c r="I627" t="e">
        <f t="shared" si="93"/>
        <v>#N/A</v>
      </c>
    </row>
    <row r="628" spans="1:9">
      <c r="A628" t="s">
        <v>8862</v>
      </c>
      <c r="B628" t="s">
        <v>8433</v>
      </c>
      <c r="C628" t="s">
        <v>8865</v>
      </c>
      <c r="G628" t="str">
        <f t="shared" si="99"/>
        <v>Interface {#IFNAME}({#IFALIAS}): LTE modem RSSI is low (below {$LTEMODEM.RSSI.MIN.WARN}dbm for 5m)</v>
      </c>
      <c r="H628" t="e">
        <f>INDEX('7.0.17'!G:G,MATCH(G628,'7.0.17'!F:F,0))</f>
        <v>#N/A</v>
      </c>
      <c r="I628" t="e">
        <f t="shared" si="93"/>
        <v>#N/A</v>
      </c>
    </row>
    <row r="629" spans="1:9">
      <c r="A629" t="s">
        <v>8862</v>
      </c>
      <c r="B629" t="s">
        <v>8433</v>
      </c>
      <c r="C629" t="s">
        <v>8866</v>
      </c>
      <c r="G629" t="str">
        <f t="shared" si="99"/>
        <v>Interface {#IFNAME}({#IFALIAS}): LTE modem SINR is low (below {$LTEMODEM.SINR.MIN.WARN}db for 5m)</v>
      </c>
      <c r="H629" t="e">
        <f>INDEX('7.0.17'!G:G,MATCH(G629,'7.0.17'!F:F,0))</f>
        <v>#N/A</v>
      </c>
      <c r="I629" t="e">
        <f t="shared" si="93"/>
        <v>#N/A</v>
      </c>
    </row>
    <row r="630" spans="1:9">
      <c r="A630" t="s">
        <v>8862</v>
      </c>
      <c r="B630" t="s">
        <v>8433</v>
      </c>
      <c r="C630" t="s">
        <v>8434</v>
      </c>
      <c r="D630" t="s">
        <v>8435</v>
      </c>
      <c r="G630" t="str">
        <f>B630&amp;":"&amp;C630&amp;":"&amp;D630</f>
        <v>Interface {#IFNAME}({#IFALIAS}): High error rate (&gt;{$IF.ERRORS.WARN:{#IFNAME}} for 5m)</v>
      </c>
      <c r="H630" t="e">
        <f>INDEX('7.0.17'!G:G,MATCH(G630,'7.0.17'!F:F,0))</f>
        <v>#N/A</v>
      </c>
      <c r="I630" t="e">
        <f t="shared" si="93"/>
        <v>#N/A</v>
      </c>
    </row>
    <row r="631" spans="1:9">
      <c r="A631" t="s">
        <v>8862</v>
      </c>
      <c r="B631" t="s">
        <v>8433</v>
      </c>
      <c r="C631" t="s">
        <v>8436</v>
      </c>
      <c r="D631" t="s">
        <v>8437</v>
      </c>
      <c r="G631" t="str">
        <f>B631&amp;":"&amp;C631&amp;":"&amp;D631</f>
        <v>Interface {#IFNAME}({#IFALIAS}): High bandwidth usage (&gt;{$IF.UTIL.MAX:{#IFNAME}}%)</v>
      </c>
      <c r="H631" t="e">
        <f>INDEX('7.0.17'!G:G,MATCH(G631,'7.0.17'!F:F,0))</f>
        <v>#N/A</v>
      </c>
      <c r="I631" t="e">
        <f t="shared" si="93"/>
        <v>#N/A</v>
      </c>
    </row>
    <row r="632" spans="1:9">
      <c r="A632" t="s">
        <v>8862</v>
      </c>
      <c r="B632" t="s">
        <v>8737</v>
      </c>
      <c r="C632" t="s">
        <v>8439</v>
      </c>
      <c r="D632" t="s">
        <v>8440</v>
      </c>
      <c r="E632" t="s">
        <v>8598</v>
      </c>
      <c r="G632" t="str">
        <f t="shared" ref="G632:G637" si="100">B632&amp;":"&amp;C632&amp;":"&amp;D632&amp;":"&amp;E632</f>
        <v>CPU: Temperature is above critical threshold: &gt;{$TEMP_CRIT:"CPU"}</v>
      </c>
      <c r="H632" t="e">
        <f>INDEX('7.0.17'!G:G,MATCH(G632,'7.0.17'!F:F,0))</f>
        <v>#N/A</v>
      </c>
      <c r="I632" t="e">
        <f t="shared" si="93"/>
        <v>#N/A</v>
      </c>
    </row>
    <row r="633" spans="1:9">
      <c r="A633" t="s">
        <v>8862</v>
      </c>
      <c r="B633" t="s">
        <v>8737</v>
      </c>
      <c r="C633" t="s">
        <v>8442</v>
      </c>
      <c r="D633" t="s">
        <v>8443</v>
      </c>
      <c r="E633" t="s">
        <v>8598</v>
      </c>
      <c r="G633" t="str">
        <f t="shared" si="100"/>
        <v>CPU: Temperature is above warning threshold: &gt;{$TEMP_WARN:"CPU"}</v>
      </c>
      <c r="H633" t="e">
        <f>INDEX('7.0.17'!G:G,MATCH(G633,'7.0.17'!F:F,0))</f>
        <v>#N/A</v>
      </c>
      <c r="I633" t="e">
        <f t="shared" si="93"/>
        <v>#N/A</v>
      </c>
    </row>
    <row r="634" spans="1:9">
      <c r="A634" t="s">
        <v>8862</v>
      </c>
      <c r="B634" t="s">
        <v>8737</v>
      </c>
      <c r="C634" t="s">
        <v>8444</v>
      </c>
      <c r="D634" t="s">
        <v>8445</v>
      </c>
      <c r="E634" t="s">
        <v>8598</v>
      </c>
      <c r="G634" t="str">
        <f t="shared" si="100"/>
        <v>CPU: Temperature is too low: &lt;{$TEMP_CRIT_LOW:"CPU"}</v>
      </c>
      <c r="H634" t="e">
        <f>INDEX('7.0.17'!G:G,MATCH(G634,'7.0.17'!F:F,0))</f>
        <v>#N/A</v>
      </c>
      <c r="I634" t="e">
        <f t="shared" si="93"/>
        <v>#N/A</v>
      </c>
    </row>
    <row r="635" spans="1:9">
      <c r="A635" t="s">
        <v>8862</v>
      </c>
      <c r="B635" t="s">
        <v>8867</v>
      </c>
      <c r="C635" t="s">
        <v>8439</v>
      </c>
      <c r="D635" t="s">
        <v>8440</v>
      </c>
      <c r="E635" t="s">
        <v>8868</v>
      </c>
      <c r="G635" t="str">
        <f t="shared" si="100"/>
        <v>Device: Temperature is above critical threshold: &gt;{$TEMP_CRIT:Device}</v>
      </c>
      <c r="H635" t="e">
        <f>INDEX('7.0.17'!G:G,MATCH(G635,'7.0.17'!F:F,0))</f>
        <v>#N/A</v>
      </c>
      <c r="I635" t="e">
        <f t="shared" si="93"/>
        <v>#N/A</v>
      </c>
    </row>
    <row r="636" spans="1:9">
      <c r="A636" t="s">
        <v>8862</v>
      </c>
      <c r="B636" t="s">
        <v>8867</v>
      </c>
      <c r="C636" t="s">
        <v>8442</v>
      </c>
      <c r="D636" t="s">
        <v>8443</v>
      </c>
      <c r="E636" t="s">
        <v>8868</v>
      </c>
      <c r="G636" t="str">
        <f t="shared" si="100"/>
        <v>Device: Temperature is above warning threshold: &gt;{$TEMP_WARN:Device}</v>
      </c>
      <c r="H636" t="e">
        <f>INDEX('7.0.17'!G:G,MATCH(G636,'7.0.17'!F:F,0))</f>
        <v>#N/A</v>
      </c>
      <c r="I636" t="e">
        <f t="shared" si="93"/>
        <v>#N/A</v>
      </c>
    </row>
    <row r="637" spans="1:9">
      <c r="A637" t="s">
        <v>8862</v>
      </c>
      <c r="B637" t="s">
        <v>8867</v>
      </c>
      <c r="C637" t="s">
        <v>8444</v>
      </c>
      <c r="D637" t="s">
        <v>8445</v>
      </c>
      <c r="E637" t="s">
        <v>8868</v>
      </c>
      <c r="G637" t="str">
        <f t="shared" si="100"/>
        <v>Device: Temperature is too low: &lt;{$TEMP_CRIT_LOW:Device}</v>
      </c>
      <c r="H637" t="e">
        <f>INDEX('7.0.17'!G:G,MATCH(G637,'7.0.17'!F:F,0))</f>
        <v>#N/A</v>
      </c>
      <c r="I637" t="e">
        <f t="shared" si="93"/>
        <v>#N/A</v>
      </c>
    </row>
    <row r="638" spans="1:9">
      <c r="A638" t="s">
        <v>8862</v>
      </c>
      <c r="B638" t="s">
        <v>8564</v>
      </c>
      <c r="C638" t="s">
        <v>8565</v>
      </c>
      <c r="G638" t="str">
        <f t="shared" ref="G638:G644" si="101">B638&amp;":"&amp;C638</f>
        <v>#{#SNMPINDEX}: High CPU utilization (over {$CPU.UTIL.CRIT}% for 5m)</v>
      </c>
      <c r="H638" t="e">
        <f>INDEX('7.0.17'!G:G,MATCH(G638,'7.0.17'!F:F,0))</f>
        <v>#N/A</v>
      </c>
      <c r="I638" t="e">
        <f t="shared" si="93"/>
        <v>#N/A</v>
      </c>
    </row>
    <row r="639" spans="1:9">
      <c r="A639" t="s">
        <v>8862</v>
      </c>
      <c r="B639" t="s">
        <v>8869</v>
      </c>
      <c r="C639" t="s">
        <v>8512</v>
      </c>
      <c r="D639" t="s">
        <v>8870</v>
      </c>
      <c r="G639" t="str">
        <f>B639&amp;":"&amp;C639&amp;":"&amp;D639</f>
        <v>Disk-{#SNMPINDEX}: Disk space is critically low (used &gt; {$VFS.FS.PUSED.MAX.CRIT:Disk-"{#SNMPINDEX}"}%)</v>
      </c>
      <c r="H639" t="e">
        <f>INDEX('7.0.17'!G:G,MATCH(G639,'7.0.17'!F:F,0))</f>
        <v>#N/A</v>
      </c>
      <c r="I639" t="e">
        <f t="shared" si="93"/>
        <v>#N/A</v>
      </c>
    </row>
    <row r="640" spans="1:9">
      <c r="A640" t="s">
        <v>8862</v>
      </c>
      <c r="B640" t="s">
        <v>8869</v>
      </c>
      <c r="C640" t="s">
        <v>8513</v>
      </c>
      <c r="D640" t="s">
        <v>8870</v>
      </c>
      <c r="G640" t="str">
        <f>B640&amp;":"&amp;C640&amp;":"&amp;D640</f>
        <v>Disk-{#SNMPINDEX}: Disk space is low (used &gt; {$VFS.FS.PUSED.MAX.WARN:Disk-"{#SNMPINDEX}"}%)</v>
      </c>
      <c r="H640" t="e">
        <f>INDEX('7.0.17'!G:G,MATCH(G640,'7.0.17'!F:F,0))</f>
        <v>#N/A</v>
      </c>
      <c r="I640" t="e">
        <f t="shared" si="93"/>
        <v>#N/A</v>
      </c>
    </row>
    <row r="641" spans="1:9">
      <c r="A641" t="s">
        <v>8862</v>
      </c>
      <c r="B641" t="s">
        <v>8433</v>
      </c>
      <c r="C641" t="s">
        <v>8863</v>
      </c>
      <c r="G641" t="str">
        <f t="shared" si="101"/>
        <v>Interface {#IFNAME}({#IFALIAS}): LTE modem RSRP is low (below {$LTEMODEM.RSRP.MIN.WARN}dbm for 5m)</v>
      </c>
      <c r="H641" t="e">
        <f>INDEX('7.0.17'!G:G,MATCH(G641,'7.0.17'!F:F,0))</f>
        <v>#N/A</v>
      </c>
      <c r="I641" t="e">
        <f t="shared" si="93"/>
        <v>#N/A</v>
      </c>
    </row>
    <row r="642" spans="1:9">
      <c r="A642" t="s">
        <v>8862</v>
      </c>
      <c r="B642" t="s">
        <v>8433</v>
      </c>
      <c r="C642" t="s">
        <v>8864</v>
      </c>
      <c r="G642" t="str">
        <f t="shared" si="101"/>
        <v>Interface {#IFNAME}({#IFALIAS}): LTE modem RSRQ is low (below {$LTEMODEM.RSRQ.MIN.WARN}db for 5m)</v>
      </c>
      <c r="H642" t="e">
        <f>INDEX('7.0.17'!G:G,MATCH(G642,'7.0.17'!F:F,0))</f>
        <v>#N/A</v>
      </c>
      <c r="I642" t="e">
        <f t="shared" si="93"/>
        <v>#N/A</v>
      </c>
    </row>
    <row r="643" spans="1:9">
      <c r="A643" t="s">
        <v>8862</v>
      </c>
      <c r="B643" t="s">
        <v>8433</v>
      </c>
      <c r="C643" t="s">
        <v>8865</v>
      </c>
      <c r="G643" t="str">
        <f t="shared" si="101"/>
        <v>Interface {#IFNAME}({#IFALIAS}): LTE modem RSSI is low (below {$LTEMODEM.RSSI.MIN.WARN}dbm for 5m)</v>
      </c>
      <c r="H643" t="e">
        <f>INDEX('7.0.17'!G:G,MATCH(G643,'7.0.17'!F:F,0))</f>
        <v>#N/A</v>
      </c>
      <c r="I643" t="e">
        <f t="shared" ref="I643:I706" si="102">A643&amp;": "&amp;H643</f>
        <v>#N/A</v>
      </c>
    </row>
    <row r="644" spans="1:9">
      <c r="A644" t="s">
        <v>8862</v>
      </c>
      <c r="B644" t="s">
        <v>8433</v>
      </c>
      <c r="C644" t="s">
        <v>8866</v>
      </c>
      <c r="G644" t="str">
        <f t="shared" si="101"/>
        <v>Interface {#IFNAME}({#IFALIAS}): LTE modem SINR is low (below {$LTEMODEM.SINR.MIN.WARN}db for 5m)</v>
      </c>
      <c r="H644" t="e">
        <f>INDEX('7.0.17'!G:G,MATCH(G644,'7.0.17'!F:F,0))</f>
        <v>#N/A</v>
      </c>
      <c r="I644" t="e">
        <f t="shared" si="102"/>
        <v>#N/A</v>
      </c>
    </row>
    <row r="645" spans="1:9">
      <c r="A645" t="s">
        <v>8862</v>
      </c>
      <c r="B645" t="s">
        <v>8433</v>
      </c>
      <c r="C645" t="s">
        <v>8434</v>
      </c>
      <c r="D645" t="s">
        <v>8435</v>
      </c>
      <c r="G645" t="str">
        <f>B645&amp;":"&amp;C645&amp;":"&amp;D645</f>
        <v>Interface {#IFNAME}({#IFALIAS}): High error rate (&gt;{$IF.ERRORS.WARN:{#IFNAME}} for 5m)</v>
      </c>
      <c r="H645" t="e">
        <f>INDEX('7.0.17'!G:G,MATCH(G645,'7.0.17'!F:F,0))</f>
        <v>#N/A</v>
      </c>
      <c r="I645" t="e">
        <f t="shared" si="102"/>
        <v>#N/A</v>
      </c>
    </row>
    <row r="646" spans="1:9">
      <c r="A646" t="s">
        <v>8862</v>
      </c>
      <c r="B646" t="s">
        <v>8433</v>
      </c>
      <c r="C646" t="s">
        <v>8436</v>
      </c>
      <c r="D646" t="s">
        <v>8437</v>
      </c>
      <c r="G646" t="str">
        <f>B646&amp;":"&amp;C646&amp;":"&amp;D646</f>
        <v>Interface {#IFNAME}({#IFALIAS}): High bandwidth usage (&gt;{$IF.UTIL.MAX:{#IFNAME}}%)</v>
      </c>
      <c r="H646" t="e">
        <f>INDEX('7.0.17'!G:G,MATCH(G646,'7.0.17'!F:F,0))</f>
        <v>#N/A</v>
      </c>
      <c r="I646" t="e">
        <f t="shared" si="102"/>
        <v>#N/A</v>
      </c>
    </row>
    <row r="647" spans="1:9">
      <c r="A647" t="s">
        <v>8862</v>
      </c>
      <c r="B647" t="s">
        <v>8737</v>
      </c>
      <c r="C647" t="s">
        <v>8439</v>
      </c>
      <c r="D647" t="s">
        <v>8440</v>
      </c>
      <c r="E647" t="s">
        <v>8598</v>
      </c>
      <c r="G647" t="str">
        <f t="shared" ref="G647:G652" si="103">B647&amp;":"&amp;C647&amp;":"&amp;D647&amp;":"&amp;E647</f>
        <v>CPU: Temperature is above critical threshold: &gt;{$TEMP_CRIT:"CPU"}</v>
      </c>
      <c r="H647" t="e">
        <f>INDEX('7.0.17'!G:G,MATCH(G647,'7.0.17'!F:F,0))</f>
        <v>#N/A</v>
      </c>
      <c r="I647" t="e">
        <f t="shared" si="102"/>
        <v>#N/A</v>
      </c>
    </row>
    <row r="648" spans="1:9">
      <c r="A648" t="s">
        <v>8862</v>
      </c>
      <c r="B648" t="s">
        <v>8737</v>
      </c>
      <c r="C648" t="s">
        <v>8442</v>
      </c>
      <c r="D648" t="s">
        <v>8443</v>
      </c>
      <c r="E648" t="s">
        <v>8598</v>
      </c>
      <c r="G648" t="str">
        <f t="shared" si="103"/>
        <v>CPU: Temperature is above warning threshold: &gt;{$TEMP_WARN:"CPU"}</v>
      </c>
      <c r="H648" t="e">
        <f>INDEX('7.0.17'!G:G,MATCH(G648,'7.0.17'!F:F,0))</f>
        <v>#N/A</v>
      </c>
      <c r="I648" t="e">
        <f t="shared" si="102"/>
        <v>#N/A</v>
      </c>
    </row>
    <row r="649" spans="1:9">
      <c r="A649" t="s">
        <v>8862</v>
      </c>
      <c r="B649" t="s">
        <v>8737</v>
      </c>
      <c r="C649" t="s">
        <v>8444</v>
      </c>
      <c r="D649" t="s">
        <v>8445</v>
      </c>
      <c r="E649" t="s">
        <v>8598</v>
      </c>
      <c r="G649" t="str">
        <f t="shared" si="103"/>
        <v>CPU: Temperature is too low: &lt;{$TEMP_CRIT_LOW:"CPU"}</v>
      </c>
      <c r="H649" t="e">
        <f>INDEX('7.0.17'!G:G,MATCH(G649,'7.0.17'!F:F,0))</f>
        <v>#N/A</v>
      </c>
      <c r="I649" t="e">
        <f t="shared" si="102"/>
        <v>#N/A</v>
      </c>
    </row>
    <row r="650" spans="1:9">
      <c r="A650" t="s">
        <v>8862</v>
      </c>
      <c r="B650" t="s">
        <v>8867</v>
      </c>
      <c r="C650" t="s">
        <v>8439</v>
      </c>
      <c r="D650" t="s">
        <v>8440</v>
      </c>
      <c r="E650" t="s">
        <v>8868</v>
      </c>
      <c r="G650" t="str">
        <f t="shared" si="103"/>
        <v>Device: Temperature is above critical threshold: &gt;{$TEMP_CRIT:Device}</v>
      </c>
      <c r="H650" t="e">
        <f>INDEX('7.0.17'!G:G,MATCH(G650,'7.0.17'!F:F,0))</f>
        <v>#N/A</v>
      </c>
      <c r="I650" t="e">
        <f t="shared" si="102"/>
        <v>#N/A</v>
      </c>
    </row>
    <row r="651" spans="1:9">
      <c r="A651" t="s">
        <v>8862</v>
      </c>
      <c r="B651" t="s">
        <v>8867</v>
      </c>
      <c r="C651" t="s">
        <v>8442</v>
      </c>
      <c r="D651" t="s">
        <v>8443</v>
      </c>
      <c r="E651" t="s">
        <v>8868</v>
      </c>
      <c r="G651" t="str">
        <f t="shared" si="103"/>
        <v>Device: Temperature is above warning threshold: &gt;{$TEMP_WARN:Device}</v>
      </c>
      <c r="H651" t="e">
        <f>INDEX('7.0.17'!G:G,MATCH(G651,'7.0.17'!F:F,0))</f>
        <v>#N/A</v>
      </c>
      <c r="I651" t="e">
        <f t="shared" si="102"/>
        <v>#N/A</v>
      </c>
    </row>
    <row r="652" spans="1:9">
      <c r="A652" t="s">
        <v>8862</v>
      </c>
      <c r="B652" t="s">
        <v>8867</v>
      </c>
      <c r="C652" t="s">
        <v>8444</v>
      </c>
      <c r="D652" t="s">
        <v>8445</v>
      </c>
      <c r="E652" t="s">
        <v>8868</v>
      </c>
      <c r="G652" t="str">
        <f t="shared" si="103"/>
        <v>Device: Temperature is too low: &lt;{$TEMP_CRIT_LOW:Device}</v>
      </c>
      <c r="H652" t="e">
        <f>INDEX('7.0.17'!G:G,MATCH(G652,'7.0.17'!F:F,0))</f>
        <v>#N/A</v>
      </c>
      <c r="I652" t="e">
        <f t="shared" si="102"/>
        <v>#N/A</v>
      </c>
    </row>
    <row r="653" spans="1:9">
      <c r="A653" t="s">
        <v>8862</v>
      </c>
      <c r="B653" t="s">
        <v>8564</v>
      </c>
      <c r="C653" t="s">
        <v>8565</v>
      </c>
      <c r="G653" t="str">
        <f t="shared" ref="G653:G659" si="104">B653&amp;":"&amp;C653</f>
        <v>#{#SNMPINDEX}: High CPU utilization (over {$CPU.UTIL.CRIT}% for 5m)</v>
      </c>
      <c r="H653" t="e">
        <f>INDEX('7.0.17'!G:G,MATCH(G653,'7.0.17'!F:F,0))</f>
        <v>#N/A</v>
      </c>
      <c r="I653" t="e">
        <f t="shared" si="102"/>
        <v>#N/A</v>
      </c>
    </row>
    <row r="654" spans="1:9">
      <c r="A654" t="s">
        <v>8862</v>
      </c>
      <c r="B654" t="s">
        <v>8869</v>
      </c>
      <c r="C654" t="s">
        <v>8512</v>
      </c>
      <c r="D654" t="s">
        <v>8870</v>
      </c>
      <c r="G654" t="str">
        <f>B654&amp;":"&amp;C654&amp;":"&amp;D654</f>
        <v>Disk-{#SNMPINDEX}: Disk space is critically low (used &gt; {$VFS.FS.PUSED.MAX.CRIT:Disk-"{#SNMPINDEX}"}%)</v>
      </c>
      <c r="H654" t="e">
        <f>INDEX('7.0.17'!G:G,MATCH(G654,'7.0.17'!F:F,0))</f>
        <v>#N/A</v>
      </c>
      <c r="I654" t="e">
        <f t="shared" si="102"/>
        <v>#N/A</v>
      </c>
    </row>
    <row r="655" spans="1:9">
      <c r="A655" t="s">
        <v>8862</v>
      </c>
      <c r="B655" t="s">
        <v>8869</v>
      </c>
      <c r="C655" t="s">
        <v>8513</v>
      </c>
      <c r="D655" t="s">
        <v>8870</v>
      </c>
      <c r="G655" t="str">
        <f>B655&amp;":"&amp;C655&amp;":"&amp;D655</f>
        <v>Disk-{#SNMPINDEX}: Disk space is low (used &gt; {$VFS.FS.PUSED.MAX.WARN:Disk-"{#SNMPINDEX}"}%)</v>
      </c>
      <c r="H655" t="e">
        <f>INDEX('7.0.17'!G:G,MATCH(G655,'7.0.17'!F:F,0))</f>
        <v>#N/A</v>
      </c>
      <c r="I655" t="e">
        <f t="shared" si="102"/>
        <v>#N/A</v>
      </c>
    </row>
    <row r="656" spans="1:9">
      <c r="A656" t="s">
        <v>8862</v>
      </c>
      <c r="B656" t="s">
        <v>8433</v>
      </c>
      <c r="C656" t="s">
        <v>8863</v>
      </c>
      <c r="G656" t="str">
        <f t="shared" si="104"/>
        <v>Interface {#IFNAME}({#IFALIAS}): LTE modem RSRP is low (below {$LTEMODEM.RSRP.MIN.WARN}dbm for 5m)</v>
      </c>
      <c r="H656" t="e">
        <f>INDEX('7.0.17'!G:G,MATCH(G656,'7.0.17'!F:F,0))</f>
        <v>#N/A</v>
      </c>
      <c r="I656" t="e">
        <f t="shared" si="102"/>
        <v>#N/A</v>
      </c>
    </row>
    <row r="657" spans="1:9">
      <c r="A657" t="s">
        <v>8862</v>
      </c>
      <c r="B657" t="s">
        <v>8433</v>
      </c>
      <c r="C657" t="s">
        <v>8864</v>
      </c>
      <c r="G657" t="str">
        <f t="shared" si="104"/>
        <v>Interface {#IFNAME}({#IFALIAS}): LTE modem RSRQ is low (below {$LTEMODEM.RSRQ.MIN.WARN}db for 5m)</v>
      </c>
      <c r="H657" t="e">
        <f>INDEX('7.0.17'!G:G,MATCH(G657,'7.0.17'!F:F,0))</f>
        <v>#N/A</v>
      </c>
      <c r="I657" t="e">
        <f t="shared" si="102"/>
        <v>#N/A</v>
      </c>
    </row>
    <row r="658" spans="1:9">
      <c r="A658" t="s">
        <v>8862</v>
      </c>
      <c r="B658" t="s">
        <v>8433</v>
      </c>
      <c r="C658" t="s">
        <v>8865</v>
      </c>
      <c r="G658" t="str">
        <f t="shared" si="104"/>
        <v>Interface {#IFNAME}({#IFALIAS}): LTE modem RSSI is low (below {$LTEMODEM.RSSI.MIN.WARN}dbm for 5m)</v>
      </c>
      <c r="H658" t="e">
        <f>INDEX('7.0.17'!G:G,MATCH(G658,'7.0.17'!F:F,0))</f>
        <v>#N/A</v>
      </c>
      <c r="I658" t="e">
        <f t="shared" si="102"/>
        <v>#N/A</v>
      </c>
    </row>
    <row r="659" spans="1:9">
      <c r="A659" t="s">
        <v>8862</v>
      </c>
      <c r="B659" t="s">
        <v>8433</v>
      </c>
      <c r="C659" t="s">
        <v>8866</v>
      </c>
      <c r="G659" t="str">
        <f t="shared" si="104"/>
        <v>Interface {#IFNAME}({#IFALIAS}): LTE modem SINR is low (below {$LTEMODEM.SINR.MIN.WARN}db for 5m)</v>
      </c>
      <c r="H659" t="e">
        <f>INDEX('7.0.17'!G:G,MATCH(G659,'7.0.17'!F:F,0))</f>
        <v>#N/A</v>
      </c>
      <c r="I659" t="e">
        <f t="shared" si="102"/>
        <v>#N/A</v>
      </c>
    </row>
    <row r="660" spans="1:9">
      <c r="A660" t="s">
        <v>8862</v>
      </c>
      <c r="B660" t="s">
        <v>8433</v>
      </c>
      <c r="C660" t="s">
        <v>8434</v>
      </c>
      <c r="D660" t="s">
        <v>8435</v>
      </c>
      <c r="G660" t="str">
        <f>B660&amp;":"&amp;C660&amp;":"&amp;D660</f>
        <v>Interface {#IFNAME}({#IFALIAS}): High error rate (&gt;{$IF.ERRORS.WARN:{#IFNAME}} for 5m)</v>
      </c>
      <c r="H660" t="e">
        <f>INDEX('7.0.17'!G:G,MATCH(G660,'7.0.17'!F:F,0))</f>
        <v>#N/A</v>
      </c>
      <c r="I660" t="e">
        <f t="shared" si="102"/>
        <v>#N/A</v>
      </c>
    </row>
    <row r="661" spans="1:9">
      <c r="A661" t="s">
        <v>8862</v>
      </c>
      <c r="B661" t="s">
        <v>8433</v>
      </c>
      <c r="C661" t="s">
        <v>8436</v>
      </c>
      <c r="D661" t="s">
        <v>8437</v>
      </c>
      <c r="G661" t="str">
        <f>B661&amp;":"&amp;C661&amp;":"&amp;D661</f>
        <v>Interface {#IFNAME}({#IFALIAS}): High bandwidth usage (&gt;{$IF.UTIL.MAX:{#IFNAME}}%)</v>
      </c>
      <c r="H661" t="e">
        <f>INDEX('7.0.17'!G:G,MATCH(G661,'7.0.17'!F:F,0))</f>
        <v>#N/A</v>
      </c>
      <c r="I661" t="e">
        <f t="shared" si="102"/>
        <v>#N/A</v>
      </c>
    </row>
    <row r="662" spans="1:9">
      <c r="A662" t="s">
        <v>8862</v>
      </c>
      <c r="B662" t="s">
        <v>8737</v>
      </c>
      <c r="C662" t="s">
        <v>8439</v>
      </c>
      <c r="D662" t="s">
        <v>8440</v>
      </c>
      <c r="E662" t="s">
        <v>8598</v>
      </c>
      <c r="G662" t="str">
        <f t="shared" ref="G662:G667" si="105">B662&amp;":"&amp;C662&amp;":"&amp;D662&amp;":"&amp;E662</f>
        <v>CPU: Temperature is above critical threshold: &gt;{$TEMP_CRIT:"CPU"}</v>
      </c>
      <c r="H662" t="e">
        <f>INDEX('7.0.17'!G:G,MATCH(G662,'7.0.17'!F:F,0))</f>
        <v>#N/A</v>
      </c>
      <c r="I662" t="e">
        <f t="shared" si="102"/>
        <v>#N/A</v>
      </c>
    </row>
    <row r="663" spans="1:9">
      <c r="A663" t="s">
        <v>8862</v>
      </c>
      <c r="B663" t="s">
        <v>8737</v>
      </c>
      <c r="C663" t="s">
        <v>8442</v>
      </c>
      <c r="D663" t="s">
        <v>8443</v>
      </c>
      <c r="E663" t="s">
        <v>8598</v>
      </c>
      <c r="G663" t="str">
        <f t="shared" si="105"/>
        <v>CPU: Temperature is above warning threshold: &gt;{$TEMP_WARN:"CPU"}</v>
      </c>
      <c r="H663" t="e">
        <f>INDEX('7.0.17'!G:G,MATCH(G663,'7.0.17'!F:F,0))</f>
        <v>#N/A</v>
      </c>
      <c r="I663" t="e">
        <f t="shared" si="102"/>
        <v>#N/A</v>
      </c>
    </row>
    <row r="664" spans="1:9">
      <c r="A664" t="s">
        <v>8862</v>
      </c>
      <c r="B664" t="s">
        <v>8737</v>
      </c>
      <c r="C664" t="s">
        <v>8444</v>
      </c>
      <c r="D664" t="s">
        <v>8445</v>
      </c>
      <c r="E664" t="s">
        <v>8598</v>
      </c>
      <c r="G664" t="str">
        <f t="shared" si="105"/>
        <v>CPU: Temperature is too low: &lt;{$TEMP_CRIT_LOW:"CPU"}</v>
      </c>
      <c r="H664" t="e">
        <f>INDEX('7.0.17'!G:G,MATCH(G664,'7.0.17'!F:F,0))</f>
        <v>#N/A</v>
      </c>
      <c r="I664" t="e">
        <f t="shared" si="102"/>
        <v>#N/A</v>
      </c>
    </row>
    <row r="665" spans="1:9">
      <c r="A665" t="s">
        <v>8862</v>
      </c>
      <c r="B665" t="s">
        <v>8867</v>
      </c>
      <c r="C665" t="s">
        <v>8439</v>
      </c>
      <c r="D665" t="s">
        <v>8440</v>
      </c>
      <c r="E665" t="s">
        <v>8868</v>
      </c>
      <c r="G665" t="str">
        <f t="shared" si="105"/>
        <v>Device: Temperature is above critical threshold: &gt;{$TEMP_CRIT:Device}</v>
      </c>
      <c r="H665" t="e">
        <f>INDEX('7.0.17'!G:G,MATCH(G665,'7.0.17'!F:F,0))</f>
        <v>#N/A</v>
      </c>
      <c r="I665" t="e">
        <f t="shared" si="102"/>
        <v>#N/A</v>
      </c>
    </row>
    <row r="666" spans="1:9">
      <c r="A666" t="s">
        <v>8862</v>
      </c>
      <c r="B666" t="s">
        <v>8867</v>
      </c>
      <c r="C666" t="s">
        <v>8442</v>
      </c>
      <c r="D666" t="s">
        <v>8443</v>
      </c>
      <c r="E666" t="s">
        <v>8868</v>
      </c>
      <c r="G666" t="str">
        <f t="shared" si="105"/>
        <v>Device: Temperature is above warning threshold: &gt;{$TEMP_WARN:Device}</v>
      </c>
      <c r="H666" t="e">
        <f>INDEX('7.0.17'!G:G,MATCH(G666,'7.0.17'!F:F,0))</f>
        <v>#N/A</v>
      </c>
      <c r="I666" t="e">
        <f t="shared" si="102"/>
        <v>#N/A</v>
      </c>
    </row>
    <row r="667" spans="1:9">
      <c r="A667" t="s">
        <v>8862</v>
      </c>
      <c r="B667" t="s">
        <v>8867</v>
      </c>
      <c r="C667" t="s">
        <v>8444</v>
      </c>
      <c r="D667" t="s">
        <v>8445</v>
      </c>
      <c r="E667" t="s">
        <v>8868</v>
      </c>
      <c r="G667" t="str">
        <f t="shared" si="105"/>
        <v>Device: Temperature is too low: &lt;{$TEMP_CRIT_LOW:Device}</v>
      </c>
      <c r="H667" t="e">
        <f>INDEX('7.0.17'!G:G,MATCH(G667,'7.0.17'!F:F,0))</f>
        <v>#N/A</v>
      </c>
      <c r="I667" t="e">
        <f t="shared" si="102"/>
        <v>#N/A</v>
      </c>
    </row>
    <row r="668" spans="1:9">
      <c r="A668" t="s">
        <v>8862</v>
      </c>
      <c r="B668" t="s">
        <v>8564</v>
      </c>
      <c r="C668" t="s">
        <v>8565</v>
      </c>
      <c r="G668" t="str">
        <f t="shared" ref="G668:G674" si="106">B668&amp;":"&amp;C668</f>
        <v>#{#SNMPINDEX}: High CPU utilization (over {$CPU.UTIL.CRIT}% for 5m)</v>
      </c>
      <c r="H668" t="e">
        <f>INDEX('7.0.17'!G:G,MATCH(G668,'7.0.17'!F:F,0))</f>
        <v>#N/A</v>
      </c>
      <c r="I668" t="e">
        <f t="shared" si="102"/>
        <v>#N/A</v>
      </c>
    </row>
    <row r="669" spans="1:9">
      <c r="A669" t="s">
        <v>8862</v>
      </c>
      <c r="B669" t="s">
        <v>8869</v>
      </c>
      <c r="C669" t="s">
        <v>8512</v>
      </c>
      <c r="D669" t="s">
        <v>8870</v>
      </c>
      <c r="G669" t="str">
        <f>B669&amp;":"&amp;C669&amp;":"&amp;D669</f>
        <v>Disk-{#SNMPINDEX}: Disk space is critically low (used &gt; {$VFS.FS.PUSED.MAX.CRIT:Disk-"{#SNMPINDEX}"}%)</v>
      </c>
      <c r="H669" t="e">
        <f>INDEX('7.0.17'!G:G,MATCH(G669,'7.0.17'!F:F,0))</f>
        <v>#N/A</v>
      </c>
      <c r="I669" t="e">
        <f t="shared" si="102"/>
        <v>#N/A</v>
      </c>
    </row>
    <row r="670" spans="1:9">
      <c r="A670" t="s">
        <v>8862</v>
      </c>
      <c r="B670" t="s">
        <v>8869</v>
      </c>
      <c r="C670" t="s">
        <v>8513</v>
      </c>
      <c r="D670" t="s">
        <v>8870</v>
      </c>
      <c r="G670" t="str">
        <f>B670&amp;":"&amp;C670&amp;":"&amp;D670</f>
        <v>Disk-{#SNMPINDEX}: Disk space is low (used &gt; {$VFS.FS.PUSED.MAX.WARN:Disk-"{#SNMPINDEX}"}%)</v>
      </c>
      <c r="H670" t="e">
        <f>INDEX('7.0.17'!G:G,MATCH(G670,'7.0.17'!F:F,0))</f>
        <v>#N/A</v>
      </c>
      <c r="I670" t="e">
        <f t="shared" si="102"/>
        <v>#N/A</v>
      </c>
    </row>
    <row r="671" spans="1:9">
      <c r="A671" t="s">
        <v>8862</v>
      </c>
      <c r="B671" t="s">
        <v>8433</v>
      </c>
      <c r="C671" t="s">
        <v>8863</v>
      </c>
      <c r="G671" t="str">
        <f t="shared" si="106"/>
        <v>Interface {#IFNAME}({#IFALIAS}): LTE modem RSRP is low (below {$LTEMODEM.RSRP.MIN.WARN}dbm for 5m)</v>
      </c>
      <c r="H671" t="e">
        <f>INDEX('7.0.17'!G:G,MATCH(G671,'7.0.17'!F:F,0))</f>
        <v>#N/A</v>
      </c>
      <c r="I671" t="e">
        <f t="shared" si="102"/>
        <v>#N/A</v>
      </c>
    </row>
    <row r="672" spans="1:9">
      <c r="A672" t="s">
        <v>8862</v>
      </c>
      <c r="B672" t="s">
        <v>8433</v>
      </c>
      <c r="C672" t="s">
        <v>8864</v>
      </c>
      <c r="G672" t="str">
        <f t="shared" si="106"/>
        <v>Interface {#IFNAME}({#IFALIAS}): LTE modem RSRQ is low (below {$LTEMODEM.RSRQ.MIN.WARN}db for 5m)</v>
      </c>
      <c r="H672" t="e">
        <f>INDEX('7.0.17'!G:G,MATCH(G672,'7.0.17'!F:F,0))</f>
        <v>#N/A</v>
      </c>
      <c r="I672" t="e">
        <f t="shared" si="102"/>
        <v>#N/A</v>
      </c>
    </row>
    <row r="673" spans="1:9">
      <c r="A673" t="s">
        <v>8862</v>
      </c>
      <c r="B673" t="s">
        <v>8433</v>
      </c>
      <c r="C673" t="s">
        <v>8865</v>
      </c>
      <c r="G673" t="str">
        <f t="shared" si="106"/>
        <v>Interface {#IFNAME}({#IFALIAS}): LTE modem RSSI is low (below {$LTEMODEM.RSSI.MIN.WARN}dbm for 5m)</v>
      </c>
      <c r="H673" t="e">
        <f>INDEX('7.0.17'!G:G,MATCH(G673,'7.0.17'!F:F,0))</f>
        <v>#N/A</v>
      </c>
      <c r="I673" t="e">
        <f t="shared" si="102"/>
        <v>#N/A</v>
      </c>
    </row>
    <row r="674" spans="1:9">
      <c r="A674" t="s">
        <v>8862</v>
      </c>
      <c r="B674" t="s">
        <v>8433</v>
      </c>
      <c r="C674" t="s">
        <v>8866</v>
      </c>
      <c r="G674" t="str">
        <f t="shared" si="106"/>
        <v>Interface {#IFNAME}({#IFALIAS}): LTE modem SINR is low (below {$LTEMODEM.SINR.MIN.WARN}db for 5m)</v>
      </c>
      <c r="H674" t="e">
        <f>INDEX('7.0.17'!G:G,MATCH(G674,'7.0.17'!F:F,0))</f>
        <v>#N/A</v>
      </c>
      <c r="I674" t="e">
        <f t="shared" si="102"/>
        <v>#N/A</v>
      </c>
    </row>
    <row r="675" spans="1:9">
      <c r="A675" t="s">
        <v>8862</v>
      </c>
      <c r="B675" t="s">
        <v>8433</v>
      </c>
      <c r="C675" t="s">
        <v>8434</v>
      </c>
      <c r="D675" t="s">
        <v>8435</v>
      </c>
      <c r="G675" t="str">
        <f>B675&amp;":"&amp;C675&amp;":"&amp;D675</f>
        <v>Interface {#IFNAME}({#IFALIAS}): High error rate (&gt;{$IF.ERRORS.WARN:{#IFNAME}} for 5m)</v>
      </c>
      <c r="H675" t="e">
        <f>INDEX('7.0.17'!G:G,MATCH(G675,'7.0.17'!F:F,0))</f>
        <v>#N/A</v>
      </c>
      <c r="I675" t="e">
        <f t="shared" si="102"/>
        <v>#N/A</v>
      </c>
    </row>
    <row r="676" spans="1:9">
      <c r="A676" t="s">
        <v>8862</v>
      </c>
      <c r="B676" t="s">
        <v>8433</v>
      </c>
      <c r="C676" t="s">
        <v>8436</v>
      </c>
      <c r="D676" t="s">
        <v>8437</v>
      </c>
      <c r="G676" t="str">
        <f>B676&amp;":"&amp;C676&amp;":"&amp;D676</f>
        <v>Interface {#IFNAME}({#IFALIAS}): High bandwidth usage (&gt;{$IF.UTIL.MAX:{#IFNAME}}%)</v>
      </c>
      <c r="H676" t="e">
        <f>INDEX('7.0.17'!G:G,MATCH(G676,'7.0.17'!F:F,0))</f>
        <v>#N/A</v>
      </c>
      <c r="I676" t="e">
        <f t="shared" si="102"/>
        <v>#N/A</v>
      </c>
    </row>
    <row r="677" spans="1:9">
      <c r="A677" t="s">
        <v>8862</v>
      </c>
      <c r="B677" t="s">
        <v>8737</v>
      </c>
      <c r="C677" t="s">
        <v>8439</v>
      </c>
      <c r="D677" t="s">
        <v>8440</v>
      </c>
      <c r="E677" t="s">
        <v>8598</v>
      </c>
      <c r="G677" t="str">
        <f t="shared" ref="G677:G682" si="107">B677&amp;":"&amp;C677&amp;":"&amp;D677&amp;":"&amp;E677</f>
        <v>CPU: Temperature is above critical threshold: &gt;{$TEMP_CRIT:"CPU"}</v>
      </c>
      <c r="H677" t="e">
        <f>INDEX('7.0.17'!G:G,MATCH(G677,'7.0.17'!F:F,0))</f>
        <v>#N/A</v>
      </c>
      <c r="I677" t="e">
        <f t="shared" si="102"/>
        <v>#N/A</v>
      </c>
    </row>
    <row r="678" spans="1:9">
      <c r="A678" t="s">
        <v>8862</v>
      </c>
      <c r="B678" t="s">
        <v>8737</v>
      </c>
      <c r="C678" t="s">
        <v>8442</v>
      </c>
      <c r="D678" t="s">
        <v>8443</v>
      </c>
      <c r="E678" t="s">
        <v>8598</v>
      </c>
      <c r="G678" t="str">
        <f t="shared" si="107"/>
        <v>CPU: Temperature is above warning threshold: &gt;{$TEMP_WARN:"CPU"}</v>
      </c>
      <c r="H678" t="e">
        <f>INDEX('7.0.17'!G:G,MATCH(G678,'7.0.17'!F:F,0))</f>
        <v>#N/A</v>
      </c>
      <c r="I678" t="e">
        <f t="shared" si="102"/>
        <v>#N/A</v>
      </c>
    </row>
    <row r="679" spans="1:9">
      <c r="A679" t="s">
        <v>8862</v>
      </c>
      <c r="B679" t="s">
        <v>8737</v>
      </c>
      <c r="C679" t="s">
        <v>8444</v>
      </c>
      <c r="D679" t="s">
        <v>8445</v>
      </c>
      <c r="E679" t="s">
        <v>8598</v>
      </c>
      <c r="G679" t="str">
        <f t="shared" si="107"/>
        <v>CPU: Temperature is too low: &lt;{$TEMP_CRIT_LOW:"CPU"}</v>
      </c>
      <c r="H679" t="e">
        <f>INDEX('7.0.17'!G:G,MATCH(G679,'7.0.17'!F:F,0))</f>
        <v>#N/A</v>
      </c>
      <c r="I679" t="e">
        <f t="shared" si="102"/>
        <v>#N/A</v>
      </c>
    </row>
    <row r="680" spans="1:9">
      <c r="A680" t="s">
        <v>8862</v>
      </c>
      <c r="B680" t="s">
        <v>8867</v>
      </c>
      <c r="C680" t="s">
        <v>8439</v>
      </c>
      <c r="D680" t="s">
        <v>8440</v>
      </c>
      <c r="E680" t="s">
        <v>8868</v>
      </c>
      <c r="G680" t="str">
        <f t="shared" si="107"/>
        <v>Device: Temperature is above critical threshold: &gt;{$TEMP_CRIT:Device}</v>
      </c>
      <c r="H680" t="e">
        <f>INDEX('7.0.17'!G:G,MATCH(G680,'7.0.17'!F:F,0))</f>
        <v>#N/A</v>
      </c>
      <c r="I680" t="e">
        <f t="shared" si="102"/>
        <v>#N/A</v>
      </c>
    </row>
    <row r="681" spans="1:9">
      <c r="A681" t="s">
        <v>8862</v>
      </c>
      <c r="B681" t="s">
        <v>8867</v>
      </c>
      <c r="C681" t="s">
        <v>8442</v>
      </c>
      <c r="D681" t="s">
        <v>8443</v>
      </c>
      <c r="E681" t="s">
        <v>8868</v>
      </c>
      <c r="G681" t="str">
        <f t="shared" si="107"/>
        <v>Device: Temperature is above warning threshold: &gt;{$TEMP_WARN:Device}</v>
      </c>
      <c r="H681" t="e">
        <f>INDEX('7.0.17'!G:G,MATCH(G681,'7.0.17'!F:F,0))</f>
        <v>#N/A</v>
      </c>
      <c r="I681" t="e">
        <f t="shared" si="102"/>
        <v>#N/A</v>
      </c>
    </row>
    <row r="682" spans="1:9">
      <c r="A682" t="s">
        <v>8862</v>
      </c>
      <c r="B682" t="s">
        <v>8867</v>
      </c>
      <c r="C682" t="s">
        <v>8444</v>
      </c>
      <c r="D682" t="s">
        <v>8445</v>
      </c>
      <c r="E682" t="s">
        <v>8868</v>
      </c>
      <c r="G682" t="str">
        <f t="shared" si="107"/>
        <v>Device: Temperature is too low: &lt;{$TEMP_CRIT_LOW:Device}</v>
      </c>
      <c r="H682" t="e">
        <f>INDEX('7.0.17'!G:G,MATCH(G682,'7.0.17'!F:F,0))</f>
        <v>#N/A</v>
      </c>
      <c r="I682" t="e">
        <f t="shared" si="102"/>
        <v>#N/A</v>
      </c>
    </row>
    <row r="683" spans="1:9">
      <c r="A683" t="s">
        <v>8862</v>
      </c>
      <c r="B683" t="s">
        <v>8564</v>
      </c>
      <c r="C683" t="s">
        <v>8565</v>
      </c>
      <c r="G683" t="str">
        <f t="shared" ref="G683:G689" si="108">B683&amp;":"&amp;C683</f>
        <v>#{#SNMPINDEX}: High CPU utilization (over {$CPU.UTIL.CRIT}% for 5m)</v>
      </c>
      <c r="H683" t="e">
        <f>INDEX('7.0.17'!G:G,MATCH(G683,'7.0.17'!F:F,0))</f>
        <v>#N/A</v>
      </c>
      <c r="I683" t="e">
        <f t="shared" si="102"/>
        <v>#N/A</v>
      </c>
    </row>
    <row r="684" spans="1:9">
      <c r="A684" t="s">
        <v>8862</v>
      </c>
      <c r="B684" t="s">
        <v>8869</v>
      </c>
      <c r="C684" t="s">
        <v>8512</v>
      </c>
      <c r="D684" t="s">
        <v>8870</v>
      </c>
      <c r="G684" t="str">
        <f>B684&amp;":"&amp;C684&amp;":"&amp;D684</f>
        <v>Disk-{#SNMPINDEX}: Disk space is critically low (used &gt; {$VFS.FS.PUSED.MAX.CRIT:Disk-"{#SNMPINDEX}"}%)</v>
      </c>
      <c r="H684" t="e">
        <f>INDEX('7.0.17'!G:G,MATCH(G684,'7.0.17'!F:F,0))</f>
        <v>#N/A</v>
      </c>
      <c r="I684" t="e">
        <f t="shared" si="102"/>
        <v>#N/A</v>
      </c>
    </row>
    <row r="685" spans="1:9">
      <c r="A685" t="s">
        <v>8862</v>
      </c>
      <c r="B685" t="s">
        <v>8869</v>
      </c>
      <c r="C685" t="s">
        <v>8513</v>
      </c>
      <c r="D685" t="s">
        <v>8870</v>
      </c>
      <c r="G685" t="str">
        <f>B685&amp;":"&amp;C685&amp;":"&amp;D685</f>
        <v>Disk-{#SNMPINDEX}: Disk space is low (used &gt; {$VFS.FS.PUSED.MAX.WARN:Disk-"{#SNMPINDEX}"}%)</v>
      </c>
      <c r="H685" t="e">
        <f>INDEX('7.0.17'!G:G,MATCH(G685,'7.0.17'!F:F,0))</f>
        <v>#N/A</v>
      </c>
      <c r="I685" t="e">
        <f t="shared" si="102"/>
        <v>#N/A</v>
      </c>
    </row>
    <row r="686" spans="1:9">
      <c r="A686" t="s">
        <v>8862</v>
      </c>
      <c r="B686" t="s">
        <v>8433</v>
      </c>
      <c r="C686" t="s">
        <v>8863</v>
      </c>
      <c r="G686" t="str">
        <f t="shared" si="108"/>
        <v>Interface {#IFNAME}({#IFALIAS}): LTE modem RSRP is low (below {$LTEMODEM.RSRP.MIN.WARN}dbm for 5m)</v>
      </c>
      <c r="H686" t="e">
        <f>INDEX('7.0.17'!G:G,MATCH(G686,'7.0.17'!F:F,0))</f>
        <v>#N/A</v>
      </c>
      <c r="I686" t="e">
        <f t="shared" si="102"/>
        <v>#N/A</v>
      </c>
    </row>
    <row r="687" spans="1:9">
      <c r="A687" t="s">
        <v>8862</v>
      </c>
      <c r="B687" t="s">
        <v>8433</v>
      </c>
      <c r="C687" t="s">
        <v>8864</v>
      </c>
      <c r="G687" t="str">
        <f t="shared" si="108"/>
        <v>Interface {#IFNAME}({#IFALIAS}): LTE modem RSRQ is low (below {$LTEMODEM.RSRQ.MIN.WARN}db for 5m)</v>
      </c>
      <c r="H687" t="e">
        <f>INDEX('7.0.17'!G:G,MATCH(G687,'7.0.17'!F:F,0))</f>
        <v>#N/A</v>
      </c>
      <c r="I687" t="e">
        <f t="shared" si="102"/>
        <v>#N/A</v>
      </c>
    </row>
    <row r="688" spans="1:9">
      <c r="A688" t="s">
        <v>8862</v>
      </c>
      <c r="B688" t="s">
        <v>8433</v>
      </c>
      <c r="C688" t="s">
        <v>8865</v>
      </c>
      <c r="G688" t="str">
        <f t="shared" si="108"/>
        <v>Interface {#IFNAME}({#IFALIAS}): LTE modem RSSI is low (below {$LTEMODEM.RSSI.MIN.WARN}dbm for 5m)</v>
      </c>
      <c r="H688" t="e">
        <f>INDEX('7.0.17'!G:G,MATCH(G688,'7.0.17'!F:F,0))</f>
        <v>#N/A</v>
      </c>
      <c r="I688" t="e">
        <f t="shared" si="102"/>
        <v>#N/A</v>
      </c>
    </row>
    <row r="689" spans="1:9">
      <c r="A689" t="s">
        <v>8862</v>
      </c>
      <c r="B689" t="s">
        <v>8433</v>
      </c>
      <c r="C689" t="s">
        <v>8866</v>
      </c>
      <c r="G689" t="str">
        <f t="shared" si="108"/>
        <v>Interface {#IFNAME}({#IFALIAS}): LTE modem SINR is low (below {$LTEMODEM.SINR.MIN.WARN}db for 5m)</v>
      </c>
      <c r="H689" t="e">
        <f>INDEX('7.0.17'!G:G,MATCH(G689,'7.0.17'!F:F,0))</f>
        <v>#N/A</v>
      </c>
      <c r="I689" t="e">
        <f t="shared" si="102"/>
        <v>#N/A</v>
      </c>
    </row>
    <row r="690" spans="1:9">
      <c r="A690" t="s">
        <v>8862</v>
      </c>
      <c r="B690" t="s">
        <v>8433</v>
      </c>
      <c r="C690" t="s">
        <v>8434</v>
      </c>
      <c r="D690" t="s">
        <v>8435</v>
      </c>
      <c r="G690" t="str">
        <f>B690&amp;":"&amp;C690&amp;":"&amp;D690</f>
        <v>Interface {#IFNAME}({#IFALIAS}): High error rate (&gt;{$IF.ERRORS.WARN:{#IFNAME}} for 5m)</v>
      </c>
      <c r="H690" t="e">
        <f>INDEX('7.0.17'!G:G,MATCH(G690,'7.0.17'!F:F,0))</f>
        <v>#N/A</v>
      </c>
      <c r="I690" t="e">
        <f t="shared" si="102"/>
        <v>#N/A</v>
      </c>
    </row>
    <row r="691" spans="1:9">
      <c r="A691" t="s">
        <v>8862</v>
      </c>
      <c r="B691" t="s">
        <v>8433</v>
      </c>
      <c r="C691" t="s">
        <v>8436</v>
      </c>
      <c r="D691" t="s">
        <v>8437</v>
      </c>
      <c r="G691" t="str">
        <f>B691&amp;":"&amp;C691&amp;":"&amp;D691</f>
        <v>Interface {#IFNAME}({#IFALIAS}): High bandwidth usage (&gt;{$IF.UTIL.MAX:{#IFNAME}}%)</v>
      </c>
      <c r="H691" t="e">
        <f>INDEX('7.0.17'!G:G,MATCH(G691,'7.0.17'!F:F,0))</f>
        <v>#N/A</v>
      </c>
      <c r="I691" t="e">
        <f t="shared" si="102"/>
        <v>#N/A</v>
      </c>
    </row>
    <row r="692" spans="1:9">
      <c r="A692" t="s">
        <v>8862</v>
      </c>
      <c r="B692" t="s">
        <v>8737</v>
      </c>
      <c r="C692" t="s">
        <v>8439</v>
      </c>
      <c r="D692" t="s">
        <v>8440</v>
      </c>
      <c r="E692" t="s">
        <v>8598</v>
      </c>
      <c r="G692" t="str">
        <f t="shared" ref="G692:G697" si="109">B692&amp;":"&amp;C692&amp;":"&amp;D692&amp;":"&amp;E692</f>
        <v>CPU: Temperature is above critical threshold: &gt;{$TEMP_CRIT:"CPU"}</v>
      </c>
      <c r="H692" t="e">
        <f>INDEX('7.0.17'!G:G,MATCH(G692,'7.0.17'!F:F,0))</f>
        <v>#N/A</v>
      </c>
      <c r="I692" t="e">
        <f t="shared" si="102"/>
        <v>#N/A</v>
      </c>
    </row>
    <row r="693" spans="1:9">
      <c r="A693" t="s">
        <v>8862</v>
      </c>
      <c r="B693" t="s">
        <v>8737</v>
      </c>
      <c r="C693" t="s">
        <v>8442</v>
      </c>
      <c r="D693" t="s">
        <v>8443</v>
      </c>
      <c r="E693" t="s">
        <v>8598</v>
      </c>
      <c r="G693" t="str">
        <f t="shared" si="109"/>
        <v>CPU: Temperature is above warning threshold: &gt;{$TEMP_WARN:"CPU"}</v>
      </c>
      <c r="H693" t="e">
        <f>INDEX('7.0.17'!G:G,MATCH(G693,'7.0.17'!F:F,0))</f>
        <v>#N/A</v>
      </c>
      <c r="I693" t="e">
        <f t="shared" si="102"/>
        <v>#N/A</v>
      </c>
    </row>
    <row r="694" spans="1:9">
      <c r="A694" t="s">
        <v>8862</v>
      </c>
      <c r="B694" t="s">
        <v>8737</v>
      </c>
      <c r="C694" t="s">
        <v>8444</v>
      </c>
      <c r="D694" t="s">
        <v>8445</v>
      </c>
      <c r="E694" t="s">
        <v>8598</v>
      </c>
      <c r="G694" t="str">
        <f t="shared" si="109"/>
        <v>CPU: Temperature is too low: &lt;{$TEMP_CRIT_LOW:"CPU"}</v>
      </c>
      <c r="H694" t="e">
        <f>INDEX('7.0.17'!G:G,MATCH(G694,'7.0.17'!F:F,0))</f>
        <v>#N/A</v>
      </c>
      <c r="I694" t="e">
        <f t="shared" si="102"/>
        <v>#N/A</v>
      </c>
    </row>
    <row r="695" spans="1:9">
      <c r="A695" t="s">
        <v>8862</v>
      </c>
      <c r="B695" t="s">
        <v>8867</v>
      </c>
      <c r="C695" t="s">
        <v>8439</v>
      </c>
      <c r="D695" t="s">
        <v>8440</v>
      </c>
      <c r="E695" t="s">
        <v>8868</v>
      </c>
      <c r="G695" t="str">
        <f t="shared" si="109"/>
        <v>Device: Temperature is above critical threshold: &gt;{$TEMP_CRIT:Device}</v>
      </c>
      <c r="H695" t="e">
        <f>INDEX('7.0.17'!G:G,MATCH(G695,'7.0.17'!F:F,0))</f>
        <v>#N/A</v>
      </c>
      <c r="I695" t="e">
        <f t="shared" si="102"/>
        <v>#N/A</v>
      </c>
    </row>
    <row r="696" spans="1:9">
      <c r="A696" t="s">
        <v>8862</v>
      </c>
      <c r="B696" t="s">
        <v>8867</v>
      </c>
      <c r="C696" t="s">
        <v>8442</v>
      </c>
      <c r="D696" t="s">
        <v>8443</v>
      </c>
      <c r="E696" t="s">
        <v>8868</v>
      </c>
      <c r="G696" t="str">
        <f t="shared" si="109"/>
        <v>Device: Temperature is above warning threshold: &gt;{$TEMP_WARN:Device}</v>
      </c>
      <c r="H696" t="e">
        <f>INDEX('7.0.17'!G:G,MATCH(G696,'7.0.17'!F:F,0))</f>
        <v>#N/A</v>
      </c>
      <c r="I696" t="e">
        <f t="shared" si="102"/>
        <v>#N/A</v>
      </c>
    </row>
    <row r="697" spans="1:9">
      <c r="A697" t="s">
        <v>8862</v>
      </c>
      <c r="B697" t="s">
        <v>8867</v>
      </c>
      <c r="C697" t="s">
        <v>8444</v>
      </c>
      <c r="D697" t="s">
        <v>8445</v>
      </c>
      <c r="E697" t="s">
        <v>8868</v>
      </c>
      <c r="G697" t="str">
        <f t="shared" si="109"/>
        <v>Device: Temperature is too low: &lt;{$TEMP_CRIT_LOW:Device}</v>
      </c>
      <c r="H697" t="e">
        <f>INDEX('7.0.17'!G:G,MATCH(G697,'7.0.17'!F:F,0))</f>
        <v>#N/A</v>
      </c>
      <c r="I697" t="e">
        <f t="shared" si="102"/>
        <v>#N/A</v>
      </c>
    </row>
    <row r="698" spans="1:9">
      <c r="A698" t="s">
        <v>8862</v>
      </c>
      <c r="B698" t="s">
        <v>8564</v>
      </c>
      <c r="C698" t="s">
        <v>8565</v>
      </c>
      <c r="G698" t="str">
        <f t="shared" ref="G698:G704" si="110">B698&amp;":"&amp;C698</f>
        <v>#{#SNMPINDEX}: High CPU utilization (over {$CPU.UTIL.CRIT}% for 5m)</v>
      </c>
      <c r="H698" t="e">
        <f>INDEX('7.0.17'!G:G,MATCH(G698,'7.0.17'!F:F,0))</f>
        <v>#N/A</v>
      </c>
      <c r="I698" t="e">
        <f t="shared" si="102"/>
        <v>#N/A</v>
      </c>
    </row>
    <row r="699" spans="1:9">
      <c r="A699" t="s">
        <v>8862</v>
      </c>
      <c r="B699" t="s">
        <v>8869</v>
      </c>
      <c r="C699" t="s">
        <v>8512</v>
      </c>
      <c r="D699" t="s">
        <v>8870</v>
      </c>
      <c r="G699" t="str">
        <f>B699&amp;":"&amp;C699&amp;":"&amp;D699</f>
        <v>Disk-{#SNMPINDEX}: Disk space is critically low (used &gt; {$VFS.FS.PUSED.MAX.CRIT:Disk-"{#SNMPINDEX}"}%)</v>
      </c>
      <c r="H699" t="e">
        <f>INDEX('7.0.17'!G:G,MATCH(G699,'7.0.17'!F:F,0))</f>
        <v>#N/A</v>
      </c>
      <c r="I699" t="e">
        <f t="shared" si="102"/>
        <v>#N/A</v>
      </c>
    </row>
    <row r="700" spans="1:9">
      <c r="A700" t="s">
        <v>8862</v>
      </c>
      <c r="B700" t="s">
        <v>8869</v>
      </c>
      <c r="C700" t="s">
        <v>8513</v>
      </c>
      <c r="D700" t="s">
        <v>8870</v>
      </c>
      <c r="G700" t="str">
        <f>B700&amp;":"&amp;C700&amp;":"&amp;D700</f>
        <v>Disk-{#SNMPINDEX}: Disk space is low (used &gt; {$VFS.FS.PUSED.MAX.WARN:Disk-"{#SNMPINDEX}"}%)</v>
      </c>
      <c r="H700" t="e">
        <f>INDEX('7.0.17'!G:G,MATCH(G700,'7.0.17'!F:F,0))</f>
        <v>#N/A</v>
      </c>
      <c r="I700" t="e">
        <f t="shared" si="102"/>
        <v>#N/A</v>
      </c>
    </row>
    <row r="701" spans="1:9">
      <c r="A701" t="s">
        <v>8862</v>
      </c>
      <c r="B701" t="s">
        <v>8433</v>
      </c>
      <c r="C701" t="s">
        <v>8863</v>
      </c>
      <c r="G701" t="str">
        <f t="shared" si="110"/>
        <v>Interface {#IFNAME}({#IFALIAS}): LTE modem RSRP is low (below {$LTEMODEM.RSRP.MIN.WARN}dbm for 5m)</v>
      </c>
      <c r="H701" t="e">
        <f>INDEX('7.0.17'!G:G,MATCH(G701,'7.0.17'!F:F,0))</f>
        <v>#N/A</v>
      </c>
      <c r="I701" t="e">
        <f t="shared" si="102"/>
        <v>#N/A</v>
      </c>
    </row>
    <row r="702" spans="1:9">
      <c r="A702" t="s">
        <v>8862</v>
      </c>
      <c r="B702" t="s">
        <v>8433</v>
      </c>
      <c r="C702" t="s">
        <v>8864</v>
      </c>
      <c r="G702" t="str">
        <f t="shared" si="110"/>
        <v>Interface {#IFNAME}({#IFALIAS}): LTE modem RSRQ is low (below {$LTEMODEM.RSRQ.MIN.WARN}db for 5m)</v>
      </c>
      <c r="H702" t="e">
        <f>INDEX('7.0.17'!G:G,MATCH(G702,'7.0.17'!F:F,0))</f>
        <v>#N/A</v>
      </c>
      <c r="I702" t="e">
        <f t="shared" si="102"/>
        <v>#N/A</v>
      </c>
    </row>
    <row r="703" spans="1:9">
      <c r="A703" t="s">
        <v>8862</v>
      </c>
      <c r="B703" t="s">
        <v>8433</v>
      </c>
      <c r="C703" t="s">
        <v>8865</v>
      </c>
      <c r="G703" t="str">
        <f t="shared" si="110"/>
        <v>Interface {#IFNAME}({#IFALIAS}): LTE modem RSSI is low (below {$LTEMODEM.RSSI.MIN.WARN}dbm for 5m)</v>
      </c>
      <c r="H703" t="e">
        <f>INDEX('7.0.17'!G:G,MATCH(G703,'7.0.17'!F:F,0))</f>
        <v>#N/A</v>
      </c>
      <c r="I703" t="e">
        <f t="shared" si="102"/>
        <v>#N/A</v>
      </c>
    </row>
    <row r="704" spans="1:9">
      <c r="A704" t="s">
        <v>8862</v>
      </c>
      <c r="B704" t="s">
        <v>8433</v>
      </c>
      <c r="C704" t="s">
        <v>8866</v>
      </c>
      <c r="G704" t="str">
        <f t="shared" si="110"/>
        <v>Interface {#IFNAME}({#IFALIAS}): LTE modem SINR is low (below {$LTEMODEM.SINR.MIN.WARN}db for 5m)</v>
      </c>
      <c r="H704" t="e">
        <f>INDEX('7.0.17'!G:G,MATCH(G704,'7.0.17'!F:F,0))</f>
        <v>#N/A</v>
      </c>
      <c r="I704" t="e">
        <f t="shared" si="102"/>
        <v>#N/A</v>
      </c>
    </row>
    <row r="705" spans="1:9">
      <c r="A705" t="s">
        <v>8862</v>
      </c>
      <c r="B705" t="s">
        <v>8433</v>
      </c>
      <c r="C705" t="s">
        <v>8434</v>
      </c>
      <c r="D705" t="s">
        <v>8435</v>
      </c>
      <c r="G705" t="str">
        <f>B705&amp;":"&amp;C705&amp;":"&amp;D705</f>
        <v>Interface {#IFNAME}({#IFALIAS}): High error rate (&gt;{$IF.ERRORS.WARN:{#IFNAME}} for 5m)</v>
      </c>
      <c r="H705" t="e">
        <f>INDEX('7.0.17'!G:G,MATCH(G705,'7.0.17'!F:F,0))</f>
        <v>#N/A</v>
      </c>
      <c r="I705" t="e">
        <f t="shared" si="102"/>
        <v>#N/A</v>
      </c>
    </row>
    <row r="706" spans="1:9">
      <c r="A706" t="s">
        <v>8862</v>
      </c>
      <c r="B706" t="s">
        <v>8433</v>
      </c>
      <c r="C706" t="s">
        <v>8436</v>
      </c>
      <c r="D706" t="s">
        <v>8437</v>
      </c>
      <c r="G706" t="str">
        <f>B706&amp;":"&amp;C706&amp;":"&amp;D706</f>
        <v>Interface {#IFNAME}({#IFALIAS}): High bandwidth usage (&gt;{$IF.UTIL.MAX:{#IFNAME}}%)</v>
      </c>
      <c r="H706" t="e">
        <f>INDEX('7.0.17'!G:G,MATCH(G706,'7.0.17'!F:F,0))</f>
        <v>#N/A</v>
      </c>
      <c r="I706" t="e">
        <f t="shared" si="102"/>
        <v>#N/A</v>
      </c>
    </row>
    <row r="707" spans="1:9">
      <c r="A707" t="s">
        <v>8862</v>
      </c>
      <c r="B707" t="s">
        <v>8737</v>
      </c>
      <c r="C707" t="s">
        <v>8439</v>
      </c>
      <c r="D707" t="s">
        <v>8440</v>
      </c>
      <c r="E707" t="s">
        <v>8598</v>
      </c>
      <c r="G707" t="str">
        <f t="shared" ref="G707:G712" si="111">B707&amp;":"&amp;C707&amp;":"&amp;D707&amp;":"&amp;E707</f>
        <v>CPU: Temperature is above critical threshold: &gt;{$TEMP_CRIT:"CPU"}</v>
      </c>
      <c r="H707" t="e">
        <f>INDEX('7.0.17'!G:G,MATCH(G707,'7.0.17'!F:F,0))</f>
        <v>#N/A</v>
      </c>
      <c r="I707" t="e">
        <f t="shared" ref="I707:I770" si="112">A707&amp;": "&amp;H707</f>
        <v>#N/A</v>
      </c>
    </row>
    <row r="708" spans="1:9">
      <c r="A708" t="s">
        <v>8862</v>
      </c>
      <c r="B708" t="s">
        <v>8737</v>
      </c>
      <c r="C708" t="s">
        <v>8442</v>
      </c>
      <c r="D708" t="s">
        <v>8443</v>
      </c>
      <c r="E708" t="s">
        <v>8598</v>
      </c>
      <c r="G708" t="str">
        <f t="shared" si="111"/>
        <v>CPU: Temperature is above warning threshold: &gt;{$TEMP_WARN:"CPU"}</v>
      </c>
      <c r="H708" t="e">
        <f>INDEX('7.0.17'!G:G,MATCH(G708,'7.0.17'!F:F,0))</f>
        <v>#N/A</v>
      </c>
      <c r="I708" t="e">
        <f t="shared" si="112"/>
        <v>#N/A</v>
      </c>
    </row>
    <row r="709" spans="1:9">
      <c r="A709" t="s">
        <v>8862</v>
      </c>
      <c r="B709" t="s">
        <v>8737</v>
      </c>
      <c r="C709" t="s">
        <v>8444</v>
      </c>
      <c r="D709" t="s">
        <v>8445</v>
      </c>
      <c r="E709" t="s">
        <v>8598</v>
      </c>
      <c r="G709" t="str">
        <f t="shared" si="111"/>
        <v>CPU: Temperature is too low: &lt;{$TEMP_CRIT_LOW:"CPU"}</v>
      </c>
      <c r="H709" t="e">
        <f>INDEX('7.0.17'!G:G,MATCH(G709,'7.0.17'!F:F,0))</f>
        <v>#N/A</v>
      </c>
      <c r="I709" t="e">
        <f t="shared" si="112"/>
        <v>#N/A</v>
      </c>
    </row>
    <row r="710" spans="1:9">
      <c r="A710" t="s">
        <v>8862</v>
      </c>
      <c r="B710" t="s">
        <v>8867</v>
      </c>
      <c r="C710" t="s">
        <v>8439</v>
      </c>
      <c r="D710" t="s">
        <v>8440</v>
      </c>
      <c r="E710" t="s">
        <v>8868</v>
      </c>
      <c r="G710" t="str">
        <f t="shared" si="111"/>
        <v>Device: Temperature is above critical threshold: &gt;{$TEMP_CRIT:Device}</v>
      </c>
      <c r="H710" t="e">
        <f>INDEX('7.0.17'!G:G,MATCH(G710,'7.0.17'!F:F,0))</f>
        <v>#N/A</v>
      </c>
      <c r="I710" t="e">
        <f t="shared" si="112"/>
        <v>#N/A</v>
      </c>
    </row>
    <row r="711" spans="1:9">
      <c r="A711" t="s">
        <v>8862</v>
      </c>
      <c r="B711" t="s">
        <v>8867</v>
      </c>
      <c r="C711" t="s">
        <v>8442</v>
      </c>
      <c r="D711" t="s">
        <v>8443</v>
      </c>
      <c r="E711" t="s">
        <v>8868</v>
      </c>
      <c r="G711" t="str">
        <f t="shared" si="111"/>
        <v>Device: Temperature is above warning threshold: &gt;{$TEMP_WARN:Device}</v>
      </c>
      <c r="H711" t="e">
        <f>INDEX('7.0.17'!G:G,MATCH(G711,'7.0.17'!F:F,0))</f>
        <v>#N/A</v>
      </c>
      <c r="I711" t="e">
        <f t="shared" si="112"/>
        <v>#N/A</v>
      </c>
    </row>
    <row r="712" spans="1:9">
      <c r="A712" t="s">
        <v>8862</v>
      </c>
      <c r="B712" t="s">
        <v>8867</v>
      </c>
      <c r="C712" t="s">
        <v>8444</v>
      </c>
      <c r="D712" t="s">
        <v>8445</v>
      </c>
      <c r="E712" t="s">
        <v>8868</v>
      </c>
      <c r="G712" t="str">
        <f t="shared" si="111"/>
        <v>Device: Temperature is too low: &lt;{$TEMP_CRIT_LOW:Device}</v>
      </c>
      <c r="H712" t="e">
        <f>INDEX('7.0.17'!G:G,MATCH(G712,'7.0.17'!F:F,0))</f>
        <v>#N/A</v>
      </c>
      <c r="I712" t="e">
        <f t="shared" si="112"/>
        <v>#N/A</v>
      </c>
    </row>
    <row r="713" spans="1:9">
      <c r="A713" t="s">
        <v>8862</v>
      </c>
      <c r="B713" t="s">
        <v>8564</v>
      </c>
      <c r="C713" t="s">
        <v>8565</v>
      </c>
      <c r="G713" t="str">
        <f t="shared" ref="G713:G719" si="113">B713&amp;":"&amp;C713</f>
        <v>#{#SNMPINDEX}: High CPU utilization (over {$CPU.UTIL.CRIT}% for 5m)</v>
      </c>
      <c r="H713" t="e">
        <f>INDEX('7.0.17'!G:G,MATCH(G713,'7.0.17'!F:F,0))</f>
        <v>#N/A</v>
      </c>
      <c r="I713" t="e">
        <f t="shared" si="112"/>
        <v>#N/A</v>
      </c>
    </row>
    <row r="714" spans="1:9">
      <c r="A714" t="s">
        <v>8862</v>
      </c>
      <c r="B714" t="s">
        <v>8869</v>
      </c>
      <c r="C714" t="s">
        <v>8512</v>
      </c>
      <c r="D714" t="s">
        <v>8870</v>
      </c>
      <c r="G714" t="str">
        <f>B714&amp;":"&amp;C714&amp;":"&amp;D714</f>
        <v>Disk-{#SNMPINDEX}: Disk space is critically low (used &gt; {$VFS.FS.PUSED.MAX.CRIT:Disk-"{#SNMPINDEX}"}%)</v>
      </c>
      <c r="H714" t="e">
        <f>INDEX('7.0.17'!G:G,MATCH(G714,'7.0.17'!F:F,0))</f>
        <v>#N/A</v>
      </c>
      <c r="I714" t="e">
        <f t="shared" si="112"/>
        <v>#N/A</v>
      </c>
    </row>
    <row r="715" spans="1:9">
      <c r="A715" t="s">
        <v>8862</v>
      </c>
      <c r="B715" t="s">
        <v>8869</v>
      </c>
      <c r="C715" t="s">
        <v>8513</v>
      </c>
      <c r="D715" t="s">
        <v>8870</v>
      </c>
      <c r="G715" t="str">
        <f>B715&amp;":"&amp;C715&amp;":"&amp;D715</f>
        <v>Disk-{#SNMPINDEX}: Disk space is low (used &gt; {$VFS.FS.PUSED.MAX.WARN:Disk-"{#SNMPINDEX}"}%)</v>
      </c>
      <c r="H715" t="e">
        <f>INDEX('7.0.17'!G:G,MATCH(G715,'7.0.17'!F:F,0))</f>
        <v>#N/A</v>
      </c>
      <c r="I715" t="e">
        <f t="shared" si="112"/>
        <v>#N/A</v>
      </c>
    </row>
    <row r="716" spans="1:9">
      <c r="A716" t="s">
        <v>8862</v>
      </c>
      <c r="B716" t="s">
        <v>8433</v>
      </c>
      <c r="C716" t="s">
        <v>8863</v>
      </c>
      <c r="G716" t="str">
        <f t="shared" si="113"/>
        <v>Interface {#IFNAME}({#IFALIAS}): LTE modem RSRP is low (below {$LTEMODEM.RSRP.MIN.WARN}dbm for 5m)</v>
      </c>
      <c r="H716" t="e">
        <f>INDEX('7.0.17'!G:G,MATCH(G716,'7.0.17'!F:F,0))</f>
        <v>#N/A</v>
      </c>
      <c r="I716" t="e">
        <f t="shared" si="112"/>
        <v>#N/A</v>
      </c>
    </row>
    <row r="717" spans="1:9">
      <c r="A717" t="s">
        <v>8862</v>
      </c>
      <c r="B717" t="s">
        <v>8433</v>
      </c>
      <c r="C717" t="s">
        <v>8864</v>
      </c>
      <c r="G717" t="str">
        <f t="shared" si="113"/>
        <v>Interface {#IFNAME}({#IFALIAS}): LTE modem RSRQ is low (below {$LTEMODEM.RSRQ.MIN.WARN}db for 5m)</v>
      </c>
      <c r="H717" t="e">
        <f>INDEX('7.0.17'!G:G,MATCH(G717,'7.0.17'!F:F,0))</f>
        <v>#N/A</v>
      </c>
      <c r="I717" t="e">
        <f t="shared" si="112"/>
        <v>#N/A</v>
      </c>
    </row>
    <row r="718" spans="1:9">
      <c r="A718" t="s">
        <v>8862</v>
      </c>
      <c r="B718" t="s">
        <v>8433</v>
      </c>
      <c r="C718" t="s">
        <v>8865</v>
      </c>
      <c r="G718" t="str">
        <f t="shared" si="113"/>
        <v>Interface {#IFNAME}({#IFALIAS}): LTE modem RSSI is low (below {$LTEMODEM.RSSI.MIN.WARN}dbm for 5m)</v>
      </c>
      <c r="H718" t="e">
        <f>INDEX('7.0.17'!G:G,MATCH(G718,'7.0.17'!F:F,0))</f>
        <v>#N/A</v>
      </c>
      <c r="I718" t="e">
        <f t="shared" si="112"/>
        <v>#N/A</v>
      </c>
    </row>
    <row r="719" spans="1:9">
      <c r="A719" t="s">
        <v>8862</v>
      </c>
      <c r="B719" t="s">
        <v>8433</v>
      </c>
      <c r="C719" t="s">
        <v>8866</v>
      </c>
      <c r="G719" t="str">
        <f t="shared" si="113"/>
        <v>Interface {#IFNAME}({#IFALIAS}): LTE modem SINR is low (below {$LTEMODEM.SINR.MIN.WARN}db for 5m)</v>
      </c>
      <c r="H719" t="e">
        <f>INDEX('7.0.17'!G:G,MATCH(G719,'7.0.17'!F:F,0))</f>
        <v>#N/A</v>
      </c>
      <c r="I719" t="e">
        <f t="shared" si="112"/>
        <v>#N/A</v>
      </c>
    </row>
    <row r="720" spans="1:9">
      <c r="A720" t="s">
        <v>8862</v>
      </c>
      <c r="B720" t="s">
        <v>8433</v>
      </c>
      <c r="C720" t="s">
        <v>8434</v>
      </c>
      <c r="D720" t="s">
        <v>8435</v>
      </c>
      <c r="G720" t="str">
        <f>B720&amp;":"&amp;C720&amp;":"&amp;D720</f>
        <v>Interface {#IFNAME}({#IFALIAS}): High error rate (&gt;{$IF.ERRORS.WARN:{#IFNAME}} for 5m)</v>
      </c>
      <c r="H720" t="e">
        <f>INDEX('7.0.17'!G:G,MATCH(G720,'7.0.17'!F:F,0))</f>
        <v>#N/A</v>
      </c>
      <c r="I720" t="e">
        <f t="shared" si="112"/>
        <v>#N/A</v>
      </c>
    </row>
    <row r="721" spans="1:9">
      <c r="A721" t="s">
        <v>8862</v>
      </c>
      <c r="B721" t="s">
        <v>8433</v>
      </c>
      <c r="C721" t="s">
        <v>8436</v>
      </c>
      <c r="D721" t="s">
        <v>8437</v>
      </c>
      <c r="G721" t="str">
        <f>B721&amp;":"&amp;C721&amp;":"&amp;D721</f>
        <v>Interface {#IFNAME}({#IFALIAS}): High bandwidth usage (&gt;{$IF.UTIL.MAX:{#IFNAME}}%)</v>
      </c>
      <c r="H721" t="e">
        <f>INDEX('7.0.17'!G:G,MATCH(G721,'7.0.17'!F:F,0))</f>
        <v>#N/A</v>
      </c>
      <c r="I721" t="e">
        <f t="shared" si="112"/>
        <v>#N/A</v>
      </c>
    </row>
    <row r="722" spans="1:9">
      <c r="A722" t="s">
        <v>8862</v>
      </c>
      <c r="B722" t="s">
        <v>8737</v>
      </c>
      <c r="C722" t="s">
        <v>8439</v>
      </c>
      <c r="D722" t="s">
        <v>8440</v>
      </c>
      <c r="E722" t="s">
        <v>8598</v>
      </c>
      <c r="G722" t="str">
        <f t="shared" ref="G722:G727" si="114">B722&amp;":"&amp;C722&amp;":"&amp;D722&amp;":"&amp;E722</f>
        <v>CPU: Temperature is above critical threshold: &gt;{$TEMP_CRIT:"CPU"}</v>
      </c>
      <c r="H722" t="e">
        <f>INDEX('7.0.17'!G:G,MATCH(G722,'7.0.17'!F:F,0))</f>
        <v>#N/A</v>
      </c>
      <c r="I722" t="e">
        <f t="shared" si="112"/>
        <v>#N/A</v>
      </c>
    </row>
    <row r="723" spans="1:9">
      <c r="A723" t="s">
        <v>8862</v>
      </c>
      <c r="B723" t="s">
        <v>8737</v>
      </c>
      <c r="C723" t="s">
        <v>8442</v>
      </c>
      <c r="D723" t="s">
        <v>8443</v>
      </c>
      <c r="E723" t="s">
        <v>8598</v>
      </c>
      <c r="G723" t="str">
        <f t="shared" si="114"/>
        <v>CPU: Temperature is above warning threshold: &gt;{$TEMP_WARN:"CPU"}</v>
      </c>
      <c r="H723" t="e">
        <f>INDEX('7.0.17'!G:G,MATCH(G723,'7.0.17'!F:F,0))</f>
        <v>#N/A</v>
      </c>
      <c r="I723" t="e">
        <f t="shared" si="112"/>
        <v>#N/A</v>
      </c>
    </row>
    <row r="724" spans="1:9">
      <c r="A724" t="s">
        <v>8862</v>
      </c>
      <c r="B724" t="s">
        <v>8737</v>
      </c>
      <c r="C724" t="s">
        <v>8444</v>
      </c>
      <c r="D724" t="s">
        <v>8445</v>
      </c>
      <c r="E724" t="s">
        <v>8598</v>
      </c>
      <c r="G724" t="str">
        <f t="shared" si="114"/>
        <v>CPU: Temperature is too low: &lt;{$TEMP_CRIT_LOW:"CPU"}</v>
      </c>
      <c r="H724" t="e">
        <f>INDEX('7.0.17'!G:G,MATCH(G724,'7.0.17'!F:F,0))</f>
        <v>#N/A</v>
      </c>
      <c r="I724" t="e">
        <f t="shared" si="112"/>
        <v>#N/A</v>
      </c>
    </row>
    <row r="725" spans="1:9">
      <c r="A725" t="s">
        <v>8862</v>
      </c>
      <c r="B725" t="s">
        <v>8867</v>
      </c>
      <c r="C725" t="s">
        <v>8439</v>
      </c>
      <c r="D725" t="s">
        <v>8440</v>
      </c>
      <c r="E725" t="s">
        <v>8868</v>
      </c>
      <c r="G725" t="str">
        <f t="shared" si="114"/>
        <v>Device: Temperature is above critical threshold: &gt;{$TEMP_CRIT:Device}</v>
      </c>
      <c r="H725" t="e">
        <f>INDEX('7.0.17'!G:G,MATCH(G725,'7.0.17'!F:F,0))</f>
        <v>#N/A</v>
      </c>
      <c r="I725" t="e">
        <f t="shared" si="112"/>
        <v>#N/A</v>
      </c>
    </row>
    <row r="726" spans="1:9">
      <c r="A726" t="s">
        <v>8862</v>
      </c>
      <c r="B726" t="s">
        <v>8867</v>
      </c>
      <c r="C726" t="s">
        <v>8442</v>
      </c>
      <c r="D726" t="s">
        <v>8443</v>
      </c>
      <c r="E726" t="s">
        <v>8868</v>
      </c>
      <c r="G726" t="str">
        <f t="shared" si="114"/>
        <v>Device: Temperature is above warning threshold: &gt;{$TEMP_WARN:Device}</v>
      </c>
      <c r="H726" t="e">
        <f>INDEX('7.0.17'!G:G,MATCH(G726,'7.0.17'!F:F,0))</f>
        <v>#N/A</v>
      </c>
      <c r="I726" t="e">
        <f t="shared" si="112"/>
        <v>#N/A</v>
      </c>
    </row>
    <row r="727" spans="1:9">
      <c r="A727" t="s">
        <v>8862</v>
      </c>
      <c r="B727" t="s">
        <v>8867</v>
      </c>
      <c r="C727" t="s">
        <v>8444</v>
      </c>
      <c r="D727" t="s">
        <v>8445</v>
      </c>
      <c r="E727" t="s">
        <v>8868</v>
      </c>
      <c r="G727" t="str">
        <f t="shared" si="114"/>
        <v>Device: Temperature is too low: &lt;{$TEMP_CRIT_LOW:Device}</v>
      </c>
      <c r="H727" t="e">
        <f>INDEX('7.0.17'!G:G,MATCH(G727,'7.0.17'!F:F,0))</f>
        <v>#N/A</v>
      </c>
      <c r="I727" t="e">
        <f t="shared" si="112"/>
        <v>#N/A</v>
      </c>
    </row>
    <row r="728" spans="1:9">
      <c r="A728" t="s">
        <v>8862</v>
      </c>
      <c r="B728" t="s">
        <v>8564</v>
      </c>
      <c r="C728" t="s">
        <v>8565</v>
      </c>
      <c r="G728" t="str">
        <f t="shared" ref="G728:G734" si="115">B728&amp;":"&amp;C728</f>
        <v>#{#SNMPINDEX}: High CPU utilization (over {$CPU.UTIL.CRIT}% for 5m)</v>
      </c>
      <c r="H728" t="e">
        <f>INDEX('7.0.17'!G:G,MATCH(G728,'7.0.17'!F:F,0))</f>
        <v>#N/A</v>
      </c>
      <c r="I728" t="e">
        <f t="shared" si="112"/>
        <v>#N/A</v>
      </c>
    </row>
    <row r="729" spans="1:9">
      <c r="A729" t="s">
        <v>8862</v>
      </c>
      <c r="B729" t="s">
        <v>8869</v>
      </c>
      <c r="C729" t="s">
        <v>8512</v>
      </c>
      <c r="D729" t="s">
        <v>8870</v>
      </c>
      <c r="G729" t="str">
        <f>B729&amp;":"&amp;C729&amp;":"&amp;D729</f>
        <v>Disk-{#SNMPINDEX}: Disk space is critically low (used &gt; {$VFS.FS.PUSED.MAX.CRIT:Disk-"{#SNMPINDEX}"}%)</v>
      </c>
      <c r="H729" t="e">
        <f>INDEX('7.0.17'!G:G,MATCH(G729,'7.0.17'!F:F,0))</f>
        <v>#N/A</v>
      </c>
      <c r="I729" t="e">
        <f t="shared" si="112"/>
        <v>#N/A</v>
      </c>
    </row>
    <row r="730" spans="1:9">
      <c r="A730" t="s">
        <v>8862</v>
      </c>
      <c r="B730" t="s">
        <v>8869</v>
      </c>
      <c r="C730" t="s">
        <v>8513</v>
      </c>
      <c r="D730" t="s">
        <v>8870</v>
      </c>
      <c r="G730" t="str">
        <f>B730&amp;":"&amp;C730&amp;":"&amp;D730</f>
        <v>Disk-{#SNMPINDEX}: Disk space is low (used &gt; {$VFS.FS.PUSED.MAX.WARN:Disk-"{#SNMPINDEX}"}%)</v>
      </c>
      <c r="H730" t="e">
        <f>INDEX('7.0.17'!G:G,MATCH(G730,'7.0.17'!F:F,0))</f>
        <v>#N/A</v>
      </c>
      <c r="I730" t="e">
        <f t="shared" si="112"/>
        <v>#N/A</v>
      </c>
    </row>
    <row r="731" spans="1:9">
      <c r="A731" t="s">
        <v>8862</v>
      </c>
      <c r="B731" t="s">
        <v>8433</v>
      </c>
      <c r="C731" t="s">
        <v>8863</v>
      </c>
      <c r="G731" t="str">
        <f t="shared" si="115"/>
        <v>Interface {#IFNAME}({#IFALIAS}): LTE modem RSRP is low (below {$LTEMODEM.RSRP.MIN.WARN}dbm for 5m)</v>
      </c>
      <c r="H731" t="e">
        <f>INDEX('7.0.17'!G:G,MATCH(G731,'7.0.17'!F:F,0))</f>
        <v>#N/A</v>
      </c>
      <c r="I731" t="e">
        <f t="shared" si="112"/>
        <v>#N/A</v>
      </c>
    </row>
    <row r="732" spans="1:9">
      <c r="A732" t="s">
        <v>8862</v>
      </c>
      <c r="B732" t="s">
        <v>8433</v>
      </c>
      <c r="C732" t="s">
        <v>8864</v>
      </c>
      <c r="G732" t="str">
        <f t="shared" si="115"/>
        <v>Interface {#IFNAME}({#IFALIAS}): LTE modem RSRQ is low (below {$LTEMODEM.RSRQ.MIN.WARN}db for 5m)</v>
      </c>
      <c r="H732" t="e">
        <f>INDEX('7.0.17'!G:G,MATCH(G732,'7.0.17'!F:F,0))</f>
        <v>#N/A</v>
      </c>
      <c r="I732" t="e">
        <f t="shared" si="112"/>
        <v>#N/A</v>
      </c>
    </row>
    <row r="733" spans="1:9">
      <c r="A733" t="s">
        <v>8862</v>
      </c>
      <c r="B733" t="s">
        <v>8433</v>
      </c>
      <c r="C733" t="s">
        <v>8865</v>
      </c>
      <c r="G733" t="str">
        <f t="shared" si="115"/>
        <v>Interface {#IFNAME}({#IFALIAS}): LTE modem RSSI is low (below {$LTEMODEM.RSSI.MIN.WARN}dbm for 5m)</v>
      </c>
      <c r="H733" t="e">
        <f>INDEX('7.0.17'!G:G,MATCH(G733,'7.0.17'!F:F,0))</f>
        <v>#N/A</v>
      </c>
      <c r="I733" t="e">
        <f t="shared" si="112"/>
        <v>#N/A</v>
      </c>
    </row>
    <row r="734" spans="1:9">
      <c r="A734" t="s">
        <v>8862</v>
      </c>
      <c r="B734" t="s">
        <v>8433</v>
      </c>
      <c r="C734" t="s">
        <v>8866</v>
      </c>
      <c r="G734" t="str">
        <f t="shared" si="115"/>
        <v>Interface {#IFNAME}({#IFALIAS}): LTE modem SINR is low (below {$LTEMODEM.SINR.MIN.WARN}db for 5m)</v>
      </c>
      <c r="H734" t="e">
        <f>INDEX('7.0.17'!G:G,MATCH(G734,'7.0.17'!F:F,0))</f>
        <v>#N/A</v>
      </c>
      <c r="I734" t="e">
        <f t="shared" si="112"/>
        <v>#N/A</v>
      </c>
    </row>
    <row r="735" spans="1:9">
      <c r="A735" t="s">
        <v>8862</v>
      </c>
      <c r="B735" t="s">
        <v>8433</v>
      </c>
      <c r="C735" t="s">
        <v>8434</v>
      </c>
      <c r="D735" t="s">
        <v>8435</v>
      </c>
      <c r="G735" t="str">
        <f>B735&amp;":"&amp;C735&amp;":"&amp;D735</f>
        <v>Interface {#IFNAME}({#IFALIAS}): High error rate (&gt;{$IF.ERRORS.WARN:{#IFNAME}} for 5m)</v>
      </c>
      <c r="H735" t="e">
        <f>INDEX('7.0.17'!G:G,MATCH(G735,'7.0.17'!F:F,0))</f>
        <v>#N/A</v>
      </c>
      <c r="I735" t="e">
        <f t="shared" si="112"/>
        <v>#N/A</v>
      </c>
    </row>
    <row r="736" spans="1:9">
      <c r="A736" t="s">
        <v>8862</v>
      </c>
      <c r="B736" t="s">
        <v>8433</v>
      </c>
      <c r="C736" t="s">
        <v>8436</v>
      </c>
      <c r="D736" t="s">
        <v>8437</v>
      </c>
      <c r="G736" t="str">
        <f>B736&amp;":"&amp;C736&amp;":"&amp;D736</f>
        <v>Interface {#IFNAME}({#IFALIAS}): High bandwidth usage (&gt;{$IF.UTIL.MAX:{#IFNAME}}%)</v>
      </c>
      <c r="H736" t="e">
        <f>INDEX('7.0.17'!G:G,MATCH(G736,'7.0.17'!F:F,0))</f>
        <v>#N/A</v>
      </c>
      <c r="I736" t="e">
        <f t="shared" si="112"/>
        <v>#N/A</v>
      </c>
    </row>
    <row r="737" spans="1:9">
      <c r="A737" t="s">
        <v>8862</v>
      </c>
      <c r="B737" t="s">
        <v>8737</v>
      </c>
      <c r="C737" t="s">
        <v>8439</v>
      </c>
      <c r="D737" t="s">
        <v>8440</v>
      </c>
      <c r="E737" t="s">
        <v>8598</v>
      </c>
      <c r="G737" t="str">
        <f t="shared" ref="G737:G742" si="116">B737&amp;":"&amp;C737&amp;":"&amp;D737&amp;":"&amp;E737</f>
        <v>CPU: Temperature is above critical threshold: &gt;{$TEMP_CRIT:"CPU"}</v>
      </c>
      <c r="H737" t="e">
        <f>INDEX('7.0.17'!G:G,MATCH(G737,'7.0.17'!F:F,0))</f>
        <v>#N/A</v>
      </c>
      <c r="I737" t="e">
        <f t="shared" si="112"/>
        <v>#N/A</v>
      </c>
    </row>
    <row r="738" spans="1:9">
      <c r="A738" t="s">
        <v>8862</v>
      </c>
      <c r="B738" t="s">
        <v>8737</v>
      </c>
      <c r="C738" t="s">
        <v>8442</v>
      </c>
      <c r="D738" t="s">
        <v>8443</v>
      </c>
      <c r="E738" t="s">
        <v>8598</v>
      </c>
      <c r="G738" t="str">
        <f t="shared" si="116"/>
        <v>CPU: Temperature is above warning threshold: &gt;{$TEMP_WARN:"CPU"}</v>
      </c>
      <c r="H738" t="e">
        <f>INDEX('7.0.17'!G:G,MATCH(G738,'7.0.17'!F:F,0))</f>
        <v>#N/A</v>
      </c>
      <c r="I738" t="e">
        <f t="shared" si="112"/>
        <v>#N/A</v>
      </c>
    </row>
    <row r="739" spans="1:9">
      <c r="A739" t="s">
        <v>8862</v>
      </c>
      <c r="B739" t="s">
        <v>8737</v>
      </c>
      <c r="C739" t="s">
        <v>8444</v>
      </c>
      <c r="D739" t="s">
        <v>8445</v>
      </c>
      <c r="E739" t="s">
        <v>8598</v>
      </c>
      <c r="G739" t="str">
        <f t="shared" si="116"/>
        <v>CPU: Temperature is too low: &lt;{$TEMP_CRIT_LOW:"CPU"}</v>
      </c>
      <c r="H739" t="e">
        <f>INDEX('7.0.17'!G:G,MATCH(G739,'7.0.17'!F:F,0))</f>
        <v>#N/A</v>
      </c>
      <c r="I739" t="e">
        <f t="shared" si="112"/>
        <v>#N/A</v>
      </c>
    </row>
    <row r="740" spans="1:9">
      <c r="A740" t="s">
        <v>8862</v>
      </c>
      <c r="B740" t="s">
        <v>8867</v>
      </c>
      <c r="C740" t="s">
        <v>8439</v>
      </c>
      <c r="D740" t="s">
        <v>8440</v>
      </c>
      <c r="E740" t="s">
        <v>8868</v>
      </c>
      <c r="G740" t="str">
        <f t="shared" si="116"/>
        <v>Device: Temperature is above critical threshold: &gt;{$TEMP_CRIT:Device}</v>
      </c>
      <c r="H740" t="e">
        <f>INDEX('7.0.17'!G:G,MATCH(G740,'7.0.17'!F:F,0))</f>
        <v>#N/A</v>
      </c>
      <c r="I740" t="e">
        <f t="shared" si="112"/>
        <v>#N/A</v>
      </c>
    </row>
    <row r="741" spans="1:9">
      <c r="A741" t="s">
        <v>8862</v>
      </c>
      <c r="B741" t="s">
        <v>8867</v>
      </c>
      <c r="C741" t="s">
        <v>8442</v>
      </c>
      <c r="D741" t="s">
        <v>8443</v>
      </c>
      <c r="E741" t="s">
        <v>8868</v>
      </c>
      <c r="G741" t="str">
        <f t="shared" si="116"/>
        <v>Device: Temperature is above warning threshold: &gt;{$TEMP_WARN:Device}</v>
      </c>
      <c r="H741" t="e">
        <f>INDEX('7.0.17'!G:G,MATCH(G741,'7.0.17'!F:F,0))</f>
        <v>#N/A</v>
      </c>
      <c r="I741" t="e">
        <f t="shared" si="112"/>
        <v>#N/A</v>
      </c>
    </row>
    <row r="742" spans="1:9">
      <c r="A742" t="s">
        <v>8862</v>
      </c>
      <c r="B742" t="s">
        <v>8867</v>
      </c>
      <c r="C742" t="s">
        <v>8444</v>
      </c>
      <c r="D742" t="s">
        <v>8445</v>
      </c>
      <c r="E742" t="s">
        <v>8868</v>
      </c>
      <c r="G742" t="str">
        <f t="shared" si="116"/>
        <v>Device: Temperature is too low: &lt;{$TEMP_CRIT_LOW:Device}</v>
      </c>
      <c r="H742" t="e">
        <f>INDEX('7.0.17'!G:G,MATCH(G742,'7.0.17'!F:F,0))</f>
        <v>#N/A</v>
      </c>
      <c r="I742" t="e">
        <f t="shared" si="112"/>
        <v>#N/A</v>
      </c>
    </row>
    <row r="743" spans="1:9">
      <c r="A743" t="s">
        <v>8862</v>
      </c>
      <c r="B743" t="s">
        <v>8564</v>
      </c>
      <c r="C743" t="s">
        <v>8565</v>
      </c>
      <c r="G743" t="str">
        <f t="shared" ref="G743:G749" si="117">B743&amp;":"&amp;C743</f>
        <v>#{#SNMPINDEX}: High CPU utilization (over {$CPU.UTIL.CRIT}% for 5m)</v>
      </c>
      <c r="H743" t="e">
        <f>INDEX('7.0.17'!G:G,MATCH(G743,'7.0.17'!F:F,0))</f>
        <v>#N/A</v>
      </c>
      <c r="I743" t="e">
        <f t="shared" si="112"/>
        <v>#N/A</v>
      </c>
    </row>
    <row r="744" spans="1:9">
      <c r="A744" t="s">
        <v>8862</v>
      </c>
      <c r="B744" t="s">
        <v>8869</v>
      </c>
      <c r="C744" t="s">
        <v>8512</v>
      </c>
      <c r="D744" t="s">
        <v>8870</v>
      </c>
      <c r="G744" t="str">
        <f>B744&amp;":"&amp;C744&amp;":"&amp;D744</f>
        <v>Disk-{#SNMPINDEX}: Disk space is critically low (used &gt; {$VFS.FS.PUSED.MAX.CRIT:Disk-"{#SNMPINDEX}"}%)</v>
      </c>
      <c r="H744" t="e">
        <f>INDEX('7.0.17'!G:G,MATCH(G744,'7.0.17'!F:F,0))</f>
        <v>#N/A</v>
      </c>
      <c r="I744" t="e">
        <f t="shared" si="112"/>
        <v>#N/A</v>
      </c>
    </row>
    <row r="745" spans="1:9">
      <c r="A745" t="s">
        <v>8862</v>
      </c>
      <c r="B745" t="s">
        <v>8869</v>
      </c>
      <c r="C745" t="s">
        <v>8513</v>
      </c>
      <c r="D745" t="s">
        <v>8870</v>
      </c>
      <c r="G745" t="str">
        <f>B745&amp;":"&amp;C745&amp;":"&amp;D745</f>
        <v>Disk-{#SNMPINDEX}: Disk space is low (used &gt; {$VFS.FS.PUSED.MAX.WARN:Disk-"{#SNMPINDEX}"}%)</v>
      </c>
      <c r="H745" t="e">
        <f>INDEX('7.0.17'!G:G,MATCH(G745,'7.0.17'!F:F,0))</f>
        <v>#N/A</v>
      </c>
      <c r="I745" t="e">
        <f t="shared" si="112"/>
        <v>#N/A</v>
      </c>
    </row>
    <row r="746" spans="1:9">
      <c r="A746" t="s">
        <v>8862</v>
      </c>
      <c r="B746" t="s">
        <v>8433</v>
      </c>
      <c r="C746" t="s">
        <v>8863</v>
      </c>
      <c r="G746" t="str">
        <f t="shared" si="117"/>
        <v>Interface {#IFNAME}({#IFALIAS}): LTE modem RSRP is low (below {$LTEMODEM.RSRP.MIN.WARN}dbm for 5m)</v>
      </c>
      <c r="H746" t="e">
        <f>INDEX('7.0.17'!G:G,MATCH(G746,'7.0.17'!F:F,0))</f>
        <v>#N/A</v>
      </c>
      <c r="I746" t="e">
        <f t="shared" si="112"/>
        <v>#N/A</v>
      </c>
    </row>
    <row r="747" spans="1:9">
      <c r="A747" t="s">
        <v>8862</v>
      </c>
      <c r="B747" t="s">
        <v>8433</v>
      </c>
      <c r="C747" t="s">
        <v>8864</v>
      </c>
      <c r="G747" t="str">
        <f t="shared" si="117"/>
        <v>Interface {#IFNAME}({#IFALIAS}): LTE modem RSRQ is low (below {$LTEMODEM.RSRQ.MIN.WARN}db for 5m)</v>
      </c>
      <c r="H747" t="e">
        <f>INDEX('7.0.17'!G:G,MATCH(G747,'7.0.17'!F:F,0))</f>
        <v>#N/A</v>
      </c>
      <c r="I747" t="e">
        <f t="shared" si="112"/>
        <v>#N/A</v>
      </c>
    </row>
    <row r="748" spans="1:9">
      <c r="A748" t="s">
        <v>8862</v>
      </c>
      <c r="B748" t="s">
        <v>8433</v>
      </c>
      <c r="C748" t="s">
        <v>8865</v>
      </c>
      <c r="G748" t="str">
        <f t="shared" si="117"/>
        <v>Interface {#IFNAME}({#IFALIAS}): LTE modem RSSI is low (below {$LTEMODEM.RSSI.MIN.WARN}dbm for 5m)</v>
      </c>
      <c r="H748" t="e">
        <f>INDEX('7.0.17'!G:G,MATCH(G748,'7.0.17'!F:F,0))</f>
        <v>#N/A</v>
      </c>
      <c r="I748" t="e">
        <f t="shared" si="112"/>
        <v>#N/A</v>
      </c>
    </row>
    <row r="749" spans="1:9">
      <c r="A749" t="s">
        <v>8862</v>
      </c>
      <c r="B749" t="s">
        <v>8433</v>
      </c>
      <c r="C749" t="s">
        <v>8866</v>
      </c>
      <c r="G749" t="str">
        <f t="shared" si="117"/>
        <v>Interface {#IFNAME}({#IFALIAS}): LTE modem SINR is low (below {$LTEMODEM.SINR.MIN.WARN}db for 5m)</v>
      </c>
      <c r="H749" t="e">
        <f>INDEX('7.0.17'!G:G,MATCH(G749,'7.0.17'!F:F,0))</f>
        <v>#N/A</v>
      </c>
      <c r="I749" t="e">
        <f t="shared" si="112"/>
        <v>#N/A</v>
      </c>
    </row>
    <row r="750" spans="1:9">
      <c r="A750" t="s">
        <v>8862</v>
      </c>
      <c r="B750" t="s">
        <v>8433</v>
      </c>
      <c r="C750" t="s">
        <v>8434</v>
      </c>
      <c r="D750" t="s">
        <v>8435</v>
      </c>
      <c r="G750" t="str">
        <f>B750&amp;":"&amp;C750&amp;":"&amp;D750</f>
        <v>Interface {#IFNAME}({#IFALIAS}): High error rate (&gt;{$IF.ERRORS.WARN:{#IFNAME}} for 5m)</v>
      </c>
      <c r="H750" t="e">
        <f>INDEX('7.0.17'!G:G,MATCH(G750,'7.0.17'!F:F,0))</f>
        <v>#N/A</v>
      </c>
      <c r="I750" t="e">
        <f t="shared" si="112"/>
        <v>#N/A</v>
      </c>
    </row>
    <row r="751" spans="1:9">
      <c r="A751" t="s">
        <v>8862</v>
      </c>
      <c r="B751" t="s">
        <v>8433</v>
      </c>
      <c r="C751" t="s">
        <v>8436</v>
      </c>
      <c r="D751" t="s">
        <v>8437</v>
      </c>
      <c r="G751" t="str">
        <f>B751&amp;":"&amp;C751&amp;":"&amp;D751</f>
        <v>Interface {#IFNAME}({#IFALIAS}): High bandwidth usage (&gt;{$IF.UTIL.MAX:{#IFNAME}}%)</v>
      </c>
      <c r="H751" t="e">
        <f>INDEX('7.0.17'!G:G,MATCH(G751,'7.0.17'!F:F,0))</f>
        <v>#N/A</v>
      </c>
      <c r="I751" t="e">
        <f t="shared" si="112"/>
        <v>#N/A</v>
      </c>
    </row>
    <row r="752" spans="1:9">
      <c r="A752" t="s">
        <v>8862</v>
      </c>
      <c r="B752" t="s">
        <v>8737</v>
      </c>
      <c r="C752" t="s">
        <v>8439</v>
      </c>
      <c r="D752" t="s">
        <v>8440</v>
      </c>
      <c r="E752" t="s">
        <v>8598</v>
      </c>
      <c r="G752" t="str">
        <f t="shared" ref="G752:G757" si="118">B752&amp;":"&amp;C752&amp;":"&amp;D752&amp;":"&amp;E752</f>
        <v>CPU: Temperature is above critical threshold: &gt;{$TEMP_CRIT:"CPU"}</v>
      </c>
      <c r="H752" t="e">
        <f>INDEX('7.0.17'!G:G,MATCH(G752,'7.0.17'!F:F,0))</f>
        <v>#N/A</v>
      </c>
      <c r="I752" t="e">
        <f t="shared" si="112"/>
        <v>#N/A</v>
      </c>
    </row>
    <row r="753" spans="1:9">
      <c r="A753" t="s">
        <v>8862</v>
      </c>
      <c r="B753" t="s">
        <v>8737</v>
      </c>
      <c r="C753" t="s">
        <v>8442</v>
      </c>
      <c r="D753" t="s">
        <v>8443</v>
      </c>
      <c r="E753" t="s">
        <v>8598</v>
      </c>
      <c r="G753" t="str">
        <f t="shared" si="118"/>
        <v>CPU: Temperature is above warning threshold: &gt;{$TEMP_WARN:"CPU"}</v>
      </c>
      <c r="H753" t="e">
        <f>INDEX('7.0.17'!G:G,MATCH(G753,'7.0.17'!F:F,0))</f>
        <v>#N/A</v>
      </c>
      <c r="I753" t="e">
        <f t="shared" si="112"/>
        <v>#N/A</v>
      </c>
    </row>
    <row r="754" spans="1:9">
      <c r="A754" t="s">
        <v>8862</v>
      </c>
      <c r="B754" t="s">
        <v>8737</v>
      </c>
      <c r="C754" t="s">
        <v>8444</v>
      </c>
      <c r="D754" t="s">
        <v>8445</v>
      </c>
      <c r="E754" t="s">
        <v>8598</v>
      </c>
      <c r="G754" t="str">
        <f t="shared" si="118"/>
        <v>CPU: Temperature is too low: &lt;{$TEMP_CRIT_LOW:"CPU"}</v>
      </c>
      <c r="H754" t="e">
        <f>INDEX('7.0.17'!G:G,MATCH(G754,'7.0.17'!F:F,0))</f>
        <v>#N/A</v>
      </c>
      <c r="I754" t="e">
        <f t="shared" si="112"/>
        <v>#N/A</v>
      </c>
    </row>
    <row r="755" spans="1:9">
      <c r="A755" t="s">
        <v>8862</v>
      </c>
      <c r="B755" t="s">
        <v>8867</v>
      </c>
      <c r="C755" t="s">
        <v>8439</v>
      </c>
      <c r="D755" t="s">
        <v>8440</v>
      </c>
      <c r="E755" t="s">
        <v>8868</v>
      </c>
      <c r="G755" t="str">
        <f t="shared" si="118"/>
        <v>Device: Temperature is above critical threshold: &gt;{$TEMP_CRIT:Device}</v>
      </c>
      <c r="H755" t="e">
        <f>INDEX('7.0.17'!G:G,MATCH(G755,'7.0.17'!F:F,0))</f>
        <v>#N/A</v>
      </c>
      <c r="I755" t="e">
        <f t="shared" si="112"/>
        <v>#N/A</v>
      </c>
    </row>
    <row r="756" spans="1:9">
      <c r="A756" t="s">
        <v>8862</v>
      </c>
      <c r="B756" t="s">
        <v>8867</v>
      </c>
      <c r="C756" t="s">
        <v>8442</v>
      </c>
      <c r="D756" t="s">
        <v>8443</v>
      </c>
      <c r="E756" t="s">
        <v>8868</v>
      </c>
      <c r="G756" t="str">
        <f t="shared" si="118"/>
        <v>Device: Temperature is above warning threshold: &gt;{$TEMP_WARN:Device}</v>
      </c>
      <c r="H756" t="e">
        <f>INDEX('7.0.17'!G:G,MATCH(G756,'7.0.17'!F:F,0))</f>
        <v>#N/A</v>
      </c>
      <c r="I756" t="e">
        <f t="shared" si="112"/>
        <v>#N/A</v>
      </c>
    </row>
    <row r="757" spans="1:9">
      <c r="A757" t="s">
        <v>8862</v>
      </c>
      <c r="B757" t="s">
        <v>8867</v>
      </c>
      <c r="C757" t="s">
        <v>8444</v>
      </c>
      <c r="D757" t="s">
        <v>8445</v>
      </c>
      <c r="E757" t="s">
        <v>8868</v>
      </c>
      <c r="G757" t="str">
        <f t="shared" si="118"/>
        <v>Device: Temperature is too low: &lt;{$TEMP_CRIT_LOW:Device}</v>
      </c>
      <c r="H757" t="e">
        <f>INDEX('7.0.17'!G:G,MATCH(G757,'7.0.17'!F:F,0))</f>
        <v>#N/A</v>
      </c>
      <c r="I757" t="e">
        <f t="shared" si="112"/>
        <v>#N/A</v>
      </c>
    </row>
    <row r="758" spans="1:9">
      <c r="A758" t="s">
        <v>8862</v>
      </c>
      <c r="B758" t="s">
        <v>8564</v>
      </c>
      <c r="C758" t="s">
        <v>8565</v>
      </c>
      <c r="G758" t="str">
        <f t="shared" ref="G758:G764" si="119">B758&amp;":"&amp;C758</f>
        <v>#{#SNMPINDEX}: High CPU utilization (over {$CPU.UTIL.CRIT}% for 5m)</v>
      </c>
      <c r="H758" t="e">
        <f>INDEX('7.0.17'!G:G,MATCH(G758,'7.0.17'!F:F,0))</f>
        <v>#N/A</v>
      </c>
      <c r="I758" t="e">
        <f t="shared" si="112"/>
        <v>#N/A</v>
      </c>
    </row>
    <row r="759" spans="1:9">
      <c r="A759" t="s">
        <v>8862</v>
      </c>
      <c r="B759" t="s">
        <v>8869</v>
      </c>
      <c r="C759" t="s">
        <v>8512</v>
      </c>
      <c r="D759" t="s">
        <v>8870</v>
      </c>
      <c r="G759" t="str">
        <f>B759&amp;":"&amp;C759&amp;":"&amp;D759</f>
        <v>Disk-{#SNMPINDEX}: Disk space is critically low (used &gt; {$VFS.FS.PUSED.MAX.CRIT:Disk-"{#SNMPINDEX}"}%)</v>
      </c>
      <c r="H759" t="e">
        <f>INDEX('7.0.17'!G:G,MATCH(G759,'7.0.17'!F:F,0))</f>
        <v>#N/A</v>
      </c>
      <c r="I759" t="e">
        <f t="shared" si="112"/>
        <v>#N/A</v>
      </c>
    </row>
    <row r="760" spans="1:9">
      <c r="A760" t="s">
        <v>8862</v>
      </c>
      <c r="B760" t="s">
        <v>8869</v>
      </c>
      <c r="C760" t="s">
        <v>8513</v>
      </c>
      <c r="D760" t="s">
        <v>8870</v>
      </c>
      <c r="G760" t="str">
        <f>B760&amp;":"&amp;C760&amp;":"&amp;D760</f>
        <v>Disk-{#SNMPINDEX}: Disk space is low (used &gt; {$VFS.FS.PUSED.MAX.WARN:Disk-"{#SNMPINDEX}"}%)</v>
      </c>
      <c r="H760" t="e">
        <f>INDEX('7.0.17'!G:G,MATCH(G760,'7.0.17'!F:F,0))</f>
        <v>#N/A</v>
      </c>
      <c r="I760" t="e">
        <f t="shared" si="112"/>
        <v>#N/A</v>
      </c>
    </row>
    <row r="761" spans="1:9">
      <c r="A761" t="s">
        <v>8862</v>
      </c>
      <c r="B761" t="s">
        <v>8433</v>
      </c>
      <c r="C761" t="s">
        <v>8863</v>
      </c>
      <c r="G761" t="str">
        <f t="shared" si="119"/>
        <v>Interface {#IFNAME}({#IFALIAS}): LTE modem RSRP is low (below {$LTEMODEM.RSRP.MIN.WARN}dbm for 5m)</v>
      </c>
      <c r="H761" t="e">
        <f>INDEX('7.0.17'!G:G,MATCH(G761,'7.0.17'!F:F,0))</f>
        <v>#N/A</v>
      </c>
      <c r="I761" t="e">
        <f t="shared" si="112"/>
        <v>#N/A</v>
      </c>
    </row>
    <row r="762" spans="1:9">
      <c r="A762" t="s">
        <v>8862</v>
      </c>
      <c r="B762" t="s">
        <v>8433</v>
      </c>
      <c r="C762" t="s">
        <v>8864</v>
      </c>
      <c r="G762" t="str">
        <f t="shared" si="119"/>
        <v>Interface {#IFNAME}({#IFALIAS}): LTE modem RSRQ is low (below {$LTEMODEM.RSRQ.MIN.WARN}db for 5m)</v>
      </c>
      <c r="H762" t="e">
        <f>INDEX('7.0.17'!G:G,MATCH(G762,'7.0.17'!F:F,0))</f>
        <v>#N/A</v>
      </c>
      <c r="I762" t="e">
        <f t="shared" si="112"/>
        <v>#N/A</v>
      </c>
    </row>
    <row r="763" spans="1:9">
      <c r="A763" t="s">
        <v>8862</v>
      </c>
      <c r="B763" t="s">
        <v>8433</v>
      </c>
      <c r="C763" t="s">
        <v>8865</v>
      </c>
      <c r="G763" t="str">
        <f t="shared" si="119"/>
        <v>Interface {#IFNAME}({#IFALIAS}): LTE modem RSSI is low (below {$LTEMODEM.RSSI.MIN.WARN}dbm for 5m)</v>
      </c>
      <c r="H763" t="e">
        <f>INDEX('7.0.17'!G:G,MATCH(G763,'7.0.17'!F:F,0))</f>
        <v>#N/A</v>
      </c>
      <c r="I763" t="e">
        <f t="shared" si="112"/>
        <v>#N/A</v>
      </c>
    </row>
    <row r="764" spans="1:9">
      <c r="A764" t="s">
        <v>8862</v>
      </c>
      <c r="B764" t="s">
        <v>8433</v>
      </c>
      <c r="C764" t="s">
        <v>8866</v>
      </c>
      <c r="G764" t="str">
        <f t="shared" si="119"/>
        <v>Interface {#IFNAME}({#IFALIAS}): LTE modem SINR is low (below {$LTEMODEM.SINR.MIN.WARN}db for 5m)</v>
      </c>
      <c r="H764" t="e">
        <f>INDEX('7.0.17'!G:G,MATCH(G764,'7.0.17'!F:F,0))</f>
        <v>#N/A</v>
      </c>
      <c r="I764" t="e">
        <f t="shared" si="112"/>
        <v>#N/A</v>
      </c>
    </row>
    <row r="765" spans="1:9">
      <c r="A765" t="s">
        <v>8862</v>
      </c>
      <c r="B765" t="s">
        <v>8433</v>
      </c>
      <c r="C765" t="s">
        <v>8434</v>
      </c>
      <c r="D765" t="s">
        <v>8435</v>
      </c>
      <c r="G765" t="str">
        <f>B765&amp;":"&amp;C765&amp;":"&amp;D765</f>
        <v>Interface {#IFNAME}({#IFALIAS}): High error rate (&gt;{$IF.ERRORS.WARN:{#IFNAME}} for 5m)</v>
      </c>
      <c r="H765" t="e">
        <f>INDEX('7.0.17'!G:G,MATCH(G765,'7.0.17'!F:F,0))</f>
        <v>#N/A</v>
      </c>
      <c r="I765" t="e">
        <f t="shared" si="112"/>
        <v>#N/A</v>
      </c>
    </row>
    <row r="766" spans="1:9">
      <c r="A766" t="s">
        <v>8862</v>
      </c>
      <c r="B766" t="s">
        <v>8433</v>
      </c>
      <c r="C766" t="s">
        <v>8436</v>
      </c>
      <c r="D766" t="s">
        <v>8437</v>
      </c>
      <c r="G766" t="str">
        <f>B766&amp;":"&amp;C766&amp;":"&amp;D766</f>
        <v>Interface {#IFNAME}({#IFALIAS}): High bandwidth usage (&gt;{$IF.UTIL.MAX:{#IFNAME}}%)</v>
      </c>
      <c r="H766" t="e">
        <f>INDEX('7.0.17'!G:G,MATCH(G766,'7.0.17'!F:F,0))</f>
        <v>#N/A</v>
      </c>
      <c r="I766" t="e">
        <f t="shared" si="112"/>
        <v>#N/A</v>
      </c>
    </row>
    <row r="767" spans="1:9">
      <c r="A767" t="s">
        <v>8862</v>
      </c>
      <c r="B767" t="s">
        <v>8737</v>
      </c>
      <c r="C767" t="s">
        <v>8439</v>
      </c>
      <c r="D767" t="s">
        <v>8440</v>
      </c>
      <c r="E767" t="s">
        <v>8598</v>
      </c>
      <c r="G767" t="str">
        <f t="shared" ref="G767:G772" si="120">B767&amp;":"&amp;C767&amp;":"&amp;D767&amp;":"&amp;E767</f>
        <v>CPU: Temperature is above critical threshold: &gt;{$TEMP_CRIT:"CPU"}</v>
      </c>
      <c r="H767" t="e">
        <f>INDEX('7.0.17'!G:G,MATCH(G767,'7.0.17'!F:F,0))</f>
        <v>#N/A</v>
      </c>
      <c r="I767" t="e">
        <f t="shared" si="112"/>
        <v>#N/A</v>
      </c>
    </row>
    <row r="768" spans="1:9">
      <c r="A768" t="s">
        <v>8862</v>
      </c>
      <c r="B768" t="s">
        <v>8737</v>
      </c>
      <c r="C768" t="s">
        <v>8442</v>
      </c>
      <c r="D768" t="s">
        <v>8443</v>
      </c>
      <c r="E768" t="s">
        <v>8598</v>
      </c>
      <c r="G768" t="str">
        <f t="shared" si="120"/>
        <v>CPU: Temperature is above warning threshold: &gt;{$TEMP_WARN:"CPU"}</v>
      </c>
      <c r="H768" t="e">
        <f>INDEX('7.0.17'!G:G,MATCH(G768,'7.0.17'!F:F,0))</f>
        <v>#N/A</v>
      </c>
      <c r="I768" t="e">
        <f t="shared" si="112"/>
        <v>#N/A</v>
      </c>
    </row>
    <row r="769" spans="1:9">
      <c r="A769" t="s">
        <v>8862</v>
      </c>
      <c r="B769" t="s">
        <v>8737</v>
      </c>
      <c r="C769" t="s">
        <v>8444</v>
      </c>
      <c r="D769" t="s">
        <v>8445</v>
      </c>
      <c r="E769" t="s">
        <v>8598</v>
      </c>
      <c r="G769" t="str">
        <f t="shared" si="120"/>
        <v>CPU: Temperature is too low: &lt;{$TEMP_CRIT_LOW:"CPU"}</v>
      </c>
      <c r="H769" t="e">
        <f>INDEX('7.0.17'!G:G,MATCH(G769,'7.0.17'!F:F,0))</f>
        <v>#N/A</v>
      </c>
      <c r="I769" t="e">
        <f t="shared" si="112"/>
        <v>#N/A</v>
      </c>
    </row>
    <row r="770" spans="1:9">
      <c r="A770" t="s">
        <v>8862</v>
      </c>
      <c r="B770" t="s">
        <v>8867</v>
      </c>
      <c r="C770" t="s">
        <v>8439</v>
      </c>
      <c r="D770" t="s">
        <v>8440</v>
      </c>
      <c r="E770" t="s">
        <v>8868</v>
      </c>
      <c r="G770" t="str">
        <f t="shared" si="120"/>
        <v>Device: Temperature is above critical threshold: &gt;{$TEMP_CRIT:Device}</v>
      </c>
      <c r="H770" t="e">
        <f>INDEX('7.0.17'!G:G,MATCH(G770,'7.0.17'!F:F,0))</f>
        <v>#N/A</v>
      </c>
      <c r="I770" t="e">
        <f t="shared" si="112"/>
        <v>#N/A</v>
      </c>
    </row>
    <row r="771" spans="1:9">
      <c r="A771" t="s">
        <v>8862</v>
      </c>
      <c r="B771" t="s">
        <v>8867</v>
      </c>
      <c r="C771" t="s">
        <v>8442</v>
      </c>
      <c r="D771" t="s">
        <v>8443</v>
      </c>
      <c r="E771" t="s">
        <v>8868</v>
      </c>
      <c r="G771" t="str">
        <f t="shared" si="120"/>
        <v>Device: Temperature is above warning threshold: &gt;{$TEMP_WARN:Device}</v>
      </c>
      <c r="H771" t="e">
        <f>INDEX('7.0.17'!G:G,MATCH(G771,'7.0.17'!F:F,0))</f>
        <v>#N/A</v>
      </c>
      <c r="I771" t="e">
        <f t="shared" ref="I771:I834" si="121">A771&amp;": "&amp;H771</f>
        <v>#N/A</v>
      </c>
    </row>
    <row r="772" spans="1:9">
      <c r="A772" t="s">
        <v>8862</v>
      </c>
      <c r="B772" t="s">
        <v>8867</v>
      </c>
      <c r="C772" t="s">
        <v>8444</v>
      </c>
      <c r="D772" t="s">
        <v>8445</v>
      </c>
      <c r="E772" t="s">
        <v>8868</v>
      </c>
      <c r="G772" t="str">
        <f t="shared" si="120"/>
        <v>Device: Temperature is too low: &lt;{$TEMP_CRIT_LOW:Device}</v>
      </c>
      <c r="H772" t="e">
        <f>INDEX('7.0.17'!G:G,MATCH(G772,'7.0.17'!F:F,0))</f>
        <v>#N/A</v>
      </c>
      <c r="I772" t="e">
        <f t="shared" si="121"/>
        <v>#N/A</v>
      </c>
    </row>
    <row r="773" spans="1:9">
      <c r="A773" t="s">
        <v>8862</v>
      </c>
      <c r="B773" t="s">
        <v>8564</v>
      </c>
      <c r="C773" t="s">
        <v>8565</v>
      </c>
      <c r="G773" t="str">
        <f t="shared" ref="G773:G779" si="122">B773&amp;":"&amp;C773</f>
        <v>#{#SNMPINDEX}: High CPU utilization (over {$CPU.UTIL.CRIT}% for 5m)</v>
      </c>
      <c r="H773" t="e">
        <f>INDEX('7.0.17'!G:G,MATCH(G773,'7.0.17'!F:F,0))</f>
        <v>#N/A</v>
      </c>
      <c r="I773" t="e">
        <f t="shared" si="121"/>
        <v>#N/A</v>
      </c>
    </row>
    <row r="774" spans="1:9">
      <c r="A774" t="s">
        <v>8862</v>
      </c>
      <c r="B774" t="s">
        <v>8869</v>
      </c>
      <c r="C774" t="s">
        <v>8512</v>
      </c>
      <c r="D774" t="s">
        <v>8870</v>
      </c>
      <c r="G774" t="str">
        <f>B774&amp;":"&amp;C774&amp;":"&amp;D774</f>
        <v>Disk-{#SNMPINDEX}: Disk space is critically low (used &gt; {$VFS.FS.PUSED.MAX.CRIT:Disk-"{#SNMPINDEX}"}%)</v>
      </c>
      <c r="H774" t="e">
        <f>INDEX('7.0.17'!G:G,MATCH(G774,'7.0.17'!F:F,0))</f>
        <v>#N/A</v>
      </c>
      <c r="I774" t="e">
        <f t="shared" si="121"/>
        <v>#N/A</v>
      </c>
    </row>
    <row r="775" spans="1:9">
      <c r="A775" t="s">
        <v>8862</v>
      </c>
      <c r="B775" t="s">
        <v>8869</v>
      </c>
      <c r="C775" t="s">
        <v>8513</v>
      </c>
      <c r="D775" t="s">
        <v>8870</v>
      </c>
      <c r="G775" t="str">
        <f>B775&amp;":"&amp;C775&amp;":"&amp;D775</f>
        <v>Disk-{#SNMPINDEX}: Disk space is low (used &gt; {$VFS.FS.PUSED.MAX.WARN:Disk-"{#SNMPINDEX}"}%)</v>
      </c>
      <c r="H775" t="e">
        <f>INDEX('7.0.17'!G:G,MATCH(G775,'7.0.17'!F:F,0))</f>
        <v>#N/A</v>
      </c>
      <c r="I775" t="e">
        <f t="shared" si="121"/>
        <v>#N/A</v>
      </c>
    </row>
    <row r="776" spans="1:9">
      <c r="A776" t="s">
        <v>8862</v>
      </c>
      <c r="B776" t="s">
        <v>8433</v>
      </c>
      <c r="C776" t="s">
        <v>8863</v>
      </c>
      <c r="G776" t="str">
        <f t="shared" si="122"/>
        <v>Interface {#IFNAME}({#IFALIAS}): LTE modem RSRP is low (below {$LTEMODEM.RSRP.MIN.WARN}dbm for 5m)</v>
      </c>
      <c r="H776" t="e">
        <f>INDEX('7.0.17'!G:G,MATCH(G776,'7.0.17'!F:F,0))</f>
        <v>#N/A</v>
      </c>
      <c r="I776" t="e">
        <f t="shared" si="121"/>
        <v>#N/A</v>
      </c>
    </row>
    <row r="777" spans="1:9">
      <c r="A777" t="s">
        <v>8862</v>
      </c>
      <c r="B777" t="s">
        <v>8433</v>
      </c>
      <c r="C777" t="s">
        <v>8864</v>
      </c>
      <c r="G777" t="str">
        <f t="shared" si="122"/>
        <v>Interface {#IFNAME}({#IFALIAS}): LTE modem RSRQ is low (below {$LTEMODEM.RSRQ.MIN.WARN}db for 5m)</v>
      </c>
      <c r="H777" t="e">
        <f>INDEX('7.0.17'!G:G,MATCH(G777,'7.0.17'!F:F,0))</f>
        <v>#N/A</v>
      </c>
      <c r="I777" t="e">
        <f t="shared" si="121"/>
        <v>#N/A</v>
      </c>
    </row>
    <row r="778" spans="1:9">
      <c r="A778" t="s">
        <v>8862</v>
      </c>
      <c r="B778" t="s">
        <v>8433</v>
      </c>
      <c r="C778" t="s">
        <v>8865</v>
      </c>
      <c r="G778" t="str">
        <f t="shared" si="122"/>
        <v>Interface {#IFNAME}({#IFALIAS}): LTE modem RSSI is low (below {$LTEMODEM.RSSI.MIN.WARN}dbm for 5m)</v>
      </c>
      <c r="H778" t="e">
        <f>INDEX('7.0.17'!G:G,MATCH(G778,'7.0.17'!F:F,0))</f>
        <v>#N/A</v>
      </c>
      <c r="I778" t="e">
        <f t="shared" si="121"/>
        <v>#N/A</v>
      </c>
    </row>
    <row r="779" spans="1:9">
      <c r="A779" t="s">
        <v>8862</v>
      </c>
      <c r="B779" t="s">
        <v>8433</v>
      </c>
      <c r="C779" t="s">
        <v>8866</v>
      </c>
      <c r="G779" t="str">
        <f t="shared" si="122"/>
        <v>Interface {#IFNAME}({#IFALIAS}): LTE modem SINR is low (below {$LTEMODEM.SINR.MIN.WARN}db for 5m)</v>
      </c>
      <c r="H779" t="e">
        <f>INDEX('7.0.17'!G:G,MATCH(G779,'7.0.17'!F:F,0))</f>
        <v>#N/A</v>
      </c>
      <c r="I779" t="e">
        <f t="shared" si="121"/>
        <v>#N/A</v>
      </c>
    </row>
    <row r="780" spans="1:9">
      <c r="A780" t="s">
        <v>8862</v>
      </c>
      <c r="B780" t="s">
        <v>8433</v>
      </c>
      <c r="C780" t="s">
        <v>8434</v>
      </c>
      <c r="D780" t="s">
        <v>8435</v>
      </c>
      <c r="G780" t="str">
        <f>B780&amp;":"&amp;C780&amp;":"&amp;D780</f>
        <v>Interface {#IFNAME}({#IFALIAS}): High error rate (&gt;{$IF.ERRORS.WARN:{#IFNAME}} for 5m)</v>
      </c>
      <c r="H780" t="e">
        <f>INDEX('7.0.17'!G:G,MATCH(G780,'7.0.17'!F:F,0))</f>
        <v>#N/A</v>
      </c>
      <c r="I780" t="e">
        <f t="shared" si="121"/>
        <v>#N/A</v>
      </c>
    </row>
    <row r="781" spans="1:9">
      <c r="A781" t="s">
        <v>8862</v>
      </c>
      <c r="B781" t="s">
        <v>8433</v>
      </c>
      <c r="C781" t="s">
        <v>8436</v>
      </c>
      <c r="D781" t="s">
        <v>8437</v>
      </c>
      <c r="G781" t="str">
        <f>B781&amp;":"&amp;C781&amp;":"&amp;D781</f>
        <v>Interface {#IFNAME}({#IFALIAS}): High bandwidth usage (&gt;{$IF.UTIL.MAX:{#IFNAME}}%)</v>
      </c>
      <c r="H781" t="e">
        <f>INDEX('7.0.17'!G:G,MATCH(G781,'7.0.17'!F:F,0))</f>
        <v>#N/A</v>
      </c>
      <c r="I781" t="e">
        <f t="shared" si="121"/>
        <v>#N/A</v>
      </c>
    </row>
    <row r="782" spans="1:9">
      <c r="A782" t="s">
        <v>8862</v>
      </c>
      <c r="B782" t="s">
        <v>8737</v>
      </c>
      <c r="C782" t="s">
        <v>8439</v>
      </c>
      <c r="D782" t="s">
        <v>8440</v>
      </c>
      <c r="E782" t="s">
        <v>8598</v>
      </c>
      <c r="G782" t="str">
        <f t="shared" ref="G782:G787" si="123">B782&amp;":"&amp;C782&amp;":"&amp;D782&amp;":"&amp;E782</f>
        <v>CPU: Temperature is above critical threshold: &gt;{$TEMP_CRIT:"CPU"}</v>
      </c>
      <c r="H782" t="e">
        <f>INDEX('7.0.17'!G:G,MATCH(G782,'7.0.17'!F:F,0))</f>
        <v>#N/A</v>
      </c>
      <c r="I782" t="e">
        <f t="shared" si="121"/>
        <v>#N/A</v>
      </c>
    </row>
    <row r="783" spans="1:9">
      <c r="A783" t="s">
        <v>8862</v>
      </c>
      <c r="B783" t="s">
        <v>8737</v>
      </c>
      <c r="C783" t="s">
        <v>8442</v>
      </c>
      <c r="D783" t="s">
        <v>8443</v>
      </c>
      <c r="E783" t="s">
        <v>8598</v>
      </c>
      <c r="G783" t="str">
        <f t="shared" si="123"/>
        <v>CPU: Temperature is above warning threshold: &gt;{$TEMP_WARN:"CPU"}</v>
      </c>
      <c r="H783" t="e">
        <f>INDEX('7.0.17'!G:G,MATCH(G783,'7.0.17'!F:F,0))</f>
        <v>#N/A</v>
      </c>
      <c r="I783" t="e">
        <f t="shared" si="121"/>
        <v>#N/A</v>
      </c>
    </row>
    <row r="784" spans="1:9">
      <c r="A784" t="s">
        <v>8862</v>
      </c>
      <c r="B784" t="s">
        <v>8737</v>
      </c>
      <c r="C784" t="s">
        <v>8444</v>
      </c>
      <c r="D784" t="s">
        <v>8445</v>
      </c>
      <c r="E784" t="s">
        <v>8598</v>
      </c>
      <c r="G784" t="str">
        <f t="shared" si="123"/>
        <v>CPU: Temperature is too low: &lt;{$TEMP_CRIT_LOW:"CPU"}</v>
      </c>
      <c r="H784" t="e">
        <f>INDEX('7.0.17'!G:G,MATCH(G784,'7.0.17'!F:F,0))</f>
        <v>#N/A</v>
      </c>
      <c r="I784" t="e">
        <f t="shared" si="121"/>
        <v>#N/A</v>
      </c>
    </row>
    <row r="785" spans="1:9">
      <c r="A785" t="s">
        <v>8862</v>
      </c>
      <c r="B785" t="s">
        <v>8867</v>
      </c>
      <c r="C785" t="s">
        <v>8439</v>
      </c>
      <c r="D785" t="s">
        <v>8440</v>
      </c>
      <c r="E785" t="s">
        <v>8868</v>
      </c>
      <c r="G785" t="str">
        <f t="shared" si="123"/>
        <v>Device: Temperature is above critical threshold: &gt;{$TEMP_CRIT:Device}</v>
      </c>
      <c r="H785" t="e">
        <f>INDEX('7.0.17'!G:G,MATCH(G785,'7.0.17'!F:F,0))</f>
        <v>#N/A</v>
      </c>
      <c r="I785" t="e">
        <f t="shared" si="121"/>
        <v>#N/A</v>
      </c>
    </row>
    <row r="786" spans="1:9">
      <c r="A786" t="s">
        <v>8862</v>
      </c>
      <c r="B786" t="s">
        <v>8867</v>
      </c>
      <c r="C786" t="s">
        <v>8442</v>
      </c>
      <c r="D786" t="s">
        <v>8443</v>
      </c>
      <c r="E786" t="s">
        <v>8868</v>
      </c>
      <c r="G786" t="str">
        <f t="shared" si="123"/>
        <v>Device: Temperature is above warning threshold: &gt;{$TEMP_WARN:Device}</v>
      </c>
      <c r="H786" t="e">
        <f>INDEX('7.0.17'!G:G,MATCH(G786,'7.0.17'!F:F,0))</f>
        <v>#N/A</v>
      </c>
      <c r="I786" t="e">
        <f t="shared" si="121"/>
        <v>#N/A</v>
      </c>
    </row>
    <row r="787" spans="1:9">
      <c r="A787" t="s">
        <v>8862</v>
      </c>
      <c r="B787" t="s">
        <v>8867</v>
      </c>
      <c r="C787" t="s">
        <v>8444</v>
      </c>
      <c r="D787" t="s">
        <v>8445</v>
      </c>
      <c r="E787" t="s">
        <v>8868</v>
      </c>
      <c r="G787" t="str">
        <f t="shared" si="123"/>
        <v>Device: Temperature is too low: &lt;{$TEMP_CRIT_LOW:Device}</v>
      </c>
      <c r="H787" t="e">
        <f>INDEX('7.0.17'!G:G,MATCH(G787,'7.0.17'!F:F,0))</f>
        <v>#N/A</v>
      </c>
      <c r="I787" t="e">
        <f t="shared" si="121"/>
        <v>#N/A</v>
      </c>
    </row>
    <row r="788" spans="1:9">
      <c r="A788" t="s">
        <v>8862</v>
      </c>
      <c r="B788" t="s">
        <v>8564</v>
      </c>
      <c r="C788" t="s">
        <v>8565</v>
      </c>
      <c r="G788" t="str">
        <f t="shared" ref="G788:G794" si="124">B788&amp;":"&amp;C788</f>
        <v>#{#SNMPINDEX}: High CPU utilization (over {$CPU.UTIL.CRIT}% for 5m)</v>
      </c>
      <c r="H788" t="e">
        <f>INDEX('7.0.17'!G:G,MATCH(G788,'7.0.17'!F:F,0))</f>
        <v>#N/A</v>
      </c>
      <c r="I788" t="e">
        <f t="shared" si="121"/>
        <v>#N/A</v>
      </c>
    </row>
    <row r="789" spans="1:9">
      <c r="A789" t="s">
        <v>8862</v>
      </c>
      <c r="B789" t="s">
        <v>8869</v>
      </c>
      <c r="C789" t="s">
        <v>8512</v>
      </c>
      <c r="D789" t="s">
        <v>8870</v>
      </c>
      <c r="G789" t="str">
        <f>B789&amp;":"&amp;C789&amp;":"&amp;D789</f>
        <v>Disk-{#SNMPINDEX}: Disk space is critically low (used &gt; {$VFS.FS.PUSED.MAX.CRIT:Disk-"{#SNMPINDEX}"}%)</v>
      </c>
      <c r="H789" t="e">
        <f>INDEX('7.0.17'!G:G,MATCH(G789,'7.0.17'!F:F,0))</f>
        <v>#N/A</v>
      </c>
      <c r="I789" t="e">
        <f t="shared" si="121"/>
        <v>#N/A</v>
      </c>
    </row>
    <row r="790" spans="1:9">
      <c r="A790" t="s">
        <v>8862</v>
      </c>
      <c r="B790" t="s">
        <v>8869</v>
      </c>
      <c r="C790" t="s">
        <v>8513</v>
      </c>
      <c r="D790" t="s">
        <v>8870</v>
      </c>
      <c r="G790" t="str">
        <f>B790&amp;":"&amp;C790&amp;":"&amp;D790</f>
        <v>Disk-{#SNMPINDEX}: Disk space is low (used &gt; {$VFS.FS.PUSED.MAX.WARN:Disk-"{#SNMPINDEX}"}%)</v>
      </c>
      <c r="H790" t="e">
        <f>INDEX('7.0.17'!G:G,MATCH(G790,'7.0.17'!F:F,0))</f>
        <v>#N/A</v>
      </c>
      <c r="I790" t="e">
        <f t="shared" si="121"/>
        <v>#N/A</v>
      </c>
    </row>
    <row r="791" spans="1:9">
      <c r="A791" t="s">
        <v>8862</v>
      </c>
      <c r="B791" t="s">
        <v>8433</v>
      </c>
      <c r="C791" t="s">
        <v>8863</v>
      </c>
      <c r="G791" t="str">
        <f t="shared" si="124"/>
        <v>Interface {#IFNAME}({#IFALIAS}): LTE modem RSRP is low (below {$LTEMODEM.RSRP.MIN.WARN}dbm for 5m)</v>
      </c>
      <c r="H791" t="e">
        <f>INDEX('7.0.17'!G:G,MATCH(G791,'7.0.17'!F:F,0))</f>
        <v>#N/A</v>
      </c>
      <c r="I791" t="e">
        <f t="shared" si="121"/>
        <v>#N/A</v>
      </c>
    </row>
    <row r="792" spans="1:9">
      <c r="A792" t="s">
        <v>8862</v>
      </c>
      <c r="B792" t="s">
        <v>8433</v>
      </c>
      <c r="C792" t="s">
        <v>8864</v>
      </c>
      <c r="G792" t="str">
        <f t="shared" si="124"/>
        <v>Interface {#IFNAME}({#IFALIAS}): LTE modem RSRQ is low (below {$LTEMODEM.RSRQ.MIN.WARN}db for 5m)</v>
      </c>
      <c r="H792" t="e">
        <f>INDEX('7.0.17'!G:G,MATCH(G792,'7.0.17'!F:F,0))</f>
        <v>#N/A</v>
      </c>
      <c r="I792" t="e">
        <f t="shared" si="121"/>
        <v>#N/A</v>
      </c>
    </row>
    <row r="793" spans="1:9">
      <c r="A793" t="s">
        <v>8862</v>
      </c>
      <c r="B793" t="s">
        <v>8433</v>
      </c>
      <c r="C793" t="s">
        <v>8865</v>
      </c>
      <c r="G793" t="str">
        <f t="shared" si="124"/>
        <v>Interface {#IFNAME}({#IFALIAS}): LTE modem RSSI is low (below {$LTEMODEM.RSSI.MIN.WARN}dbm for 5m)</v>
      </c>
      <c r="H793" t="e">
        <f>INDEX('7.0.17'!G:G,MATCH(G793,'7.0.17'!F:F,0))</f>
        <v>#N/A</v>
      </c>
      <c r="I793" t="e">
        <f t="shared" si="121"/>
        <v>#N/A</v>
      </c>
    </row>
    <row r="794" spans="1:9">
      <c r="A794" t="s">
        <v>8862</v>
      </c>
      <c r="B794" t="s">
        <v>8433</v>
      </c>
      <c r="C794" t="s">
        <v>8866</v>
      </c>
      <c r="G794" t="str">
        <f t="shared" si="124"/>
        <v>Interface {#IFNAME}({#IFALIAS}): LTE modem SINR is low (below {$LTEMODEM.SINR.MIN.WARN}db for 5m)</v>
      </c>
      <c r="H794" t="e">
        <f>INDEX('7.0.17'!G:G,MATCH(G794,'7.0.17'!F:F,0))</f>
        <v>#N/A</v>
      </c>
      <c r="I794" t="e">
        <f t="shared" si="121"/>
        <v>#N/A</v>
      </c>
    </row>
    <row r="795" spans="1:9">
      <c r="A795" t="s">
        <v>8862</v>
      </c>
      <c r="B795" t="s">
        <v>8433</v>
      </c>
      <c r="C795" t="s">
        <v>8434</v>
      </c>
      <c r="D795" t="s">
        <v>8435</v>
      </c>
      <c r="G795" t="str">
        <f>B795&amp;":"&amp;C795&amp;":"&amp;D795</f>
        <v>Interface {#IFNAME}({#IFALIAS}): High error rate (&gt;{$IF.ERRORS.WARN:{#IFNAME}} for 5m)</v>
      </c>
      <c r="H795" t="e">
        <f>INDEX('7.0.17'!G:G,MATCH(G795,'7.0.17'!F:F,0))</f>
        <v>#N/A</v>
      </c>
      <c r="I795" t="e">
        <f t="shared" si="121"/>
        <v>#N/A</v>
      </c>
    </row>
    <row r="796" spans="1:9">
      <c r="A796" t="s">
        <v>8862</v>
      </c>
      <c r="B796" t="s">
        <v>8433</v>
      </c>
      <c r="C796" t="s">
        <v>8436</v>
      </c>
      <c r="D796" t="s">
        <v>8437</v>
      </c>
      <c r="G796" t="str">
        <f>B796&amp;":"&amp;C796&amp;":"&amp;D796</f>
        <v>Interface {#IFNAME}({#IFALIAS}): High bandwidth usage (&gt;{$IF.UTIL.MAX:{#IFNAME}}%)</v>
      </c>
      <c r="H796" t="e">
        <f>INDEX('7.0.17'!G:G,MATCH(G796,'7.0.17'!F:F,0))</f>
        <v>#N/A</v>
      </c>
      <c r="I796" t="e">
        <f t="shared" si="121"/>
        <v>#N/A</v>
      </c>
    </row>
    <row r="797" spans="1:9">
      <c r="A797" t="s">
        <v>8862</v>
      </c>
      <c r="B797" t="s">
        <v>8737</v>
      </c>
      <c r="C797" t="s">
        <v>8439</v>
      </c>
      <c r="D797" t="s">
        <v>8440</v>
      </c>
      <c r="E797" t="s">
        <v>8598</v>
      </c>
      <c r="G797" t="str">
        <f t="shared" ref="G797:G802" si="125">B797&amp;":"&amp;C797&amp;":"&amp;D797&amp;":"&amp;E797</f>
        <v>CPU: Temperature is above critical threshold: &gt;{$TEMP_CRIT:"CPU"}</v>
      </c>
      <c r="H797" t="e">
        <f>INDEX('7.0.17'!G:G,MATCH(G797,'7.0.17'!F:F,0))</f>
        <v>#N/A</v>
      </c>
      <c r="I797" t="e">
        <f t="shared" si="121"/>
        <v>#N/A</v>
      </c>
    </row>
    <row r="798" spans="1:9">
      <c r="A798" t="s">
        <v>8862</v>
      </c>
      <c r="B798" t="s">
        <v>8737</v>
      </c>
      <c r="C798" t="s">
        <v>8442</v>
      </c>
      <c r="D798" t="s">
        <v>8443</v>
      </c>
      <c r="E798" t="s">
        <v>8598</v>
      </c>
      <c r="G798" t="str">
        <f t="shared" si="125"/>
        <v>CPU: Temperature is above warning threshold: &gt;{$TEMP_WARN:"CPU"}</v>
      </c>
      <c r="H798" t="e">
        <f>INDEX('7.0.17'!G:G,MATCH(G798,'7.0.17'!F:F,0))</f>
        <v>#N/A</v>
      </c>
      <c r="I798" t="e">
        <f t="shared" si="121"/>
        <v>#N/A</v>
      </c>
    </row>
    <row r="799" spans="1:9">
      <c r="A799" t="s">
        <v>8862</v>
      </c>
      <c r="B799" t="s">
        <v>8737</v>
      </c>
      <c r="C799" t="s">
        <v>8444</v>
      </c>
      <c r="D799" t="s">
        <v>8445</v>
      </c>
      <c r="E799" t="s">
        <v>8598</v>
      </c>
      <c r="G799" t="str">
        <f t="shared" si="125"/>
        <v>CPU: Temperature is too low: &lt;{$TEMP_CRIT_LOW:"CPU"}</v>
      </c>
      <c r="H799" t="e">
        <f>INDEX('7.0.17'!G:G,MATCH(G799,'7.0.17'!F:F,0))</f>
        <v>#N/A</v>
      </c>
      <c r="I799" t="e">
        <f t="shared" si="121"/>
        <v>#N/A</v>
      </c>
    </row>
    <row r="800" spans="1:9">
      <c r="A800" t="s">
        <v>8862</v>
      </c>
      <c r="B800" t="s">
        <v>8867</v>
      </c>
      <c r="C800" t="s">
        <v>8439</v>
      </c>
      <c r="D800" t="s">
        <v>8440</v>
      </c>
      <c r="E800" t="s">
        <v>8868</v>
      </c>
      <c r="G800" t="str">
        <f t="shared" si="125"/>
        <v>Device: Temperature is above critical threshold: &gt;{$TEMP_CRIT:Device}</v>
      </c>
      <c r="H800" t="e">
        <f>INDEX('7.0.17'!G:G,MATCH(G800,'7.0.17'!F:F,0))</f>
        <v>#N/A</v>
      </c>
      <c r="I800" t="e">
        <f t="shared" si="121"/>
        <v>#N/A</v>
      </c>
    </row>
    <row r="801" spans="1:9">
      <c r="A801" t="s">
        <v>8862</v>
      </c>
      <c r="B801" t="s">
        <v>8867</v>
      </c>
      <c r="C801" t="s">
        <v>8442</v>
      </c>
      <c r="D801" t="s">
        <v>8443</v>
      </c>
      <c r="E801" t="s">
        <v>8868</v>
      </c>
      <c r="G801" t="str">
        <f t="shared" si="125"/>
        <v>Device: Temperature is above warning threshold: &gt;{$TEMP_WARN:Device}</v>
      </c>
      <c r="H801" t="e">
        <f>INDEX('7.0.17'!G:G,MATCH(G801,'7.0.17'!F:F,0))</f>
        <v>#N/A</v>
      </c>
      <c r="I801" t="e">
        <f t="shared" si="121"/>
        <v>#N/A</v>
      </c>
    </row>
    <row r="802" spans="1:9">
      <c r="A802" t="s">
        <v>8862</v>
      </c>
      <c r="B802" t="s">
        <v>8867</v>
      </c>
      <c r="C802" t="s">
        <v>8444</v>
      </c>
      <c r="D802" t="s">
        <v>8445</v>
      </c>
      <c r="E802" t="s">
        <v>8868</v>
      </c>
      <c r="G802" t="str">
        <f t="shared" si="125"/>
        <v>Device: Temperature is too low: &lt;{$TEMP_CRIT_LOW:Device}</v>
      </c>
      <c r="H802" t="e">
        <f>INDEX('7.0.17'!G:G,MATCH(G802,'7.0.17'!F:F,0))</f>
        <v>#N/A</v>
      </c>
      <c r="I802" t="e">
        <f t="shared" si="121"/>
        <v>#N/A</v>
      </c>
    </row>
    <row r="803" spans="1:9">
      <c r="A803" t="s">
        <v>8862</v>
      </c>
      <c r="B803" t="s">
        <v>8564</v>
      </c>
      <c r="C803" t="s">
        <v>8565</v>
      </c>
      <c r="G803" t="str">
        <f t="shared" ref="G803:G809" si="126">B803&amp;":"&amp;C803</f>
        <v>#{#SNMPINDEX}: High CPU utilization (over {$CPU.UTIL.CRIT}% for 5m)</v>
      </c>
      <c r="H803" t="e">
        <f>INDEX('7.0.17'!G:G,MATCH(G803,'7.0.17'!F:F,0))</f>
        <v>#N/A</v>
      </c>
      <c r="I803" t="e">
        <f t="shared" si="121"/>
        <v>#N/A</v>
      </c>
    </row>
    <row r="804" spans="1:9">
      <c r="A804" t="s">
        <v>8862</v>
      </c>
      <c r="B804" t="s">
        <v>8869</v>
      </c>
      <c r="C804" t="s">
        <v>8512</v>
      </c>
      <c r="D804" t="s">
        <v>8870</v>
      </c>
      <c r="G804" t="str">
        <f>B804&amp;":"&amp;C804&amp;":"&amp;D804</f>
        <v>Disk-{#SNMPINDEX}: Disk space is critically low (used &gt; {$VFS.FS.PUSED.MAX.CRIT:Disk-"{#SNMPINDEX}"}%)</v>
      </c>
      <c r="H804" t="e">
        <f>INDEX('7.0.17'!G:G,MATCH(G804,'7.0.17'!F:F,0))</f>
        <v>#N/A</v>
      </c>
      <c r="I804" t="e">
        <f t="shared" si="121"/>
        <v>#N/A</v>
      </c>
    </row>
    <row r="805" spans="1:9">
      <c r="A805" t="s">
        <v>8862</v>
      </c>
      <c r="B805" t="s">
        <v>8869</v>
      </c>
      <c r="C805" t="s">
        <v>8513</v>
      </c>
      <c r="D805" t="s">
        <v>8870</v>
      </c>
      <c r="G805" t="str">
        <f>B805&amp;":"&amp;C805&amp;":"&amp;D805</f>
        <v>Disk-{#SNMPINDEX}: Disk space is low (used &gt; {$VFS.FS.PUSED.MAX.WARN:Disk-"{#SNMPINDEX}"}%)</v>
      </c>
      <c r="H805" t="e">
        <f>INDEX('7.0.17'!G:G,MATCH(G805,'7.0.17'!F:F,0))</f>
        <v>#N/A</v>
      </c>
      <c r="I805" t="e">
        <f t="shared" si="121"/>
        <v>#N/A</v>
      </c>
    </row>
    <row r="806" spans="1:9">
      <c r="A806" t="s">
        <v>8862</v>
      </c>
      <c r="B806" t="s">
        <v>8433</v>
      </c>
      <c r="C806" t="s">
        <v>8863</v>
      </c>
      <c r="G806" t="str">
        <f t="shared" si="126"/>
        <v>Interface {#IFNAME}({#IFALIAS}): LTE modem RSRP is low (below {$LTEMODEM.RSRP.MIN.WARN}dbm for 5m)</v>
      </c>
      <c r="H806" t="e">
        <f>INDEX('7.0.17'!G:G,MATCH(G806,'7.0.17'!F:F,0))</f>
        <v>#N/A</v>
      </c>
      <c r="I806" t="e">
        <f t="shared" si="121"/>
        <v>#N/A</v>
      </c>
    </row>
    <row r="807" spans="1:9">
      <c r="A807" t="s">
        <v>8862</v>
      </c>
      <c r="B807" t="s">
        <v>8433</v>
      </c>
      <c r="C807" t="s">
        <v>8864</v>
      </c>
      <c r="G807" t="str">
        <f t="shared" si="126"/>
        <v>Interface {#IFNAME}({#IFALIAS}): LTE modem RSRQ is low (below {$LTEMODEM.RSRQ.MIN.WARN}db for 5m)</v>
      </c>
      <c r="H807" t="e">
        <f>INDEX('7.0.17'!G:G,MATCH(G807,'7.0.17'!F:F,0))</f>
        <v>#N/A</v>
      </c>
      <c r="I807" t="e">
        <f t="shared" si="121"/>
        <v>#N/A</v>
      </c>
    </row>
    <row r="808" spans="1:9">
      <c r="A808" t="s">
        <v>8862</v>
      </c>
      <c r="B808" t="s">
        <v>8433</v>
      </c>
      <c r="C808" t="s">
        <v>8865</v>
      </c>
      <c r="G808" t="str">
        <f t="shared" si="126"/>
        <v>Interface {#IFNAME}({#IFALIAS}): LTE modem RSSI is low (below {$LTEMODEM.RSSI.MIN.WARN}dbm for 5m)</v>
      </c>
      <c r="H808" t="e">
        <f>INDEX('7.0.17'!G:G,MATCH(G808,'7.0.17'!F:F,0))</f>
        <v>#N/A</v>
      </c>
      <c r="I808" t="e">
        <f t="shared" si="121"/>
        <v>#N/A</v>
      </c>
    </row>
    <row r="809" spans="1:9">
      <c r="A809" t="s">
        <v>8862</v>
      </c>
      <c r="B809" t="s">
        <v>8433</v>
      </c>
      <c r="C809" t="s">
        <v>8866</v>
      </c>
      <c r="G809" t="str">
        <f t="shared" si="126"/>
        <v>Interface {#IFNAME}({#IFALIAS}): LTE modem SINR is low (below {$LTEMODEM.SINR.MIN.WARN}db for 5m)</v>
      </c>
      <c r="H809" t="e">
        <f>INDEX('7.0.17'!G:G,MATCH(G809,'7.0.17'!F:F,0))</f>
        <v>#N/A</v>
      </c>
      <c r="I809" t="e">
        <f t="shared" si="121"/>
        <v>#N/A</v>
      </c>
    </row>
    <row r="810" spans="1:9">
      <c r="A810" t="s">
        <v>8862</v>
      </c>
      <c r="B810" t="s">
        <v>8433</v>
      </c>
      <c r="C810" t="s">
        <v>8434</v>
      </c>
      <c r="D810" t="s">
        <v>8435</v>
      </c>
      <c r="G810" t="str">
        <f>B810&amp;":"&amp;C810&amp;":"&amp;D810</f>
        <v>Interface {#IFNAME}({#IFALIAS}): High error rate (&gt;{$IF.ERRORS.WARN:{#IFNAME}} for 5m)</v>
      </c>
      <c r="H810" t="e">
        <f>INDEX('7.0.17'!G:G,MATCH(G810,'7.0.17'!F:F,0))</f>
        <v>#N/A</v>
      </c>
      <c r="I810" t="e">
        <f t="shared" si="121"/>
        <v>#N/A</v>
      </c>
    </row>
    <row r="811" spans="1:9">
      <c r="A811" t="s">
        <v>8862</v>
      </c>
      <c r="B811" t="s">
        <v>8433</v>
      </c>
      <c r="C811" t="s">
        <v>8436</v>
      </c>
      <c r="D811" t="s">
        <v>8437</v>
      </c>
      <c r="G811" t="str">
        <f>B811&amp;":"&amp;C811&amp;":"&amp;D811</f>
        <v>Interface {#IFNAME}({#IFALIAS}): High bandwidth usage (&gt;{$IF.UTIL.MAX:{#IFNAME}}%)</v>
      </c>
      <c r="H811" t="e">
        <f>INDEX('7.0.17'!G:G,MATCH(G811,'7.0.17'!F:F,0))</f>
        <v>#N/A</v>
      </c>
      <c r="I811" t="e">
        <f t="shared" si="121"/>
        <v>#N/A</v>
      </c>
    </row>
    <row r="812" spans="1:9">
      <c r="A812" t="s">
        <v>8862</v>
      </c>
      <c r="B812" t="s">
        <v>8737</v>
      </c>
      <c r="C812" t="s">
        <v>8439</v>
      </c>
      <c r="D812" t="s">
        <v>8440</v>
      </c>
      <c r="E812" t="s">
        <v>8598</v>
      </c>
      <c r="G812" t="str">
        <f t="shared" ref="G812:G817" si="127">B812&amp;":"&amp;C812&amp;":"&amp;D812&amp;":"&amp;E812</f>
        <v>CPU: Temperature is above critical threshold: &gt;{$TEMP_CRIT:"CPU"}</v>
      </c>
      <c r="H812" t="e">
        <f>INDEX('7.0.17'!G:G,MATCH(G812,'7.0.17'!F:F,0))</f>
        <v>#N/A</v>
      </c>
      <c r="I812" t="e">
        <f t="shared" si="121"/>
        <v>#N/A</v>
      </c>
    </row>
    <row r="813" spans="1:9">
      <c r="A813" t="s">
        <v>8862</v>
      </c>
      <c r="B813" t="s">
        <v>8737</v>
      </c>
      <c r="C813" t="s">
        <v>8442</v>
      </c>
      <c r="D813" t="s">
        <v>8443</v>
      </c>
      <c r="E813" t="s">
        <v>8598</v>
      </c>
      <c r="G813" t="str">
        <f t="shared" si="127"/>
        <v>CPU: Temperature is above warning threshold: &gt;{$TEMP_WARN:"CPU"}</v>
      </c>
      <c r="H813" t="e">
        <f>INDEX('7.0.17'!G:G,MATCH(G813,'7.0.17'!F:F,0))</f>
        <v>#N/A</v>
      </c>
      <c r="I813" t="e">
        <f t="shared" si="121"/>
        <v>#N/A</v>
      </c>
    </row>
    <row r="814" spans="1:9">
      <c r="A814" t="s">
        <v>8862</v>
      </c>
      <c r="B814" t="s">
        <v>8737</v>
      </c>
      <c r="C814" t="s">
        <v>8444</v>
      </c>
      <c r="D814" t="s">
        <v>8445</v>
      </c>
      <c r="E814" t="s">
        <v>8598</v>
      </c>
      <c r="G814" t="str">
        <f t="shared" si="127"/>
        <v>CPU: Temperature is too low: &lt;{$TEMP_CRIT_LOW:"CPU"}</v>
      </c>
      <c r="H814" t="e">
        <f>INDEX('7.0.17'!G:G,MATCH(G814,'7.0.17'!F:F,0))</f>
        <v>#N/A</v>
      </c>
      <c r="I814" t="e">
        <f t="shared" si="121"/>
        <v>#N/A</v>
      </c>
    </row>
    <row r="815" spans="1:9">
      <c r="A815" t="s">
        <v>8862</v>
      </c>
      <c r="B815" t="s">
        <v>8867</v>
      </c>
      <c r="C815" t="s">
        <v>8439</v>
      </c>
      <c r="D815" t="s">
        <v>8440</v>
      </c>
      <c r="E815" t="s">
        <v>8868</v>
      </c>
      <c r="G815" t="str">
        <f t="shared" si="127"/>
        <v>Device: Temperature is above critical threshold: &gt;{$TEMP_CRIT:Device}</v>
      </c>
      <c r="H815" t="e">
        <f>INDEX('7.0.17'!G:G,MATCH(G815,'7.0.17'!F:F,0))</f>
        <v>#N/A</v>
      </c>
      <c r="I815" t="e">
        <f t="shared" si="121"/>
        <v>#N/A</v>
      </c>
    </row>
    <row r="816" spans="1:9">
      <c r="A816" t="s">
        <v>8862</v>
      </c>
      <c r="B816" t="s">
        <v>8867</v>
      </c>
      <c r="C816" t="s">
        <v>8442</v>
      </c>
      <c r="D816" t="s">
        <v>8443</v>
      </c>
      <c r="E816" t="s">
        <v>8868</v>
      </c>
      <c r="G816" t="str">
        <f t="shared" si="127"/>
        <v>Device: Temperature is above warning threshold: &gt;{$TEMP_WARN:Device}</v>
      </c>
      <c r="H816" t="e">
        <f>INDEX('7.0.17'!G:G,MATCH(G816,'7.0.17'!F:F,0))</f>
        <v>#N/A</v>
      </c>
      <c r="I816" t="e">
        <f t="shared" si="121"/>
        <v>#N/A</v>
      </c>
    </row>
    <row r="817" spans="1:9">
      <c r="A817" t="s">
        <v>8862</v>
      </c>
      <c r="B817" t="s">
        <v>8867</v>
      </c>
      <c r="C817" t="s">
        <v>8444</v>
      </c>
      <c r="D817" t="s">
        <v>8445</v>
      </c>
      <c r="E817" t="s">
        <v>8868</v>
      </c>
      <c r="G817" t="str">
        <f t="shared" si="127"/>
        <v>Device: Temperature is too low: &lt;{$TEMP_CRIT_LOW:Device}</v>
      </c>
      <c r="H817" t="e">
        <f>INDEX('7.0.17'!G:G,MATCH(G817,'7.0.17'!F:F,0))</f>
        <v>#N/A</v>
      </c>
      <c r="I817" t="e">
        <f t="shared" si="121"/>
        <v>#N/A</v>
      </c>
    </row>
    <row r="818" spans="1:9">
      <c r="A818" t="s">
        <v>8862</v>
      </c>
      <c r="B818" t="s">
        <v>8564</v>
      </c>
      <c r="C818" t="s">
        <v>8565</v>
      </c>
      <c r="G818" t="str">
        <f t="shared" ref="G818:G824" si="128">B818&amp;":"&amp;C818</f>
        <v>#{#SNMPINDEX}: High CPU utilization (over {$CPU.UTIL.CRIT}% for 5m)</v>
      </c>
      <c r="H818" t="e">
        <f>INDEX('7.0.17'!G:G,MATCH(G818,'7.0.17'!F:F,0))</f>
        <v>#N/A</v>
      </c>
      <c r="I818" t="e">
        <f t="shared" si="121"/>
        <v>#N/A</v>
      </c>
    </row>
    <row r="819" spans="1:9">
      <c r="A819" t="s">
        <v>8862</v>
      </c>
      <c r="B819" t="s">
        <v>8869</v>
      </c>
      <c r="C819" t="s">
        <v>8512</v>
      </c>
      <c r="D819" t="s">
        <v>8870</v>
      </c>
      <c r="G819" t="str">
        <f>B819&amp;":"&amp;C819&amp;":"&amp;D819</f>
        <v>Disk-{#SNMPINDEX}: Disk space is critically low (used &gt; {$VFS.FS.PUSED.MAX.CRIT:Disk-"{#SNMPINDEX}"}%)</v>
      </c>
      <c r="H819" t="e">
        <f>INDEX('7.0.17'!G:G,MATCH(G819,'7.0.17'!F:F,0))</f>
        <v>#N/A</v>
      </c>
      <c r="I819" t="e">
        <f t="shared" si="121"/>
        <v>#N/A</v>
      </c>
    </row>
    <row r="820" spans="1:9">
      <c r="A820" t="s">
        <v>8862</v>
      </c>
      <c r="B820" t="s">
        <v>8869</v>
      </c>
      <c r="C820" t="s">
        <v>8513</v>
      </c>
      <c r="D820" t="s">
        <v>8870</v>
      </c>
      <c r="G820" t="str">
        <f>B820&amp;":"&amp;C820&amp;":"&amp;D820</f>
        <v>Disk-{#SNMPINDEX}: Disk space is low (used &gt; {$VFS.FS.PUSED.MAX.WARN:Disk-"{#SNMPINDEX}"}%)</v>
      </c>
      <c r="H820" t="e">
        <f>INDEX('7.0.17'!G:G,MATCH(G820,'7.0.17'!F:F,0))</f>
        <v>#N/A</v>
      </c>
      <c r="I820" t="e">
        <f t="shared" si="121"/>
        <v>#N/A</v>
      </c>
    </row>
    <row r="821" spans="1:9">
      <c r="A821" t="s">
        <v>8862</v>
      </c>
      <c r="B821" t="s">
        <v>8433</v>
      </c>
      <c r="C821" t="s">
        <v>8863</v>
      </c>
      <c r="G821" t="str">
        <f t="shared" si="128"/>
        <v>Interface {#IFNAME}({#IFALIAS}): LTE modem RSRP is low (below {$LTEMODEM.RSRP.MIN.WARN}dbm for 5m)</v>
      </c>
      <c r="H821" t="e">
        <f>INDEX('7.0.17'!G:G,MATCH(G821,'7.0.17'!F:F,0))</f>
        <v>#N/A</v>
      </c>
      <c r="I821" t="e">
        <f t="shared" si="121"/>
        <v>#N/A</v>
      </c>
    </row>
    <row r="822" spans="1:9">
      <c r="A822" t="s">
        <v>8862</v>
      </c>
      <c r="B822" t="s">
        <v>8433</v>
      </c>
      <c r="C822" t="s">
        <v>8864</v>
      </c>
      <c r="G822" t="str">
        <f t="shared" si="128"/>
        <v>Interface {#IFNAME}({#IFALIAS}): LTE modem RSRQ is low (below {$LTEMODEM.RSRQ.MIN.WARN}db for 5m)</v>
      </c>
      <c r="H822" t="e">
        <f>INDEX('7.0.17'!G:G,MATCH(G822,'7.0.17'!F:F,0))</f>
        <v>#N/A</v>
      </c>
      <c r="I822" t="e">
        <f t="shared" si="121"/>
        <v>#N/A</v>
      </c>
    </row>
    <row r="823" spans="1:9">
      <c r="A823" t="s">
        <v>8862</v>
      </c>
      <c r="B823" t="s">
        <v>8433</v>
      </c>
      <c r="C823" t="s">
        <v>8865</v>
      </c>
      <c r="G823" t="str">
        <f t="shared" si="128"/>
        <v>Interface {#IFNAME}({#IFALIAS}): LTE modem RSSI is low (below {$LTEMODEM.RSSI.MIN.WARN}dbm for 5m)</v>
      </c>
      <c r="H823" t="e">
        <f>INDEX('7.0.17'!G:G,MATCH(G823,'7.0.17'!F:F,0))</f>
        <v>#N/A</v>
      </c>
      <c r="I823" t="e">
        <f t="shared" si="121"/>
        <v>#N/A</v>
      </c>
    </row>
    <row r="824" spans="1:9">
      <c r="A824" t="s">
        <v>8862</v>
      </c>
      <c r="B824" t="s">
        <v>8433</v>
      </c>
      <c r="C824" t="s">
        <v>8866</v>
      </c>
      <c r="G824" t="str">
        <f t="shared" si="128"/>
        <v>Interface {#IFNAME}({#IFALIAS}): LTE modem SINR is low (below {$LTEMODEM.SINR.MIN.WARN}db for 5m)</v>
      </c>
      <c r="H824" t="e">
        <f>INDEX('7.0.17'!G:G,MATCH(G824,'7.0.17'!F:F,0))</f>
        <v>#N/A</v>
      </c>
      <c r="I824" t="e">
        <f t="shared" si="121"/>
        <v>#N/A</v>
      </c>
    </row>
    <row r="825" spans="1:9">
      <c r="A825" t="s">
        <v>8862</v>
      </c>
      <c r="B825" t="s">
        <v>8433</v>
      </c>
      <c r="C825" t="s">
        <v>8434</v>
      </c>
      <c r="D825" t="s">
        <v>8435</v>
      </c>
      <c r="G825" t="str">
        <f>B825&amp;":"&amp;C825&amp;":"&amp;D825</f>
        <v>Interface {#IFNAME}({#IFALIAS}): High error rate (&gt;{$IF.ERRORS.WARN:{#IFNAME}} for 5m)</v>
      </c>
      <c r="H825" t="e">
        <f>INDEX('7.0.17'!G:G,MATCH(G825,'7.0.17'!F:F,0))</f>
        <v>#N/A</v>
      </c>
      <c r="I825" t="e">
        <f t="shared" si="121"/>
        <v>#N/A</v>
      </c>
    </row>
    <row r="826" spans="1:9">
      <c r="A826" t="s">
        <v>8862</v>
      </c>
      <c r="B826" t="s">
        <v>8433</v>
      </c>
      <c r="C826" t="s">
        <v>8436</v>
      </c>
      <c r="D826" t="s">
        <v>8437</v>
      </c>
      <c r="G826" t="str">
        <f>B826&amp;":"&amp;C826&amp;":"&amp;D826</f>
        <v>Interface {#IFNAME}({#IFALIAS}): High bandwidth usage (&gt;{$IF.UTIL.MAX:{#IFNAME}}%)</v>
      </c>
      <c r="H826" t="e">
        <f>INDEX('7.0.17'!G:G,MATCH(G826,'7.0.17'!F:F,0))</f>
        <v>#N/A</v>
      </c>
      <c r="I826" t="e">
        <f t="shared" si="121"/>
        <v>#N/A</v>
      </c>
    </row>
    <row r="827" spans="1:9">
      <c r="A827" t="s">
        <v>8862</v>
      </c>
      <c r="B827" t="s">
        <v>8737</v>
      </c>
      <c r="C827" t="s">
        <v>8439</v>
      </c>
      <c r="D827" t="s">
        <v>8440</v>
      </c>
      <c r="E827" t="s">
        <v>8598</v>
      </c>
      <c r="G827" t="str">
        <f t="shared" ref="G827:G832" si="129">B827&amp;":"&amp;C827&amp;":"&amp;D827&amp;":"&amp;E827</f>
        <v>CPU: Temperature is above critical threshold: &gt;{$TEMP_CRIT:"CPU"}</v>
      </c>
      <c r="H827" t="e">
        <f>INDEX('7.0.17'!G:G,MATCH(G827,'7.0.17'!F:F,0))</f>
        <v>#N/A</v>
      </c>
      <c r="I827" t="e">
        <f t="shared" si="121"/>
        <v>#N/A</v>
      </c>
    </row>
    <row r="828" spans="1:9">
      <c r="A828" t="s">
        <v>8862</v>
      </c>
      <c r="B828" t="s">
        <v>8737</v>
      </c>
      <c r="C828" t="s">
        <v>8442</v>
      </c>
      <c r="D828" t="s">
        <v>8443</v>
      </c>
      <c r="E828" t="s">
        <v>8598</v>
      </c>
      <c r="G828" t="str">
        <f t="shared" si="129"/>
        <v>CPU: Temperature is above warning threshold: &gt;{$TEMP_WARN:"CPU"}</v>
      </c>
      <c r="H828" t="e">
        <f>INDEX('7.0.17'!G:G,MATCH(G828,'7.0.17'!F:F,0))</f>
        <v>#N/A</v>
      </c>
      <c r="I828" t="e">
        <f t="shared" si="121"/>
        <v>#N/A</v>
      </c>
    </row>
    <row r="829" spans="1:9">
      <c r="A829" t="s">
        <v>8862</v>
      </c>
      <c r="B829" t="s">
        <v>8737</v>
      </c>
      <c r="C829" t="s">
        <v>8444</v>
      </c>
      <c r="D829" t="s">
        <v>8445</v>
      </c>
      <c r="E829" t="s">
        <v>8598</v>
      </c>
      <c r="G829" t="str">
        <f t="shared" si="129"/>
        <v>CPU: Temperature is too low: &lt;{$TEMP_CRIT_LOW:"CPU"}</v>
      </c>
      <c r="H829" t="e">
        <f>INDEX('7.0.17'!G:G,MATCH(G829,'7.0.17'!F:F,0))</f>
        <v>#N/A</v>
      </c>
      <c r="I829" t="e">
        <f t="shared" si="121"/>
        <v>#N/A</v>
      </c>
    </row>
    <row r="830" spans="1:9">
      <c r="A830" t="s">
        <v>8862</v>
      </c>
      <c r="B830" t="s">
        <v>8867</v>
      </c>
      <c r="C830" t="s">
        <v>8439</v>
      </c>
      <c r="D830" t="s">
        <v>8440</v>
      </c>
      <c r="E830" t="s">
        <v>8868</v>
      </c>
      <c r="G830" t="str">
        <f t="shared" si="129"/>
        <v>Device: Temperature is above critical threshold: &gt;{$TEMP_CRIT:Device}</v>
      </c>
      <c r="H830" t="e">
        <f>INDEX('7.0.17'!G:G,MATCH(G830,'7.0.17'!F:F,0))</f>
        <v>#N/A</v>
      </c>
      <c r="I830" t="e">
        <f t="shared" si="121"/>
        <v>#N/A</v>
      </c>
    </row>
    <row r="831" spans="1:9">
      <c r="A831" t="s">
        <v>8862</v>
      </c>
      <c r="B831" t="s">
        <v>8867</v>
      </c>
      <c r="C831" t="s">
        <v>8442</v>
      </c>
      <c r="D831" t="s">
        <v>8443</v>
      </c>
      <c r="E831" t="s">
        <v>8868</v>
      </c>
      <c r="G831" t="str">
        <f t="shared" si="129"/>
        <v>Device: Temperature is above warning threshold: &gt;{$TEMP_WARN:Device}</v>
      </c>
      <c r="H831" t="e">
        <f>INDEX('7.0.17'!G:G,MATCH(G831,'7.0.17'!F:F,0))</f>
        <v>#N/A</v>
      </c>
      <c r="I831" t="e">
        <f t="shared" si="121"/>
        <v>#N/A</v>
      </c>
    </row>
    <row r="832" spans="1:9">
      <c r="A832" t="s">
        <v>8862</v>
      </c>
      <c r="B832" t="s">
        <v>8867</v>
      </c>
      <c r="C832" t="s">
        <v>8444</v>
      </c>
      <c r="D832" t="s">
        <v>8445</v>
      </c>
      <c r="E832" t="s">
        <v>8868</v>
      </c>
      <c r="G832" t="str">
        <f t="shared" si="129"/>
        <v>Device: Temperature is too low: &lt;{$TEMP_CRIT_LOW:Device}</v>
      </c>
      <c r="H832" t="e">
        <f>INDEX('7.0.17'!G:G,MATCH(G832,'7.0.17'!F:F,0))</f>
        <v>#N/A</v>
      </c>
      <c r="I832" t="e">
        <f t="shared" si="121"/>
        <v>#N/A</v>
      </c>
    </row>
    <row r="833" spans="1:9">
      <c r="A833" t="s">
        <v>8862</v>
      </c>
      <c r="B833" t="s">
        <v>8564</v>
      </c>
      <c r="C833" t="s">
        <v>8565</v>
      </c>
      <c r="G833" t="str">
        <f t="shared" ref="G833:G839" si="130">B833&amp;":"&amp;C833</f>
        <v>#{#SNMPINDEX}: High CPU utilization (over {$CPU.UTIL.CRIT}% for 5m)</v>
      </c>
      <c r="H833" t="e">
        <f>INDEX('7.0.17'!G:G,MATCH(G833,'7.0.17'!F:F,0))</f>
        <v>#N/A</v>
      </c>
      <c r="I833" t="e">
        <f t="shared" si="121"/>
        <v>#N/A</v>
      </c>
    </row>
    <row r="834" spans="1:9">
      <c r="A834" t="s">
        <v>8862</v>
      </c>
      <c r="B834" t="s">
        <v>8869</v>
      </c>
      <c r="C834" t="s">
        <v>8512</v>
      </c>
      <c r="D834" t="s">
        <v>8870</v>
      </c>
      <c r="G834" t="str">
        <f>B834&amp;":"&amp;C834&amp;":"&amp;D834</f>
        <v>Disk-{#SNMPINDEX}: Disk space is critically low (used &gt; {$VFS.FS.PUSED.MAX.CRIT:Disk-"{#SNMPINDEX}"}%)</v>
      </c>
      <c r="H834" t="e">
        <f>INDEX('7.0.17'!G:G,MATCH(G834,'7.0.17'!F:F,0))</f>
        <v>#N/A</v>
      </c>
      <c r="I834" t="e">
        <f t="shared" si="121"/>
        <v>#N/A</v>
      </c>
    </row>
    <row r="835" spans="1:9">
      <c r="A835" t="s">
        <v>8862</v>
      </c>
      <c r="B835" t="s">
        <v>8869</v>
      </c>
      <c r="C835" t="s">
        <v>8513</v>
      </c>
      <c r="D835" t="s">
        <v>8870</v>
      </c>
      <c r="G835" t="str">
        <f>B835&amp;":"&amp;C835&amp;":"&amp;D835</f>
        <v>Disk-{#SNMPINDEX}: Disk space is low (used &gt; {$VFS.FS.PUSED.MAX.WARN:Disk-"{#SNMPINDEX}"}%)</v>
      </c>
      <c r="H835" t="e">
        <f>INDEX('7.0.17'!G:G,MATCH(G835,'7.0.17'!F:F,0))</f>
        <v>#N/A</v>
      </c>
      <c r="I835" t="e">
        <f t="shared" ref="I835:I898" si="131">A835&amp;": "&amp;H835</f>
        <v>#N/A</v>
      </c>
    </row>
    <row r="836" spans="1:9">
      <c r="A836" t="s">
        <v>8862</v>
      </c>
      <c r="B836" t="s">
        <v>8433</v>
      </c>
      <c r="C836" t="s">
        <v>8863</v>
      </c>
      <c r="G836" t="str">
        <f t="shared" si="130"/>
        <v>Interface {#IFNAME}({#IFALIAS}): LTE modem RSRP is low (below {$LTEMODEM.RSRP.MIN.WARN}dbm for 5m)</v>
      </c>
      <c r="H836" t="e">
        <f>INDEX('7.0.17'!G:G,MATCH(G836,'7.0.17'!F:F,0))</f>
        <v>#N/A</v>
      </c>
      <c r="I836" t="e">
        <f t="shared" si="131"/>
        <v>#N/A</v>
      </c>
    </row>
    <row r="837" spans="1:9">
      <c r="A837" t="s">
        <v>8862</v>
      </c>
      <c r="B837" t="s">
        <v>8433</v>
      </c>
      <c r="C837" t="s">
        <v>8864</v>
      </c>
      <c r="G837" t="str">
        <f t="shared" si="130"/>
        <v>Interface {#IFNAME}({#IFALIAS}): LTE modem RSRQ is low (below {$LTEMODEM.RSRQ.MIN.WARN}db for 5m)</v>
      </c>
      <c r="H837" t="e">
        <f>INDEX('7.0.17'!G:G,MATCH(G837,'7.0.17'!F:F,0))</f>
        <v>#N/A</v>
      </c>
      <c r="I837" t="e">
        <f t="shared" si="131"/>
        <v>#N/A</v>
      </c>
    </row>
    <row r="838" spans="1:9">
      <c r="A838" t="s">
        <v>8862</v>
      </c>
      <c r="B838" t="s">
        <v>8433</v>
      </c>
      <c r="C838" t="s">
        <v>8865</v>
      </c>
      <c r="G838" t="str">
        <f t="shared" si="130"/>
        <v>Interface {#IFNAME}({#IFALIAS}): LTE modem RSSI is low (below {$LTEMODEM.RSSI.MIN.WARN}dbm for 5m)</v>
      </c>
      <c r="H838" t="e">
        <f>INDEX('7.0.17'!G:G,MATCH(G838,'7.0.17'!F:F,0))</f>
        <v>#N/A</v>
      </c>
      <c r="I838" t="e">
        <f t="shared" si="131"/>
        <v>#N/A</v>
      </c>
    </row>
    <row r="839" spans="1:9">
      <c r="A839" t="s">
        <v>8862</v>
      </c>
      <c r="B839" t="s">
        <v>8433</v>
      </c>
      <c r="C839" t="s">
        <v>8866</v>
      </c>
      <c r="G839" t="str">
        <f t="shared" si="130"/>
        <v>Interface {#IFNAME}({#IFALIAS}): LTE modem SINR is low (below {$LTEMODEM.SINR.MIN.WARN}db for 5m)</v>
      </c>
      <c r="H839" t="e">
        <f>INDEX('7.0.17'!G:G,MATCH(G839,'7.0.17'!F:F,0))</f>
        <v>#N/A</v>
      </c>
      <c r="I839" t="e">
        <f t="shared" si="131"/>
        <v>#N/A</v>
      </c>
    </row>
    <row r="840" spans="1:9">
      <c r="A840" t="s">
        <v>8862</v>
      </c>
      <c r="B840" t="s">
        <v>8433</v>
      </c>
      <c r="C840" t="s">
        <v>8434</v>
      </c>
      <c r="D840" t="s">
        <v>8435</v>
      </c>
      <c r="G840" t="str">
        <f>B840&amp;":"&amp;C840&amp;":"&amp;D840</f>
        <v>Interface {#IFNAME}({#IFALIAS}): High error rate (&gt;{$IF.ERRORS.WARN:{#IFNAME}} for 5m)</v>
      </c>
      <c r="H840" t="e">
        <f>INDEX('7.0.17'!G:G,MATCH(G840,'7.0.17'!F:F,0))</f>
        <v>#N/A</v>
      </c>
      <c r="I840" t="e">
        <f t="shared" si="131"/>
        <v>#N/A</v>
      </c>
    </row>
    <row r="841" spans="1:9">
      <c r="A841" t="s">
        <v>8862</v>
      </c>
      <c r="B841" t="s">
        <v>8433</v>
      </c>
      <c r="C841" t="s">
        <v>8436</v>
      </c>
      <c r="D841" t="s">
        <v>8437</v>
      </c>
      <c r="G841" t="str">
        <f>B841&amp;":"&amp;C841&amp;":"&amp;D841</f>
        <v>Interface {#IFNAME}({#IFALIAS}): High bandwidth usage (&gt;{$IF.UTIL.MAX:{#IFNAME}}%)</v>
      </c>
      <c r="H841" t="e">
        <f>INDEX('7.0.17'!G:G,MATCH(G841,'7.0.17'!F:F,0))</f>
        <v>#N/A</v>
      </c>
      <c r="I841" t="e">
        <f t="shared" si="131"/>
        <v>#N/A</v>
      </c>
    </row>
    <row r="842" spans="1:9">
      <c r="A842" t="s">
        <v>8862</v>
      </c>
      <c r="B842" t="s">
        <v>8737</v>
      </c>
      <c r="C842" t="s">
        <v>8439</v>
      </c>
      <c r="D842" t="s">
        <v>8440</v>
      </c>
      <c r="E842" t="s">
        <v>8598</v>
      </c>
      <c r="G842" t="str">
        <f t="shared" ref="G842:G847" si="132">B842&amp;":"&amp;C842&amp;":"&amp;D842&amp;":"&amp;E842</f>
        <v>CPU: Temperature is above critical threshold: &gt;{$TEMP_CRIT:"CPU"}</v>
      </c>
      <c r="H842" t="e">
        <f>INDEX('7.0.17'!G:G,MATCH(G842,'7.0.17'!F:F,0))</f>
        <v>#N/A</v>
      </c>
      <c r="I842" t="e">
        <f t="shared" si="131"/>
        <v>#N/A</v>
      </c>
    </row>
    <row r="843" spans="1:9">
      <c r="A843" t="s">
        <v>8862</v>
      </c>
      <c r="B843" t="s">
        <v>8737</v>
      </c>
      <c r="C843" t="s">
        <v>8442</v>
      </c>
      <c r="D843" t="s">
        <v>8443</v>
      </c>
      <c r="E843" t="s">
        <v>8598</v>
      </c>
      <c r="G843" t="str">
        <f t="shared" si="132"/>
        <v>CPU: Temperature is above warning threshold: &gt;{$TEMP_WARN:"CPU"}</v>
      </c>
      <c r="H843" t="e">
        <f>INDEX('7.0.17'!G:G,MATCH(G843,'7.0.17'!F:F,0))</f>
        <v>#N/A</v>
      </c>
      <c r="I843" t="e">
        <f t="shared" si="131"/>
        <v>#N/A</v>
      </c>
    </row>
    <row r="844" spans="1:9">
      <c r="A844" t="s">
        <v>8862</v>
      </c>
      <c r="B844" t="s">
        <v>8737</v>
      </c>
      <c r="C844" t="s">
        <v>8444</v>
      </c>
      <c r="D844" t="s">
        <v>8445</v>
      </c>
      <c r="E844" t="s">
        <v>8598</v>
      </c>
      <c r="G844" t="str">
        <f t="shared" si="132"/>
        <v>CPU: Temperature is too low: &lt;{$TEMP_CRIT_LOW:"CPU"}</v>
      </c>
      <c r="H844" t="e">
        <f>INDEX('7.0.17'!G:G,MATCH(G844,'7.0.17'!F:F,0))</f>
        <v>#N/A</v>
      </c>
      <c r="I844" t="e">
        <f t="shared" si="131"/>
        <v>#N/A</v>
      </c>
    </row>
    <row r="845" spans="1:9">
      <c r="A845" t="s">
        <v>8862</v>
      </c>
      <c r="B845" t="s">
        <v>8867</v>
      </c>
      <c r="C845" t="s">
        <v>8439</v>
      </c>
      <c r="D845" t="s">
        <v>8440</v>
      </c>
      <c r="E845" t="s">
        <v>8868</v>
      </c>
      <c r="G845" t="str">
        <f t="shared" si="132"/>
        <v>Device: Temperature is above critical threshold: &gt;{$TEMP_CRIT:Device}</v>
      </c>
      <c r="H845" t="e">
        <f>INDEX('7.0.17'!G:G,MATCH(G845,'7.0.17'!F:F,0))</f>
        <v>#N/A</v>
      </c>
      <c r="I845" t="e">
        <f t="shared" si="131"/>
        <v>#N/A</v>
      </c>
    </row>
    <row r="846" spans="1:9">
      <c r="A846" t="s">
        <v>8862</v>
      </c>
      <c r="B846" t="s">
        <v>8867</v>
      </c>
      <c r="C846" t="s">
        <v>8442</v>
      </c>
      <c r="D846" t="s">
        <v>8443</v>
      </c>
      <c r="E846" t="s">
        <v>8868</v>
      </c>
      <c r="G846" t="str">
        <f t="shared" si="132"/>
        <v>Device: Temperature is above warning threshold: &gt;{$TEMP_WARN:Device}</v>
      </c>
      <c r="H846" t="e">
        <f>INDEX('7.0.17'!G:G,MATCH(G846,'7.0.17'!F:F,0))</f>
        <v>#N/A</v>
      </c>
      <c r="I846" t="e">
        <f t="shared" si="131"/>
        <v>#N/A</v>
      </c>
    </row>
    <row r="847" spans="1:9">
      <c r="A847" t="s">
        <v>8862</v>
      </c>
      <c r="B847" t="s">
        <v>8867</v>
      </c>
      <c r="C847" t="s">
        <v>8444</v>
      </c>
      <c r="D847" t="s">
        <v>8445</v>
      </c>
      <c r="E847" t="s">
        <v>8868</v>
      </c>
      <c r="G847" t="str">
        <f t="shared" si="132"/>
        <v>Device: Temperature is too low: &lt;{$TEMP_CRIT_LOW:Device}</v>
      </c>
      <c r="H847" t="e">
        <f>INDEX('7.0.17'!G:G,MATCH(G847,'7.0.17'!F:F,0))</f>
        <v>#N/A</v>
      </c>
      <c r="I847" t="e">
        <f t="shared" si="131"/>
        <v>#N/A</v>
      </c>
    </row>
    <row r="848" spans="1:9">
      <c r="A848" t="s">
        <v>8862</v>
      </c>
      <c r="B848" t="s">
        <v>8564</v>
      </c>
      <c r="C848" t="s">
        <v>8565</v>
      </c>
      <c r="G848" t="str">
        <f t="shared" ref="G848:G854" si="133">B848&amp;":"&amp;C848</f>
        <v>#{#SNMPINDEX}: High CPU utilization (over {$CPU.UTIL.CRIT}% for 5m)</v>
      </c>
      <c r="H848" t="e">
        <f>INDEX('7.0.17'!G:G,MATCH(G848,'7.0.17'!F:F,0))</f>
        <v>#N/A</v>
      </c>
      <c r="I848" t="e">
        <f t="shared" si="131"/>
        <v>#N/A</v>
      </c>
    </row>
    <row r="849" spans="1:9">
      <c r="A849" t="s">
        <v>8862</v>
      </c>
      <c r="B849" t="s">
        <v>8869</v>
      </c>
      <c r="C849" t="s">
        <v>8512</v>
      </c>
      <c r="D849" t="s">
        <v>8870</v>
      </c>
      <c r="G849" t="str">
        <f>B849&amp;":"&amp;C849&amp;":"&amp;D849</f>
        <v>Disk-{#SNMPINDEX}: Disk space is critically low (used &gt; {$VFS.FS.PUSED.MAX.CRIT:Disk-"{#SNMPINDEX}"}%)</v>
      </c>
      <c r="H849" t="e">
        <f>INDEX('7.0.17'!G:G,MATCH(G849,'7.0.17'!F:F,0))</f>
        <v>#N/A</v>
      </c>
      <c r="I849" t="e">
        <f t="shared" si="131"/>
        <v>#N/A</v>
      </c>
    </row>
    <row r="850" spans="1:9">
      <c r="A850" t="s">
        <v>8862</v>
      </c>
      <c r="B850" t="s">
        <v>8869</v>
      </c>
      <c r="C850" t="s">
        <v>8513</v>
      </c>
      <c r="D850" t="s">
        <v>8870</v>
      </c>
      <c r="G850" t="str">
        <f>B850&amp;":"&amp;C850&amp;":"&amp;D850</f>
        <v>Disk-{#SNMPINDEX}: Disk space is low (used &gt; {$VFS.FS.PUSED.MAX.WARN:Disk-"{#SNMPINDEX}"}%)</v>
      </c>
      <c r="H850" t="e">
        <f>INDEX('7.0.17'!G:G,MATCH(G850,'7.0.17'!F:F,0))</f>
        <v>#N/A</v>
      </c>
      <c r="I850" t="e">
        <f t="shared" si="131"/>
        <v>#N/A</v>
      </c>
    </row>
    <row r="851" spans="1:9">
      <c r="A851" t="s">
        <v>8862</v>
      </c>
      <c r="B851" t="s">
        <v>8433</v>
      </c>
      <c r="C851" t="s">
        <v>8863</v>
      </c>
      <c r="G851" t="str">
        <f t="shared" si="133"/>
        <v>Interface {#IFNAME}({#IFALIAS}): LTE modem RSRP is low (below {$LTEMODEM.RSRP.MIN.WARN}dbm for 5m)</v>
      </c>
      <c r="H851" t="e">
        <f>INDEX('7.0.17'!G:G,MATCH(G851,'7.0.17'!F:F,0))</f>
        <v>#N/A</v>
      </c>
      <c r="I851" t="e">
        <f t="shared" si="131"/>
        <v>#N/A</v>
      </c>
    </row>
    <row r="852" spans="1:9">
      <c r="A852" t="s">
        <v>8862</v>
      </c>
      <c r="B852" t="s">
        <v>8433</v>
      </c>
      <c r="C852" t="s">
        <v>8864</v>
      </c>
      <c r="G852" t="str">
        <f t="shared" si="133"/>
        <v>Interface {#IFNAME}({#IFALIAS}): LTE modem RSRQ is low (below {$LTEMODEM.RSRQ.MIN.WARN}db for 5m)</v>
      </c>
      <c r="H852" t="e">
        <f>INDEX('7.0.17'!G:G,MATCH(G852,'7.0.17'!F:F,0))</f>
        <v>#N/A</v>
      </c>
      <c r="I852" t="e">
        <f t="shared" si="131"/>
        <v>#N/A</v>
      </c>
    </row>
    <row r="853" spans="1:9">
      <c r="A853" t="s">
        <v>8862</v>
      </c>
      <c r="B853" t="s">
        <v>8433</v>
      </c>
      <c r="C853" t="s">
        <v>8865</v>
      </c>
      <c r="G853" t="str">
        <f t="shared" si="133"/>
        <v>Interface {#IFNAME}({#IFALIAS}): LTE modem RSSI is low (below {$LTEMODEM.RSSI.MIN.WARN}dbm for 5m)</v>
      </c>
      <c r="H853" t="e">
        <f>INDEX('7.0.17'!G:G,MATCH(G853,'7.0.17'!F:F,0))</f>
        <v>#N/A</v>
      </c>
      <c r="I853" t="e">
        <f t="shared" si="131"/>
        <v>#N/A</v>
      </c>
    </row>
    <row r="854" spans="1:9">
      <c r="A854" t="s">
        <v>8862</v>
      </c>
      <c r="B854" t="s">
        <v>8433</v>
      </c>
      <c r="C854" t="s">
        <v>8866</v>
      </c>
      <c r="G854" t="str">
        <f t="shared" si="133"/>
        <v>Interface {#IFNAME}({#IFALIAS}): LTE modem SINR is low (below {$LTEMODEM.SINR.MIN.WARN}db for 5m)</v>
      </c>
      <c r="H854" t="e">
        <f>INDEX('7.0.17'!G:G,MATCH(G854,'7.0.17'!F:F,0))</f>
        <v>#N/A</v>
      </c>
      <c r="I854" t="e">
        <f t="shared" si="131"/>
        <v>#N/A</v>
      </c>
    </row>
    <row r="855" spans="1:9">
      <c r="A855" t="s">
        <v>8862</v>
      </c>
      <c r="B855" t="s">
        <v>8433</v>
      </c>
      <c r="C855" t="s">
        <v>8434</v>
      </c>
      <c r="D855" t="s">
        <v>8435</v>
      </c>
      <c r="G855" t="str">
        <f>B855&amp;":"&amp;C855&amp;":"&amp;D855</f>
        <v>Interface {#IFNAME}({#IFALIAS}): High error rate (&gt;{$IF.ERRORS.WARN:{#IFNAME}} for 5m)</v>
      </c>
      <c r="H855" t="e">
        <f>INDEX('7.0.17'!G:G,MATCH(G855,'7.0.17'!F:F,0))</f>
        <v>#N/A</v>
      </c>
      <c r="I855" t="e">
        <f t="shared" si="131"/>
        <v>#N/A</v>
      </c>
    </row>
    <row r="856" spans="1:9">
      <c r="A856" t="s">
        <v>8862</v>
      </c>
      <c r="B856" t="s">
        <v>8433</v>
      </c>
      <c r="C856" t="s">
        <v>8436</v>
      </c>
      <c r="D856" t="s">
        <v>8437</v>
      </c>
      <c r="G856" t="str">
        <f>B856&amp;":"&amp;C856&amp;":"&amp;D856</f>
        <v>Interface {#IFNAME}({#IFALIAS}): High bandwidth usage (&gt;{$IF.UTIL.MAX:{#IFNAME}}%)</v>
      </c>
      <c r="H856" t="e">
        <f>INDEX('7.0.17'!G:G,MATCH(G856,'7.0.17'!F:F,0))</f>
        <v>#N/A</v>
      </c>
      <c r="I856" t="e">
        <f t="shared" si="131"/>
        <v>#N/A</v>
      </c>
    </row>
    <row r="857" spans="1:9">
      <c r="A857" t="s">
        <v>8862</v>
      </c>
      <c r="B857" t="s">
        <v>8737</v>
      </c>
      <c r="C857" t="s">
        <v>8439</v>
      </c>
      <c r="D857" t="s">
        <v>8440</v>
      </c>
      <c r="E857" t="s">
        <v>8598</v>
      </c>
      <c r="G857" t="str">
        <f t="shared" ref="G857:G862" si="134">B857&amp;":"&amp;C857&amp;":"&amp;D857&amp;":"&amp;E857</f>
        <v>CPU: Temperature is above critical threshold: &gt;{$TEMP_CRIT:"CPU"}</v>
      </c>
      <c r="H857" t="e">
        <f>INDEX('7.0.17'!G:G,MATCH(G857,'7.0.17'!F:F,0))</f>
        <v>#N/A</v>
      </c>
      <c r="I857" t="e">
        <f t="shared" si="131"/>
        <v>#N/A</v>
      </c>
    </row>
    <row r="858" spans="1:9">
      <c r="A858" t="s">
        <v>8862</v>
      </c>
      <c r="B858" t="s">
        <v>8737</v>
      </c>
      <c r="C858" t="s">
        <v>8442</v>
      </c>
      <c r="D858" t="s">
        <v>8443</v>
      </c>
      <c r="E858" t="s">
        <v>8598</v>
      </c>
      <c r="G858" t="str">
        <f t="shared" si="134"/>
        <v>CPU: Temperature is above warning threshold: &gt;{$TEMP_WARN:"CPU"}</v>
      </c>
      <c r="H858" t="e">
        <f>INDEX('7.0.17'!G:G,MATCH(G858,'7.0.17'!F:F,0))</f>
        <v>#N/A</v>
      </c>
      <c r="I858" t="e">
        <f t="shared" si="131"/>
        <v>#N/A</v>
      </c>
    </row>
    <row r="859" spans="1:9">
      <c r="A859" t="s">
        <v>8862</v>
      </c>
      <c r="B859" t="s">
        <v>8737</v>
      </c>
      <c r="C859" t="s">
        <v>8444</v>
      </c>
      <c r="D859" t="s">
        <v>8445</v>
      </c>
      <c r="E859" t="s">
        <v>8598</v>
      </c>
      <c r="G859" t="str">
        <f t="shared" si="134"/>
        <v>CPU: Temperature is too low: &lt;{$TEMP_CRIT_LOW:"CPU"}</v>
      </c>
      <c r="H859" t="e">
        <f>INDEX('7.0.17'!G:G,MATCH(G859,'7.0.17'!F:F,0))</f>
        <v>#N/A</v>
      </c>
      <c r="I859" t="e">
        <f t="shared" si="131"/>
        <v>#N/A</v>
      </c>
    </row>
    <row r="860" spans="1:9">
      <c r="A860" t="s">
        <v>8862</v>
      </c>
      <c r="B860" t="s">
        <v>8867</v>
      </c>
      <c r="C860" t="s">
        <v>8439</v>
      </c>
      <c r="D860" t="s">
        <v>8440</v>
      </c>
      <c r="E860" t="s">
        <v>8868</v>
      </c>
      <c r="G860" t="str">
        <f t="shared" si="134"/>
        <v>Device: Temperature is above critical threshold: &gt;{$TEMP_CRIT:Device}</v>
      </c>
      <c r="H860" t="e">
        <f>INDEX('7.0.17'!G:G,MATCH(G860,'7.0.17'!F:F,0))</f>
        <v>#N/A</v>
      </c>
      <c r="I860" t="e">
        <f t="shared" si="131"/>
        <v>#N/A</v>
      </c>
    </row>
    <row r="861" spans="1:9">
      <c r="A861" t="s">
        <v>8862</v>
      </c>
      <c r="B861" t="s">
        <v>8867</v>
      </c>
      <c r="C861" t="s">
        <v>8442</v>
      </c>
      <c r="D861" t="s">
        <v>8443</v>
      </c>
      <c r="E861" t="s">
        <v>8868</v>
      </c>
      <c r="G861" t="str">
        <f t="shared" si="134"/>
        <v>Device: Temperature is above warning threshold: &gt;{$TEMP_WARN:Device}</v>
      </c>
      <c r="H861" t="e">
        <f>INDEX('7.0.17'!G:G,MATCH(G861,'7.0.17'!F:F,0))</f>
        <v>#N/A</v>
      </c>
      <c r="I861" t="e">
        <f t="shared" si="131"/>
        <v>#N/A</v>
      </c>
    </row>
    <row r="862" spans="1:9">
      <c r="A862" t="s">
        <v>8862</v>
      </c>
      <c r="B862" t="s">
        <v>8867</v>
      </c>
      <c r="C862" t="s">
        <v>8444</v>
      </c>
      <c r="D862" t="s">
        <v>8445</v>
      </c>
      <c r="E862" t="s">
        <v>8868</v>
      </c>
      <c r="G862" t="str">
        <f t="shared" si="134"/>
        <v>Device: Temperature is too low: &lt;{$TEMP_CRIT_LOW:Device}</v>
      </c>
      <c r="H862" t="e">
        <f>INDEX('7.0.17'!G:G,MATCH(G862,'7.0.17'!F:F,0))</f>
        <v>#N/A</v>
      </c>
      <c r="I862" t="e">
        <f t="shared" si="131"/>
        <v>#N/A</v>
      </c>
    </row>
    <row r="863" spans="1:9">
      <c r="A863" t="s">
        <v>8862</v>
      </c>
      <c r="B863" t="s">
        <v>8564</v>
      </c>
      <c r="C863" t="s">
        <v>8565</v>
      </c>
      <c r="G863" t="str">
        <f t="shared" ref="G863:G869" si="135">B863&amp;":"&amp;C863</f>
        <v>#{#SNMPINDEX}: High CPU utilization (over {$CPU.UTIL.CRIT}% for 5m)</v>
      </c>
      <c r="H863" t="e">
        <f>INDEX('7.0.17'!G:G,MATCH(G863,'7.0.17'!F:F,0))</f>
        <v>#N/A</v>
      </c>
      <c r="I863" t="e">
        <f t="shared" si="131"/>
        <v>#N/A</v>
      </c>
    </row>
    <row r="864" spans="1:9">
      <c r="A864" t="s">
        <v>8862</v>
      </c>
      <c r="B864" t="s">
        <v>8869</v>
      </c>
      <c r="C864" t="s">
        <v>8512</v>
      </c>
      <c r="D864" t="s">
        <v>8870</v>
      </c>
      <c r="G864" t="str">
        <f>B864&amp;":"&amp;C864&amp;":"&amp;D864</f>
        <v>Disk-{#SNMPINDEX}: Disk space is critically low (used &gt; {$VFS.FS.PUSED.MAX.CRIT:Disk-"{#SNMPINDEX}"}%)</v>
      </c>
      <c r="H864" t="e">
        <f>INDEX('7.0.17'!G:G,MATCH(G864,'7.0.17'!F:F,0))</f>
        <v>#N/A</v>
      </c>
      <c r="I864" t="e">
        <f t="shared" si="131"/>
        <v>#N/A</v>
      </c>
    </row>
    <row r="865" spans="1:9">
      <c r="A865" t="s">
        <v>8862</v>
      </c>
      <c r="B865" t="s">
        <v>8869</v>
      </c>
      <c r="C865" t="s">
        <v>8513</v>
      </c>
      <c r="D865" t="s">
        <v>8870</v>
      </c>
      <c r="G865" t="str">
        <f>B865&amp;":"&amp;C865&amp;":"&amp;D865</f>
        <v>Disk-{#SNMPINDEX}: Disk space is low (used &gt; {$VFS.FS.PUSED.MAX.WARN:Disk-"{#SNMPINDEX}"}%)</v>
      </c>
      <c r="H865" t="e">
        <f>INDEX('7.0.17'!G:G,MATCH(G865,'7.0.17'!F:F,0))</f>
        <v>#N/A</v>
      </c>
      <c r="I865" t="e">
        <f t="shared" si="131"/>
        <v>#N/A</v>
      </c>
    </row>
    <row r="866" spans="1:9">
      <c r="A866" t="s">
        <v>8862</v>
      </c>
      <c r="B866" t="s">
        <v>8433</v>
      </c>
      <c r="C866" t="s">
        <v>8863</v>
      </c>
      <c r="G866" t="str">
        <f t="shared" si="135"/>
        <v>Interface {#IFNAME}({#IFALIAS}): LTE modem RSRP is low (below {$LTEMODEM.RSRP.MIN.WARN}dbm for 5m)</v>
      </c>
      <c r="H866" t="e">
        <f>INDEX('7.0.17'!G:G,MATCH(G866,'7.0.17'!F:F,0))</f>
        <v>#N/A</v>
      </c>
      <c r="I866" t="e">
        <f t="shared" si="131"/>
        <v>#N/A</v>
      </c>
    </row>
    <row r="867" spans="1:9">
      <c r="A867" t="s">
        <v>8862</v>
      </c>
      <c r="B867" t="s">
        <v>8433</v>
      </c>
      <c r="C867" t="s">
        <v>8864</v>
      </c>
      <c r="G867" t="str">
        <f t="shared" si="135"/>
        <v>Interface {#IFNAME}({#IFALIAS}): LTE modem RSRQ is low (below {$LTEMODEM.RSRQ.MIN.WARN}db for 5m)</v>
      </c>
      <c r="H867" t="e">
        <f>INDEX('7.0.17'!G:G,MATCH(G867,'7.0.17'!F:F,0))</f>
        <v>#N/A</v>
      </c>
      <c r="I867" t="e">
        <f t="shared" si="131"/>
        <v>#N/A</v>
      </c>
    </row>
    <row r="868" spans="1:9">
      <c r="A868" t="s">
        <v>8862</v>
      </c>
      <c r="B868" t="s">
        <v>8433</v>
      </c>
      <c r="C868" t="s">
        <v>8865</v>
      </c>
      <c r="G868" t="str">
        <f t="shared" si="135"/>
        <v>Interface {#IFNAME}({#IFALIAS}): LTE modem RSSI is low (below {$LTEMODEM.RSSI.MIN.WARN}dbm for 5m)</v>
      </c>
      <c r="H868" t="e">
        <f>INDEX('7.0.17'!G:G,MATCH(G868,'7.0.17'!F:F,0))</f>
        <v>#N/A</v>
      </c>
      <c r="I868" t="e">
        <f t="shared" si="131"/>
        <v>#N/A</v>
      </c>
    </row>
    <row r="869" spans="1:9">
      <c r="A869" t="s">
        <v>8862</v>
      </c>
      <c r="B869" t="s">
        <v>8433</v>
      </c>
      <c r="C869" t="s">
        <v>8866</v>
      </c>
      <c r="G869" t="str">
        <f t="shared" si="135"/>
        <v>Interface {#IFNAME}({#IFALIAS}): LTE modem SINR is low (below {$LTEMODEM.SINR.MIN.WARN}db for 5m)</v>
      </c>
      <c r="H869" t="e">
        <f>INDEX('7.0.17'!G:G,MATCH(G869,'7.0.17'!F:F,0))</f>
        <v>#N/A</v>
      </c>
      <c r="I869" t="e">
        <f t="shared" si="131"/>
        <v>#N/A</v>
      </c>
    </row>
    <row r="870" spans="1:9">
      <c r="A870" t="s">
        <v>8862</v>
      </c>
      <c r="B870" t="s">
        <v>8433</v>
      </c>
      <c r="C870" t="s">
        <v>8434</v>
      </c>
      <c r="D870" t="s">
        <v>8435</v>
      </c>
      <c r="G870" t="str">
        <f>B870&amp;":"&amp;C870&amp;":"&amp;D870</f>
        <v>Interface {#IFNAME}({#IFALIAS}): High error rate (&gt;{$IF.ERRORS.WARN:{#IFNAME}} for 5m)</v>
      </c>
      <c r="H870" t="e">
        <f>INDEX('7.0.17'!G:G,MATCH(G870,'7.0.17'!F:F,0))</f>
        <v>#N/A</v>
      </c>
      <c r="I870" t="e">
        <f t="shared" si="131"/>
        <v>#N/A</v>
      </c>
    </row>
    <row r="871" spans="1:9">
      <c r="A871" t="s">
        <v>8862</v>
      </c>
      <c r="B871" t="s">
        <v>8433</v>
      </c>
      <c r="C871" t="s">
        <v>8436</v>
      </c>
      <c r="D871" t="s">
        <v>8437</v>
      </c>
      <c r="G871" t="str">
        <f>B871&amp;":"&amp;C871&amp;":"&amp;D871</f>
        <v>Interface {#IFNAME}({#IFALIAS}): High bandwidth usage (&gt;{$IF.UTIL.MAX:{#IFNAME}}%)</v>
      </c>
      <c r="H871" t="e">
        <f>INDEX('7.0.17'!G:G,MATCH(G871,'7.0.17'!F:F,0))</f>
        <v>#N/A</v>
      </c>
      <c r="I871" t="e">
        <f t="shared" si="131"/>
        <v>#N/A</v>
      </c>
    </row>
    <row r="872" spans="1:9">
      <c r="A872" t="s">
        <v>8862</v>
      </c>
      <c r="B872" t="s">
        <v>8737</v>
      </c>
      <c r="C872" t="s">
        <v>8439</v>
      </c>
      <c r="D872" t="s">
        <v>8440</v>
      </c>
      <c r="E872" t="s">
        <v>8598</v>
      </c>
      <c r="G872" t="str">
        <f t="shared" ref="G872:G877" si="136">B872&amp;":"&amp;C872&amp;":"&amp;D872&amp;":"&amp;E872</f>
        <v>CPU: Temperature is above critical threshold: &gt;{$TEMP_CRIT:"CPU"}</v>
      </c>
      <c r="H872" t="e">
        <f>INDEX('7.0.17'!G:G,MATCH(G872,'7.0.17'!F:F,0))</f>
        <v>#N/A</v>
      </c>
      <c r="I872" t="e">
        <f t="shared" si="131"/>
        <v>#N/A</v>
      </c>
    </row>
    <row r="873" spans="1:9">
      <c r="A873" t="s">
        <v>8862</v>
      </c>
      <c r="B873" t="s">
        <v>8737</v>
      </c>
      <c r="C873" t="s">
        <v>8442</v>
      </c>
      <c r="D873" t="s">
        <v>8443</v>
      </c>
      <c r="E873" t="s">
        <v>8598</v>
      </c>
      <c r="G873" t="str">
        <f t="shared" si="136"/>
        <v>CPU: Temperature is above warning threshold: &gt;{$TEMP_WARN:"CPU"}</v>
      </c>
      <c r="H873" t="e">
        <f>INDEX('7.0.17'!G:G,MATCH(G873,'7.0.17'!F:F,0))</f>
        <v>#N/A</v>
      </c>
      <c r="I873" t="e">
        <f t="shared" si="131"/>
        <v>#N/A</v>
      </c>
    </row>
    <row r="874" spans="1:9">
      <c r="A874" t="s">
        <v>8862</v>
      </c>
      <c r="B874" t="s">
        <v>8737</v>
      </c>
      <c r="C874" t="s">
        <v>8444</v>
      </c>
      <c r="D874" t="s">
        <v>8445</v>
      </c>
      <c r="E874" t="s">
        <v>8598</v>
      </c>
      <c r="G874" t="str">
        <f t="shared" si="136"/>
        <v>CPU: Temperature is too low: &lt;{$TEMP_CRIT_LOW:"CPU"}</v>
      </c>
      <c r="H874" t="e">
        <f>INDEX('7.0.17'!G:G,MATCH(G874,'7.0.17'!F:F,0))</f>
        <v>#N/A</v>
      </c>
      <c r="I874" t="e">
        <f t="shared" si="131"/>
        <v>#N/A</v>
      </c>
    </row>
    <row r="875" spans="1:9">
      <c r="A875" t="s">
        <v>8862</v>
      </c>
      <c r="B875" t="s">
        <v>8867</v>
      </c>
      <c r="C875" t="s">
        <v>8439</v>
      </c>
      <c r="D875" t="s">
        <v>8440</v>
      </c>
      <c r="E875" t="s">
        <v>8868</v>
      </c>
      <c r="G875" t="str">
        <f t="shared" si="136"/>
        <v>Device: Temperature is above critical threshold: &gt;{$TEMP_CRIT:Device}</v>
      </c>
      <c r="H875" t="e">
        <f>INDEX('7.0.17'!G:G,MATCH(G875,'7.0.17'!F:F,0))</f>
        <v>#N/A</v>
      </c>
      <c r="I875" t="e">
        <f t="shared" si="131"/>
        <v>#N/A</v>
      </c>
    </row>
    <row r="876" spans="1:9">
      <c r="A876" t="s">
        <v>8862</v>
      </c>
      <c r="B876" t="s">
        <v>8867</v>
      </c>
      <c r="C876" t="s">
        <v>8442</v>
      </c>
      <c r="D876" t="s">
        <v>8443</v>
      </c>
      <c r="E876" t="s">
        <v>8868</v>
      </c>
      <c r="G876" t="str">
        <f t="shared" si="136"/>
        <v>Device: Temperature is above warning threshold: &gt;{$TEMP_WARN:Device}</v>
      </c>
      <c r="H876" t="e">
        <f>INDEX('7.0.17'!G:G,MATCH(G876,'7.0.17'!F:F,0))</f>
        <v>#N/A</v>
      </c>
      <c r="I876" t="e">
        <f t="shared" si="131"/>
        <v>#N/A</v>
      </c>
    </row>
    <row r="877" spans="1:9">
      <c r="A877" t="s">
        <v>8862</v>
      </c>
      <c r="B877" t="s">
        <v>8867</v>
      </c>
      <c r="C877" t="s">
        <v>8444</v>
      </c>
      <c r="D877" t="s">
        <v>8445</v>
      </c>
      <c r="E877" t="s">
        <v>8868</v>
      </c>
      <c r="G877" t="str">
        <f t="shared" si="136"/>
        <v>Device: Temperature is too low: &lt;{$TEMP_CRIT_LOW:Device}</v>
      </c>
      <c r="H877" t="e">
        <f>INDEX('7.0.17'!G:G,MATCH(G877,'7.0.17'!F:F,0))</f>
        <v>#N/A</v>
      </c>
      <c r="I877" t="e">
        <f t="shared" si="131"/>
        <v>#N/A</v>
      </c>
    </row>
    <row r="878" spans="1:9">
      <c r="A878" t="s">
        <v>8862</v>
      </c>
      <c r="B878" t="s">
        <v>8564</v>
      </c>
      <c r="C878" t="s">
        <v>8565</v>
      </c>
      <c r="G878" t="str">
        <f t="shared" ref="G878:G884" si="137">B878&amp;":"&amp;C878</f>
        <v>#{#SNMPINDEX}: High CPU utilization (over {$CPU.UTIL.CRIT}% for 5m)</v>
      </c>
      <c r="H878" t="e">
        <f>INDEX('7.0.17'!G:G,MATCH(G878,'7.0.17'!F:F,0))</f>
        <v>#N/A</v>
      </c>
      <c r="I878" t="e">
        <f t="shared" si="131"/>
        <v>#N/A</v>
      </c>
    </row>
    <row r="879" spans="1:9">
      <c r="A879" t="s">
        <v>8862</v>
      </c>
      <c r="B879" t="s">
        <v>8869</v>
      </c>
      <c r="C879" t="s">
        <v>8512</v>
      </c>
      <c r="D879" t="s">
        <v>8870</v>
      </c>
      <c r="G879" t="str">
        <f>B879&amp;":"&amp;C879&amp;":"&amp;D879</f>
        <v>Disk-{#SNMPINDEX}: Disk space is critically low (used &gt; {$VFS.FS.PUSED.MAX.CRIT:Disk-"{#SNMPINDEX}"}%)</v>
      </c>
      <c r="H879" t="e">
        <f>INDEX('7.0.17'!G:G,MATCH(G879,'7.0.17'!F:F,0))</f>
        <v>#N/A</v>
      </c>
      <c r="I879" t="e">
        <f t="shared" si="131"/>
        <v>#N/A</v>
      </c>
    </row>
    <row r="880" spans="1:9">
      <c r="A880" t="s">
        <v>8862</v>
      </c>
      <c r="B880" t="s">
        <v>8869</v>
      </c>
      <c r="C880" t="s">
        <v>8513</v>
      </c>
      <c r="D880" t="s">
        <v>8870</v>
      </c>
      <c r="G880" t="str">
        <f>B880&amp;":"&amp;C880&amp;":"&amp;D880</f>
        <v>Disk-{#SNMPINDEX}: Disk space is low (used &gt; {$VFS.FS.PUSED.MAX.WARN:Disk-"{#SNMPINDEX}"}%)</v>
      </c>
      <c r="H880" t="e">
        <f>INDEX('7.0.17'!G:G,MATCH(G880,'7.0.17'!F:F,0))</f>
        <v>#N/A</v>
      </c>
      <c r="I880" t="e">
        <f t="shared" si="131"/>
        <v>#N/A</v>
      </c>
    </row>
    <row r="881" spans="1:9">
      <c r="A881" t="s">
        <v>8862</v>
      </c>
      <c r="B881" t="s">
        <v>8433</v>
      </c>
      <c r="C881" t="s">
        <v>8863</v>
      </c>
      <c r="G881" t="str">
        <f t="shared" si="137"/>
        <v>Interface {#IFNAME}({#IFALIAS}): LTE modem RSRP is low (below {$LTEMODEM.RSRP.MIN.WARN}dbm for 5m)</v>
      </c>
      <c r="H881" t="e">
        <f>INDEX('7.0.17'!G:G,MATCH(G881,'7.0.17'!F:F,0))</f>
        <v>#N/A</v>
      </c>
      <c r="I881" t="e">
        <f t="shared" si="131"/>
        <v>#N/A</v>
      </c>
    </row>
    <row r="882" spans="1:9">
      <c r="A882" t="s">
        <v>8862</v>
      </c>
      <c r="B882" t="s">
        <v>8433</v>
      </c>
      <c r="C882" t="s">
        <v>8864</v>
      </c>
      <c r="G882" t="str">
        <f t="shared" si="137"/>
        <v>Interface {#IFNAME}({#IFALIAS}): LTE modem RSRQ is low (below {$LTEMODEM.RSRQ.MIN.WARN}db for 5m)</v>
      </c>
      <c r="H882" t="e">
        <f>INDEX('7.0.17'!G:G,MATCH(G882,'7.0.17'!F:F,0))</f>
        <v>#N/A</v>
      </c>
      <c r="I882" t="e">
        <f t="shared" si="131"/>
        <v>#N/A</v>
      </c>
    </row>
    <row r="883" spans="1:9">
      <c r="A883" t="s">
        <v>8862</v>
      </c>
      <c r="B883" t="s">
        <v>8433</v>
      </c>
      <c r="C883" t="s">
        <v>8865</v>
      </c>
      <c r="G883" t="str">
        <f t="shared" si="137"/>
        <v>Interface {#IFNAME}({#IFALIAS}): LTE modem RSSI is low (below {$LTEMODEM.RSSI.MIN.WARN}dbm for 5m)</v>
      </c>
      <c r="H883" t="e">
        <f>INDEX('7.0.17'!G:G,MATCH(G883,'7.0.17'!F:F,0))</f>
        <v>#N/A</v>
      </c>
      <c r="I883" t="e">
        <f t="shared" si="131"/>
        <v>#N/A</v>
      </c>
    </row>
    <row r="884" spans="1:9">
      <c r="A884" t="s">
        <v>8862</v>
      </c>
      <c r="B884" t="s">
        <v>8433</v>
      </c>
      <c r="C884" t="s">
        <v>8866</v>
      </c>
      <c r="G884" t="str">
        <f t="shared" si="137"/>
        <v>Interface {#IFNAME}({#IFALIAS}): LTE modem SINR is low (below {$LTEMODEM.SINR.MIN.WARN}db for 5m)</v>
      </c>
      <c r="H884" t="e">
        <f>INDEX('7.0.17'!G:G,MATCH(G884,'7.0.17'!F:F,0))</f>
        <v>#N/A</v>
      </c>
      <c r="I884" t="e">
        <f t="shared" si="131"/>
        <v>#N/A</v>
      </c>
    </row>
    <row r="885" spans="1:9">
      <c r="A885" t="s">
        <v>8862</v>
      </c>
      <c r="B885" t="s">
        <v>8433</v>
      </c>
      <c r="C885" t="s">
        <v>8434</v>
      </c>
      <c r="D885" t="s">
        <v>8435</v>
      </c>
      <c r="G885" t="str">
        <f>B885&amp;":"&amp;C885&amp;":"&amp;D885</f>
        <v>Interface {#IFNAME}({#IFALIAS}): High error rate (&gt;{$IF.ERRORS.WARN:{#IFNAME}} for 5m)</v>
      </c>
      <c r="H885" t="e">
        <f>INDEX('7.0.17'!G:G,MATCH(G885,'7.0.17'!F:F,0))</f>
        <v>#N/A</v>
      </c>
      <c r="I885" t="e">
        <f t="shared" si="131"/>
        <v>#N/A</v>
      </c>
    </row>
    <row r="886" spans="1:9">
      <c r="A886" t="s">
        <v>8862</v>
      </c>
      <c r="B886" t="s">
        <v>8433</v>
      </c>
      <c r="C886" t="s">
        <v>8436</v>
      </c>
      <c r="D886" t="s">
        <v>8437</v>
      </c>
      <c r="G886" t="str">
        <f>B886&amp;":"&amp;C886&amp;":"&amp;D886</f>
        <v>Interface {#IFNAME}({#IFALIAS}): High bandwidth usage (&gt;{$IF.UTIL.MAX:{#IFNAME}}%)</v>
      </c>
      <c r="H886" t="e">
        <f>INDEX('7.0.17'!G:G,MATCH(G886,'7.0.17'!F:F,0))</f>
        <v>#N/A</v>
      </c>
      <c r="I886" t="e">
        <f t="shared" si="131"/>
        <v>#N/A</v>
      </c>
    </row>
    <row r="887" spans="1:9">
      <c r="A887" t="s">
        <v>8862</v>
      </c>
      <c r="B887" t="s">
        <v>8737</v>
      </c>
      <c r="C887" t="s">
        <v>8439</v>
      </c>
      <c r="D887" t="s">
        <v>8440</v>
      </c>
      <c r="E887" t="s">
        <v>8598</v>
      </c>
      <c r="G887" t="str">
        <f t="shared" ref="G887:G892" si="138">B887&amp;":"&amp;C887&amp;":"&amp;D887&amp;":"&amp;E887</f>
        <v>CPU: Temperature is above critical threshold: &gt;{$TEMP_CRIT:"CPU"}</v>
      </c>
      <c r="H887" t="e">
        <f>INDEX('7.0.17'!G:G,MATCH(G887,'7.0.17'!F:F,0))</f>
        <v>#N/A</v>
      </c>
      <c r="I887" t="e">
        <f t="shared" si="131"/>
        <v>#N/A</v>
      </c>
    </row>
    <row r="888" spans="1:9">
      <c r="A888" t="s">
        <v>8862</v>
      </c>
      <c r="B888" t="s">
        <v>8737</v>
      </c>
      <c r="C888" t="s">
        <v>8442</v>
      </c>
      <c r="D888" t="s">
        <v>8443</v>
      </c>
      <c r="E888" t="s">
        <v>8598</v>
      </c>
      <c r="G888" t="str">
        <f t="shared" si="138"/>
        <v>CPU: Temperature is above warning threshold: &gt;{$TEMP_WARN:"CPU"}</v>
      </c>
      <c r="H888" t="e">
        <f>INDEX('7.0.17'!G:G,MATCH(G888,'7.0.17'!F:F,0))</f>
        <v>#N/A</v>
      </c>
      <c r="I888" t="e">
        <f t="shared" si="131"/>
        <v>#N/A</v>
      </c>
    </row>
    <row r="889" spans="1:9">
      <c r="A889" t="s">
        <v>8862</v>
      </c>
      <c r="B889" t="s">
        <v>8737</v>
      </c>
      <c r="C889" t="s">
        <v>8444</v>
      </c>
      <c r="D889" t="s">
        <v>8445</v>
      </c>
      <c r="E889" t="s">
        <v>8598</v>
      </c>
      <c r="G889" t="str">
        <f t="shared" si="138"/>
        <v>CPU: Temperature is too low: &lt;{$TEMP_CRIT_LOW:"CPU"}</v>
      </c>
      <c r="H889" t="e">
        <f>INDEX('7.0.17'!G:G,MATCH(G889,'7.0.17'!F:F,0))</f>
        <v>#N/A</v>
      </c>
      <c r="I889" t="e">
        <f t="shared" si="131"/>
        <v>#N/A</v>
      </c>
    </row>
    <row r="890" spans="1:9">
      <c r="A890" t="s">
        <v>8862</v>
      </c>
      <c r="B890" t="s">
        <v>8867</v>
      </c>
      <c r="C890" t="s">
        <v>8439</v>
      </c>
      <c r="D890" t="s">
        <v>8440</v>
      </c>
      <c r="E890" t="s">
        <v>8868</v>
      </c>
      <c r="G890" t="str">
        <f t="shared" si="138"/>
        <v>Device: Temperature is above critical threshold: &gt;{$TEMP_CRIT:Device}</v>
      </c>
      <c r="H890" t="e">
        <f>INDEX('7.0.17'!G:G,MATCH(G890,'7.0.17'!F:F,0))</f>
        <v>#N/A</v>
      </c>
      <c r="I890" t="e">
        <f t="shared" si="131"/>
        <v>#N/A</v>
      </c>
    </row>
    <row r="891" spans="1:9">
      <c r="A891" t="s">
        <v>8862</v>
      </c>
      <c r="B891" t="s">
        <v>8867</v>
      </c>
      <c r="C891" t="s">
        <v>8442</v>
      </c>
      <c r="D891" t="s">
        <v>8443</v>
      </c>
      <c r="E891" t="s">
        <v>8868</v>
      </c>
      <c r="G891" t="str">
        <f t="shared" si="138"/>
        <v>Device: Temperature is above warning threshold: &gt;{$TEMP_WARN:Device}</v>
      </c>
      <c r="H891" t="e">
        <f>INDEX('7.0.17'!G:G,MATCH(G891,'7.0.17'!F:F,0))</f>
        <v>#N/A</v>
      </c>
      <c r="I891" t="e">
        <f t="shared" si="131"/>
        <v>#N/A</v>
      </c>
    </row>
    <row r="892" spans="1:9">
      <c r="A892" t="s">
        <v>8862</v>
      </c>
      <c r="B892" t="s">
        <v>8867</v>
      </c>
      <c r="C892" t="s">
        <v>8444</v>
      </c>
      <c r="D892" t="s">
        <v>8445</v>
      </c>
      <c r="E892" t="s">
        <v>8868</v>
      </c>
      <c r="G892" t="str">
        <f t="shared" si="138"/>
        <v>Device: Temperature is too low: &lt;{$TEMP_CRIT_LOW:Device}</v>
      </c>
      <c r="H892" t="e">
        <f>INDEX('7.0.17'!G:G,MATCH(G892,'7.0.17'!F:F,0))</f>
        <v>#N/A</v>
      </c>
      <c r="I892" t="e">
        <f t="shared" si="131"/>
        <v>#N/A</v>
      </c>
    </row>
    <row r="893" spans="1:9">
      <c r="A893" t="s">
        <v>8862</v>
      </c>
      <c r="B893" t="s">
        <v>8564</v>
      </c>
      <c r="C893" t="s">
        <v>8565</v>
      </c>
      <c r="G893" t="str">
        <f t="shared" ref="G893:G899" si="139">B893&amp;":"&amp;C893</f>
        <v>#{#SNMPINDEX}: High CPU utilization (over {$CPU.UTIL.CRIT}% for 5m)</v>
      </c>
      <c r="H893" t="e">
        <f>INDEX('7.0.17'!G:G,MATCH(G893,'7.0.17'!F:F,0))</f>
        <v>#N/A</v>
      </c>
      <c r="I893" t="e">
        <f t="shared" si="131"/>
        <v>#N/A</v>
      </c>
    </row>
    <row r="894" spans="1:9">
      <c r="A894" t="s">
        <v>8862</v>
      </c>
      <c r="B894" t="s">
        <v>8869</v>
      </c>
      <c r="C894" t="s">
        <v>8512</v>
      </c>
      <c r="D894" t="s">
        <v>8870</v>
      </c>
      <c r="G894" t="str">
        <f>B894&amp;":"&amp;C894&amp;":"&amp;D894</f>
        <v>Disk-{#SNMPINDEX}: Disk space is critically low (used &gt; {$VFS.FS.PUSED.MAX.CRIT:Disk-"{#SNMPINDEX}"}%)</v>
      </c>
      <c r="H894" t="e">
        <f>INDEX('7.0.17'!G:G,MATCH(G894,'7.0.17'!F:F,0))</f>
        <v>#N/A</v>
      </c>
      <c r="I894" t="e">
        <f t="shared" si="131"/>
        <v>#N/A</v>
      </c>
    </row>
    <row r="895" spans="1:9">
      <c r="A895" t="s">
        <v>8862</v>
      </c>
      <c r="B895" t="s">
        <v>8869</v>
      </c>
      <c r="C895" t="s">
        <v>8513</v>
      </c>
      <c r="D895" t="s">
        <v>8870</v>
      </c>
      <c r="G895" t="str">
        <f>B895&amp;":"&amp;C895&amp;":"&amp;D895</f>
        <v>Disk-{#SNMPINDEX}: Disk space is low (used &gt; {$VFS.FS.PUSED.MAX.WARN:Disk-"{#SNMPINDEX}"}%)</v>
      </c>
      <c r="H895" t="e">
        <f>INDEX('7.0.17'!G:G,MATCH(G895,'7.0.17'!F:F,0))</f>
        <v>#N/A</v>
      </c>
      <c r="I895" t="e">
        <f t="shared" si="131"/>
        <v>#N/A</v>
      </c>
    </row>
    <row r="896" spans="1:9">
      <c r="A896" t="s">
        <v>8862</v>
      </c>
      <c r="B896" t="s">
        <v>8433</v>
      </c>
      <c r="C896" t="s">
        <v>8863</v>
      </c>
      <c r="G896" t="str">
        <f t="shared" si="139"/>
        <v>Interface {#IFNAME}({#IFALIAS}): LTE modem RSRP is low (below {$LTEMODEM.RSRP.MIN.WARN}dbm for 5m)</v>
      </c>
      <c r="H896" t="e">
        <f>INDEX('7.0.17'!G:G,MATCH(G896,'7.0.17'!F:F,0))</f>
        <v>#N/A</v>
      </c>
      <c r="I896" t="e">
        <f t="shared" si="131"/>
        <v>#N/A</v>
      </c>
    </row>
    <row r="897" spans="1:9">
      <c r="A897" t="s">
        <v>8862</v>
      </c>
      <c r="B897" t="s">
        <v>8433</v>
      </c>
      <c r="C897" t="s">
        <v>8864</v>
      </c>
      <c r="G897" t="str">
        <f t="shared" si="139"/>
        <v>Interface {#IFNAME}({#IFALIAS}): LTE modem RSRQ is low (below {$LTEMODEM.RSRQ.MIN.WARN}db for 5m)</v>
      </c>
      <c r="H897" t="e">
        <f>INDEX('7.0.17'!G:G,MATCH(G897,'7.0.17'!F:F,0))</f>
        <v>#N/A</v>
      </c>
      <c r="I897" t="e">
        <f t="shared" si="131"/>
        <v>#N/A</v>
      </c>
    </row>
    <row r="898" spans="1:9">
      <c r="A898" t="s">
        <v>8862</v>
      </c>
      <c r="B898" t="s">
        <v>8433</v>
      </c>
      <c r="C898" t="s">
        <v>8865</v>
      </c>
      <c r="G898" t="str">
        <f t="shared" si="139"/>
        <v>Interface {#IFNAME}({#IFALIAS}): LTE modem RSSI is low (below {$LTEMODEM.RSSI.MIN.WARN}dbm for 5m)</v>
      </c>
      <c r="H898" t="e">
        <f>INDEX('7.0.17'!G:G,MATCH(G898,'7.0.17'!F:F,0))</f>
        <v>#N/A</v>
      </c>
      <c r="I898" t="e">
        <f t="shared" si="131"/>
        <v>#N/A</v>
      </c>
    </row>
    <row r="899" spans="1:9">
      <c r="A899" t="s">
        <v>8862</v>
      </c>
      <c r="B899" t="s">
        <v>8433</v>
      </c>
      <c r="C899" t="s">
        <v>8866</v>
      </c>
      <c r="G899" t="str">
        <f t="shared" si="139"/>
        <v>Interface {#IFNAME}({#IFALIAS}): LTE modem SINR is low (below {$LTEMODEM.SINR.MIN.WARN}db for 5m)</v>
      </c>
      <c r="H899" t="e">
        <f>INDEX('7.0.17'!G:G,MATCH(G899,'7.0.17'!F:F,0))</f>
        <v>#N/A</v>
      </c>
      <c r="I899" t="e">
        <f t="shared" ref="I899:I962" si="140">A899&amp;": "&amp;H899</f>
        <v>#N/A</v>
      </c>
    </row>
    <row r="900" spans="1:9">
      <c r="A900" t="s">
        <v>8862</v>
      </c>
      <c r="B900" t="s">
        <v>8433</v>
      </c>
      <c r="C900" t="s">
        <v>8434</v>
      </c>
      <c r="D900" t="s">
        <v>8435</v>
      </c>
      <c r="G900" t="str">
        <f>B900&amp;":"&amp;C900&amp;":"&amp;D900</f>
        <v>Interface {#IFNAME}({#IFALIAS}): High error rate (&gt;{$IF.ERRORS.WARN:{#IFNAME}} for 5m)</v>
      </c>
      <c r="H900" t="e">
        <f>INDEX('7.0.17'!G:G,MATCH(G900,'7.0.17'!F:F,0))</f>
        <v>#N/A</v>
      </c>
      <c r="I900" t="e">
        <f t="shared" si="140"/>
        <v>#N/A</v>
      </c>
    </row>
    <row r="901" spans="1:9">
      <c r="A901" t="s">
        <v>8862</v>
      </c>
      <c r="B901" t="s">
        <v>8433</v>
      </c>
      <c r="C901" t="s">
        <v>8436</v>
      </c>
      <c r="D901" t="s">
        <v>8437</v>
      </c>
      <c r="G901" t="str">
        <f>B901&amp;":"&amp;C901&amp;":"&amp;D901</f>
        <v>Interface {#IFNAME}({#IFALIAS}): High bandwidth usage (&gt;{$IF.UTIL.MAX:{#IFNAME}}%)</v>
      </c>
      <c r="H901" t="e">
        <f>INDEX('7.0.17'!G:G,MATCH(G901,'7.0.17'!F:F,0))</f>
        <v>#N/A</v>
      </c>
      <c r="I901" t="e">
        <f t="shared" si="140"/>
        <v>#N/A</v>
      </c>
    </row>
    <row r="902" spans="1:9">
      <c r="A902" t="s">
        <v>8862</v>
      </c>
      <c r="B902" t="s">
        <v>8737</v>
      </c>
      <c r="C902" t="s">
        <v>8439</v>
      </c>
      <c r="D902" t="s">
        <v>8440</v>
      </c>
      <c r="E902" t="s">
        <v>8598</v>
      </c>
      <c r="G902" t="str">
        <f t="shared" ref="G902:G907" si="141">B902&amp;":"&amp;C902&amp;":"&amp;D902&amp;":"&amp;E902</f>
        <v>CPU: Temperature is above critical threshold: &gt;{$TEMP_CRIT:"CPU"}</v>
      </c>
      <c r="H902" t="e">
        <f>INDEX('7.0.17'!G:G,MATCH(G902,'7.0.17'!F:F,0))</f>
        <v>#N/A</v>
      </c>
      <c r="I902" t="e">
        <f t="shared" si="140"/>
        <v>#N/A</v>
      </c>
    </row>
    <row r="903" spans="1:9">
      <c r="A903" t="s">
        <v>8862</v>
      </c>
      <c r="B903" t="s">
        <v>8737</v>
      </c>
      <c r="C903" t="s">
        <v>8442</v>
      </c>
      <c r="D903" t="s">
        <v>8443</v>
      </c>
      <c r="E903" t="s">
        <v>8598</v>
      </c>
      <c r="G903" t="str">
        <f t="shared" si="141"/>
        <v>CPU: Temperature is above warning threshold: &gt;{$TEMP_WARN:"CPU"}</v>
      </c>
      <c r="H903" t="e">
        <f>INDEX('7.0.17'!G:G,MATCH(G903,'7.0.17'!F:F,0))</f>
        <v>#N/A</v>
      </c>
      <c r="I903" t="e">
        <f t="shared" si="140"/>
        <v>#N/A</v>
      </c>
    </row>
    <row r="904" spans="1:9">
      <c r="A904" t="s">
        <v>8862</v>
      </c>
      <c r="B904" t="s">
        <v>8737</v>
      </c>
      <c r="C904" t="s">
        <v>8444</v>
      </c>
      <c r="D904" t="s">
        <v>8445</v>
      </c>
      <c r="E904" t="s">
        <v>8598</v>
      </c>
      <c r="G904" t="str">
        <f t="shared" si="141"/>
        <v>CPU: Temperature is too low: &lt;{$TEMP_CRIT_LOW:"CPU"}</v>
      </c>
      <c r="H904" t="e">
        <f>INDEX('7.0.17'!G:G,MATCH(G904,'7.0.17'!F:F,0))</f>
        <v>#N/A</v>
      </c>
      <c r="I904" t="e">
        <f t="shared" si="140"/>
        <v>#N/A</v>
      </c>
    </row>
    <row r="905" spans="1:9">
      <c r="A905" t="s">
        <v>8862</v>
      </c>
      <c r="B905" t="s">
        <v>8867</v>
      </c>
      <c r="C905" t="s">
        <v>8439</v>
      </c>
      <c r="D905" t="s">
        <v>8440</v>
      </c>
      <c r="E905" t="s">
        <v>8868</v>
      </c>
      <c r="G905" t="str">
        <f t="shared" si="141"/>
        <v>Device: Temperature is above critical threshold: &gt;{$TEMP_CRIT:Device}</v>
      </c>
      <c r="H905" t="e">
        <f>INDEX('7.0.17'!G:G,MATCH(G905,'7.0.17'!F:F,0))</f>
        <v>#N/A</v>
      </c>
      <c r="I905" t="e">
        <f t="shared" si="140"/>
        <v>#N/A</v>
      </c>
    </row>
    <row r="906" spans="1:9">
      <c r="A906" t="s">
        <v>8862</v>
      </c>
      <c r="B906" t="s">
        <v>8867</v>
      </c>
      <c r="C906" t="s">
        <v>8442</v>
      </c>
      <c r="D906" t="s">
        <v>8443</v>
      </c>
      <c r="E906" t="s">
        <v>8868</v>
      </c>
      <c r="G906" t="str">
        <f t="shared" si="141"/>
        <v>Device: Temperature is above warning threshold: &gt;{$TEMP_WARN:Device}</v>
      </c>
      <c r="H906" t="e">
        <f>INDEX('7.0.17'!G:G,MATCH(G906,'7.0.17'!F:F,0))</f>
        <v>#N/A</v>
      </c>
      <c r="I906" t="e">
        <f t="shared" si="140"/>
        <v>#N/A</v>
      </c>
    </row>
    <row r="907" spans="1:9">
      <c r="A907" t="s">
        <v>8862</v>
      </c>
      <c r="B907" t="s">
        <v>8867</v>
      </c>
      <c r="C907" t="s">
        <v>8444</v>
      </c>
      <c r="D907" t="s">
        <v>8445</v>
      </c>
      <c r="E907" t="s">
        <v>8868</v>
      </c>
      <c r="G907" t="str">
        <f t="shared" si="141"/>
        <v>Device: Temperature is too low: &lt;{$TEMP_CRIT_LOW:Device}</v>
      </c>
      <c r="H907" t="e">
        <f>INDEX('7.0.17'!G:G,MATCH(G907,'7.0.17'!F:F,0))</f>
        <v>#N/A</v>
      </c>
      <c r="I907" t="e">
        <f t="shared" si="140"/>
        <v>#N/A</v>
      </c>
    </row>
    <row r="908" spans="1:9">
      <c r="A908" t="s">
        <v>8862</v>
      </c>
      <c r="B908" t="s">
        <v>8564</v>
      </c>
      <c r="C908" t="s">
        <v>8565</v>
      </c>
      <c r="G908" t="str">
        <f t="shared" ref="G908:G914" si="142">B908&amp;":"&amp;C908</f>
        <v>#{#SNMPINDEX}: High CPU utilization (over {$CPU.UTIL.CRIT}% for 5m)</v>
      </c>
      <c r="H908" t="e">
        <f>INDEX('7.0.17'!G:G,MATCH(G908,'7.0.17'!F:F,0))</f>
        <v>#N/A</v>
      </c>
      <c r="I908" t="e">
        <f t="shared" si="140"/>
        <v>#N/A</v>
      </c>
    </row>
    <row r="909" spans="1:9">
      <c r="A909" t="s">
        <v>8862</v>
      </c>
      <c r="B909" t="s">
        <v>8869</v>
      </c>
      <c r="C909" t="s">
        <v>8512</v>
      </c>
      <c r="D909" t="s">
        <v>8870</v>
      </c>
      <c r="G909" t="str">
        <f>B909&amp;":"&amp;C909&amp;":"&amp;D909</f>
        <v>Disk-{#SNMPINDEX}: Disk space is critically low (used &gt; {$VFS.FS.PUSED.MAX.CRIT:Disk-"{#SNMPINDEX}"}%)</v>
      </c>
      <c r="H909" t="e">
        <f>INDEX('7.0.17'!G:G,MATCH(G909,'7.0.17'!F:F,0))</f>
        <v>#N/A</v>
      </c>
      <c r="I909" t="e">
        <f t="shared" si="140"/>
        <v>#N/A</v>
      </c>
    </row>
    <row r="910" spans="1:9">
      <c r="A910" t="s">
        <v>8862</v>
      </c>
      <c r="B910" t="s">
        <v>8869</v>
      </c>
      <c r="C910" t="s">
        <v>8513</v>
      </c>
      <c r="D910" t="s">
        <v>8870</v>
      </c>
      <c r="G910" t="str">
        <f>B910&amp;":"&amp;C910&amp;":"&amp;D910</f>
        <v>Disk-{#SNMPINDEX}: Disk space is low (used &gt; {$VFS.FS.PUSED.MAX.WARN:Disk-"{#SNMPINDEX}"}%)</v>
      </c>
      <c r="H910" t="e">
        <f>INDEX('7.0.17'!G:G,MATCH(G910,'7.0.17'!F:F,0))</f>
        <v>#N/A</v>
      </c>
      <c r="I910" t="e">
        <f t="shared" si="140"/>
        <v>#N/A</v>
      </c>
    </row>
    <row r="911" spans="1:9">
      <c r="A911" t="s">
        <v>8862</v>
      </c>
      <c r="B911" t="s">
        <v>8433</v>
      </c>
      <c r="C911" t="s">
        <v>8863</v>
      </c>
      <c r="G911" t="str">
        <f t="shared" si="142"/>
        <v>Interface {#IFNAME}({#IFALIAS}): LTE modem RSRP is low (below {$LTEMODEM.RSRP.MIN.WARN}dbm for 5m)</v>
      </c>
      <c r="H911" t="e">
        <f>INDEX('7.0.17'!G:G,MATCH(G911,'7.0.17'!F:F,0))</f>
        <v>#N/A</v>
      </c>
      <c r="I911" t="e">
        <f t="shared" si="140"/>
        <v>#N/A</v>
      </c>
    </row>
    <row r="912" spans="1:9">
      <c r="A912" t="s">
        <v>8862</v>
      </c>
      <c r="B912" t="s">
        <v>8433</v>
      </c>
      <c r="C912" t="s">
        <v>8864</v>
      </c>
      <c r="G912" t="str">
        <f t="shared" si="142"/>
        <v>Interface {#IFNAME}({#IFALIAS}): LTE modem RSRQ is low (below {$LTEMODEM.RSRQ.MIN.WARN}db for 5m)</v>
      </c>
      <c r="H912" t="e">
        <f>INDEX('7.0.17'!G:G,MATCH(G912,'7.0.17'!F:F,0))</f>
        <v>#N/A</v>
      </c>
      <c r="I912" t="e">
        <f t="shared" si="140"/>
        <v>#N/A</v>
      </c>
    </row>
    <row r="913" spans="1:9">
      <c r="A913" t="s">
        <v>8862</v>
      </c>
      <c r="B913" t="s">
        <v>8433</v>
      </c>
      <c r="C913" t="s">
        <v>8865</v>
      </c>
      <c r="G913" t="str">
        <f t="shared" si="142"/>
        <v>Interface {#IFNAME}({#IFALIAS}): LTE modem RSSI is low (below {$LTEMODEM.RSSI.MIN.WARN}dbm for 5m)</v>
      </c>
      <c r="H913" t="e">
        <f>INDEX('7.0.17'!G:G,MATCH(G913,'7.0.17'!F:F,0))</f>
        <v>#N/A</v>
      </c>
      <c r="I913" t="e">
        <f t="shared" si="140"/>
        <v>#N/A</v>
      </c>
    </row>
    <row r="914" spans="1:9">
      <c r="A914" t="s">
        <v>8862</v>
      </c>
      <c r="B914" t="s">
        <v>8433</v>
      </c>
      <c r="C914" t="s">
        <v>8866</v>
      </c>
      <c r="G914" t="str">
        <f t="shared" si="142"/>
        <v>Interface {#IFNAME}({#IFALIAS}): LTE modem SINR is low (below {$LTEMODEM.SINR.MIN.WARN}db for 5m)</v>
      </c>
      <c r="H914" t="e">
        <f>INDEX('7.0.17'!G:G,MATCH(G914,'7.0.17'!F:F,0))</f>
        <v>#N/A</v>
      </c>
      <c r="I914" t="e">
        <f t="shared" si="140"/>
        <v>#N/A</v>
      </c>
    </row>
    <row r="915" spans="1:9">
      <c r="A915" t="s">
        <v>8862</v>
      </c>
      <c r="B915" t="s">
        <v>8433</v>
      </c>
      <c r="C915" t="s">
        <v>8434</v>
      </c>
      <c r="D915" t="s">
        <v>8435</v>
      </c>
      <c r="G915" t="str">
        <f>B915&amp;":"&amp;C915&amp;":"&amp;D915</f>
        <v>Interface {#IFNAME}({#IFALIAS}): High error rate (&gt;{$IF.ERRORS.WARN:{#IFNAME}} for 5m)</v>
      </c>
      <c r="H915" t="e">
        <f>INDEX('7.0.17'!G:G,MATCH(G915,'7.0.17'!F:F,0))</f>
        <v>#N/A</v>
      </c>
      <c r="I915" t="e">
        <f t="shared" si="140"/>
        <v>#N/A</v>
      </c>
    </row>
    <row r="916" spans="1:9">
      <c r="A916" t="s">
        <v>8862</v>
      </c>
      <c r="B916" t="s">
        <v>8433</v>
      </c>
      <c r="C916" t="s">
        <v>8436</v>
      </c>
      <c r="D916" t="s">
        <v>8437</v>
      </c>
      <c r="G916" t="str">
        <f>B916&amp;":"&amp;C916&amp;":"&amp;D916</f>
        <v>Interface {#IFNAME}({#IFALIAS}): High bandwidth usage (&gt;{$IF.UTIL.MAX:{#IFNAME}}%)</v>
      </c>
      <c r="H916" t="e">
        <f>INDEX('7.0.17'!G:G,MATCH(G916,'7.0.17'!F:F,0))</f>
        <v>#N/A</v>
      </c>
      <c r="I916" t="e">
        <f t="shared" si="140"/>
        <v>#N/A</v>
      </c>
    </row>
    <row r="917" spans="1:9">
      <c r="A917" t="s">
        <v>8862</v>
      </c>
      <c r="B917" t="s">
        <v>8737</v>
      </c>
      <c r="C917" t="s">
        <v>8439</v>
      </c>
      <c r="D917" t="s">
        <v>8440</v>
      </c>
      <c r="E917" t="s">
        <v>8598</v>
      </c>
      <c r="G917" t="str">
        <f t="shared" ref="G917:G922" si="143">B917&amp;":"&amp;C917&amp;":"&amp;D917&amp;":"&amp;E917</f>
        <v>CPU: Temperature is above critical threshold: &gt;{$TEMP_CRIT:"CPU"}</v>
      </c>
      <c r="H917" t="e">
        <f>INDEX('7.0.17'!G:G,MATCH(G917,'7.0.17'!F:F,0))</f>
        <v>#N/A</v>
      </c>
      <c r="I917" t="e">
        <f t="shared" si="140"/>
        <v>#N/A</v>
      </c>
    </row>
    <row r="918" spans="1:9">
      <c r="A918" t="s">
        <v>8862</v>
      </c>
      <c r="B918" t="s">
        <v>8737</v>
      </c>
      <c r="C918" t="s">
        <v>8442</v>
      </c>
      <c r="D918" t="s">
        <v>8443</v>
      </c>
      <c r="E918" t="s">
        <v>8598</v>
      </c>
      <c r="G918" t="str">
        <f t="shared" si="143"/>
        <v>CPU: Temperature is above warning threshold: &gt;{$TEMP_WARN:"CPU"}</v>
      </c>
      <c r="H918" t="e">
        <f>INDEX('7.0.17'!G:G,MATCH(G918,'7.0.17'!F:F,0))</f>
        <v>#N/A</v>
      </c>
      <c r="I918" t="e">
        <f t="shared" si="140"/>
        <v>#N/A</v>
      </c>
    </row>
    <row r="919" spans="1:9">
      <c r="A919" t="s">
        <v>8862</v>
      </c>
      <c r="B919" t="s">
        <v>8737</v>
      </c>
      <c r="C919" t="s">
        <v>8444</v>
      </c>
      <c r="D919" t="s">
        <v>8445</v>
      </c>
      <c r="E919" t="s">
        <v>8598</v>
      </c>
      <c r="G919" t="str">
        <f t="shared" si="143"/>
        <v>CPU: Temperature is too low: &lt;{$TEMP_CRIT_LOW:"CPU"}</v>
      </c>
      <c r="H919" t="e">
        <f>INDEX('7.0.17'!G:G,MATCH(G919,'7.0.17'!F:F,0))</f>
        <v>#N/A</v>
      </c>
      <c r="I919" t="e">
        <f t="shared" si="140"/>
        <v>#N/A</v>
      </c>
    </row>
    <row r="920" spans="1:9">
      <c r="A920" t="s">
        <v>8862</v>
      </c>
      <c r="B920" t="s">
        <v>8867</v>
      </c>
      <c r="C920" t="s">
        <v>8439</v>
      </c>
      <c r="D920" t="s">
        <v>8440</v>
      </c>
      <c r="E920" t="s">
        <v>8868</v>
      </c>
      <c r="G920" t="str">
        <f t="shared" si="143"/>
        <v>Device: Temperature is above critical threshold: &gt;{$TEMP_CRIT:Device}</v>
      </c>
      <c r="H920" t="e">
        <f>INDEX('7.0.17'!G:G,MATCH(G920,'7.0.17'!F:F,0))</f>
        <v>#N/A</v>
      </c>
      <c r="I920" t="e">
        <f t="shared" si="140"/>
        <v>#N/A</v>
      </c>
    </row>
    <row r="921" spans="1:9">
      <c r="A921" t="s">
        <v>8862</v>
      </c>
      <c r="B921" t="s">
        <v>8867</v>
      </c>
      <c r="C921" t="s">
        <v>8442</v>
      </c>
      <c r="D921" t="s">
        <v>8443</v>
      </c>
      <c r="E921" t="s">
        <v>8868</v>
      </c>
      <c r="G921" t="str">
        <f t="shared" si="143"/>
        <v>Device: Temperature is above warning threshold: &gt;{$TEMP_WARN:Device}</v>
      </c>
      <c r="H921" t="e">
        <f>INDEX('7.0.17'!G:G,MATCH(G921,'7.0.17'!F:F,0))</f>
        <v>#N/A</v>
      </c>
      <c r="I921" t="e">
        <f t="shared" si="140"/>
        <v>#N/A</v>
      </c>
    </row>
    <row r="922" spans="1:9">
      <c r="A922" t="s">
        <v>8862</v>
      </c>
      <c r="B922" t="s">
        <v>8867</v>
      </c>
      <c r="C922" t="s">
        <v>8444</v>
      </c>
      <c r="D922" t="s">
        <v>8445</v>
      </c>
      <c r="E922" t="s">
        <v>8868</v>
      </c>
      <c r="G922" t="str">
        <f t="shared" si="143"/>
        <v>Device: Temperature is too low: &lt;{$TEMP_CRIT_LOW:Device}</v>
      </c>
      <c r="H922" t="e">
        <f>INDEX('7.0.17'!G:G,MATCH(G922,'7.0.17'!F:F,0))</f>
        <v>#N/A</v>
      </c>
      <c r="I922" t="e">
        <f t="shared" si="140"/>
        <v>#N/A</v>
      </c>
    </row>
    <row r="923" spans="1:9">
      <c r="A923" t="s">
        <v>8862</v>
      </c>
      <c r="B923" t="s">
        <v>8564</v>
      </c>
      <c r="C923" t="s">
        <v>8565</v>
      </c>
      <c r="G923" t="str">
        <f t="shared" ref="G923:G929" si="144">B923&amp;":"&amp;C923</f>
        <v>#{#SNMPINDEX}: High CPU utilization (over {$CPU.UTIL.CRIT}% for 5m)</v>
      </c>
      <c r="H923" t="e">
        <f>INDEX('7.0.17'!G:G,MATCH(G923,'7.0.17'!F:F,0))</f>
        <v>#N/A</v>
      </c>
      <c r="I923" t="e">
        <f t="shared" si="140"/>
        <v>#N/A</v>
      </c>
    </row>
    <row r="924" spans="1:9">
      <c r="A924" t="s">
        <v>8862</v>
      </c>
      <c r="B924" t="s">
        <v>8869</v>
      </c>
      <c r="C924" t="s">
        <v>8512</v>
      </c>
      <c r="D924" t="s">
        <v>8870</v>
      </c>
      <c r="G924" t="str">
        <f>B924&amp;":"&amp;C924&amp;":"&amp;D924</f>
        <v>Disk-{#SNMPINDEX}: Disk space is critically low (used &gt; {$VFS.FS.PUSED.MAX.CRIT:Disk-"{#SNMPINDEX}"}%)</v>
      </c>
      <c r="H924" t="e">
        <f>INDEX('7.0.17'!G:G,MATCH(G924,'7.0.17'!F:F,0))</f>
        <v>#N/A</v>
      </c>
      <c r="I924" t="e">
        <f t="shared" si="140"/>
        <v>#N/A</v>
      </c>
    </row>
    <row r="925" spans="1:9">
      <c r="A925" t="s">
        <v>8862</v>
      </c>
      <c r="B925" t="s">
        <v>8869</v>
      </c>
      <c r="C925" t="s">
        <v>8513</v>
      </c>
      <c r="D925" t="s">
        <v>8870</v>
      </c>
      <c r="G925" t="str">
        <f>B925&amp;":"&amp;C925&amp;":"&amp;D925</f>
        <v>Disk-{#SNMPINDEX}: Disk space is low (used &gt; {$VFS.FS.PUSED.MAX.WARN:Disk-"{#SNMPINDEX}"}%)</v>
      </c>
      <c r="H925" t="e">
        <f>INDEX('7.0.17'!G:G,MATCH(G925,'7.0.17'!F:F,0))</f>
        <v>#N/A</v>
      </c>
      <c r="I925" t="e">
        <f t="shared" si="140"/>
        <v>#N/A</v>
      </c>
    </row>
    <row r="926" spans="1:9">
      <c r="A926" t="s">
        <v>8862</v>
      </c>
      <c r="B926" t="s">
        <v>8433</v>
      </c>
      <c r="C926" t="s">
        <v>8863</v>
      </c>
      <c r="G926" t="str">
        <f t="shared" si="144"/>
        <v>Interface {#IFNAME}({#IFALIAS}): LTE modem RSRP is low (below {$LTEMODEM.RSRP.MIN.WARN}dbm for 5m)</v>
      </c>
      <c r="H926" t="e">
        <f>INDEX('7.0.17'!G:G,MATCH(G926,'7.0.17'!F:F,0))</f>
        <v>#N/A</v>
      </c>
      <c r="I926" t="e">
        <f t="shared" si="140"/>
        <v>#N/A</v>
      </c>
    </row>
    <row r="927" spans="1:9">
      <c r="A927" t="s">
        <v>8862</v>
      </c>
      <c r="B927" t="s">
        <v>8433</v>
      </c>
      <c r="C927" t="s">
        <v>8864</v>
      </c>
      <c r="G927" t="str">
        <f t="shared" si="144"/>
        <v>Interface {#IFNAME}({#IFALIAS}): LTE modem RSRQ is low (below {$LTEMODEM.RSRQ.MIN.WARN}db for 5m)</v>
      </c>
      <c r="H927" t="e">
        <f>INDEX('7.0.17'!G:G,MATCH(G927,'7.0.17'!F:F,0))</f>
        <v>#N/A</v>
      </c>
      <c r="I927" t="e">
        <f t="shared" si="140"/>
        <v>#N/A</v>
      </c>
    </row>
    <row r="928" spans="1:9">
      <c r="A928" t="s">
        <v>8862</v>
      </c>
      <c r="B928" t="s">
        <v>8433</v>
      </c>
      <c r="C928" t="s">
        <v>8865</v>
      </c>
      <c r="G928" t="str">
        <f t="shared" si="144"/>
        <v>Interface {#IFNAME}({#IFALIAS}): LTE modem RSSI is low (below {$LTEMODEM.RSSI.MIN.WARN}dbm for 5m)</v>
      </c>
      <c r="H928" t="e">
        <f>INDEX('7.0.17'!G:G,MATCH(G928,'7.0.17'!F:F,0))</f>
        <v>#N/A</v>
      </c>
      <c r="I928" t="e">
        <f t="shared" si="140"/>
        <v>#N/A</v>
      </c>
    </row>
    <row r="929" spans="1:9">
      <c r="A929" t="s">
        <v>8862</v>
      </c>
      <c r="B929" t="s">
        <v>8433</v>
      </c>
      <c r="C929" t="s">
        <v>8866</v>
      </c>
      <c r="G929" t="str">
        <f t="shared" si="144"/>
        <v>Interface {#IFNAME}({#IFALIAS}): LTE modem SINR is low (below {$LTEMODEM.SINR.MIN.WARN}db for 5m)</v>
      </c>
      <c r="H929" t="e">
        <f>INDEX('7.0.17'!G:G,MATCH(G929,'7.0.17'!F:F,0))</f>
        <v>#N/A</v>
      </c>
      <c r="I929" t="e">
        <f t="shared" si="140"/>
        <v>#N/A</v>
      </c>
    </row>
    <row r="930" spans="1:9">
      <c r="A930" t="s">
        <v>8862</v>
      </c>
      <c r="B930" t="s">
        <v>8433</v>
      </c>
      <c r="C930" t="s">
        <v>8434</v>
      </c>
      <c r="D930" t="s">
        <v>8435</v>
      </c>
      <c r="G930" t="str">
        <f>B930&amp;":"&amp;C930&amp;":"&amp;D930</f>
        <v>Interface {#IFNAME}({#IFALIAS}): High error rate (&gt;{$IF.ERRORS.WARN:{#IFNAME}} for 5m)</v>
      </c>
      <c r="H930" t="e">
        <f>INDEX('7.0.17'!G:G,MATCH(G930,'7.0.17'!F:F,0))</f>
        <v>#N/A</v>
      </c>
      <c r="I930" t="e">
        <f t="shared" si="140"/>
        <v>#N/A</v>
      </c>
    </row>
    <row r="931" spans="1:9">
      <c r="A931" t="s">
        <v>8862</v>
      </c>
      <c r="B931" t="s">
        <v>8433</v>
      </c>
      <c r="C931" t="s">
        <v>8436</v>
      </c>
      <c r="D931" t="s">
        <v>8437</v>
      </c>
      <c r="G931" t="str">
        <f>B931&amp;":"&amp;C931&amp;":"&amp;D931</f>
        <v>Interface {#IFNAME}({#IFALIAS}): High bandwidth usage (&gt;{$IF.UTIL.MAX:{#IFNAME}}%)</v>
      </c>
      <c r="H931" t="e">
        <f>INDEX('7.0.17'!G:G,MATCH(G931,'7.0.17'!F:F,0))</f>
        <v>#N/A</v>
      </c>
      <c r="I931" t="e">
        <f t="shared" si="140"/>
        <v>#N/A</v>
      </c>
    </row>
    <row r="932" spans="1:9">
      <c r="A932" t="s">
        <v>8862</v>
      </c>
      <c r="B932" t="s">
        <v>8737</v>
      </c>
      <c r="C932" t="s">
        <v>8439</v>
      </c>
      <c r="D932" t="s">
        <v>8440</v>
      </c>
      <c r="E932" t="s">
        <v>8598</v>
      </c>
      <c r="G932" t="str">
        <f t="shared" ref="G932:G937" si="145">B932&amp;":"&amp;C932&amp;":"&amp;D932&amp;":"&amp;E932</f>
        <v>CPU: Temperature is above critical threshold: &gt;{$TEMP_CRIT:"CPU"}</v>
      </c>
      <c r="H932" t="e">
        <f>INDEX('7.0.17'!G:G,MATCH(G932,'7.0.17'!F:F,0))</f>
        <v>#N/A</v>
      </c>
      <c r="I932" t="e">
        <f t="shared" si="140"/>
        <v>#N/A</v>
      </c>
    </row>
    <row r="933" spans="1:9">
      <c r="A933" t="s">
        <v>8862</v>
      </c>
      <c r="B933" t="s">
        <v>8737</v>
      </c>
      <c r="C933" t="s">
        <v>8442</v>
      </c>
      <c r="D933" t="s">
        <v>8443</v>
      </c>
      <c r="E933" t="s">
        <v>8598</v>
      </c>
      <c r="G933" t="str">
        <f t="shared" si="145"/>
        <v>CPU: Temperature is above warning threshold: &gt;{$TEMP_WARN:"CPU"}</v>
      </c>
      <c r="H933" t="e">
        <f>INDEX('7.0.17'!G:G,MATCH(G933,'7.0.17'!F:F,0))</f>
        <v>#N/A</v>
      </c>
      <c r="I933" t="e">
        <f t="shared" si="140"/>
        <v>#N/A</v>
      </c>
    </row>
    <row r="934" spans="1:9">
      <c r="A934" t="s">
        <v>8862</v>
      </c>
      <c r="B934" t="s">
        <v>8737</v>
      </c>
      <c r="C934" t="s">
        <v>8444</v>
      </c>
      <c r="D934" t="s">
        <v>8445</v>
      </c>
      <c r="E934" t="s">
        <v>8598</v>
      </c>
      <c r="G934" t="str">
        <f t="shared" si="145"/>
        <v>CPU: Temperature is too low: &lt;{$TEMP_CRIT_LOW:"CPU"}</v>
      </c>
      <c r="H934" t="e">
        <f>INDEX('7.0.17'!G:G,MATCH(G934,'7.0.17'!F:F,0))</f>
        <v>#N/A</v>
      </c>
      <c r="I934" t="e">
        <f t="shared" si="140"/>
        <v>#N/A</v>
      </c>
    </row>
    <row r="935" spans="1:9">
      <c r="A935" t="s">
        <v>8862</v>
      </c>
      <c r="B935" t="s">
        <v>8867</v>
      </c>
      <c r="C935" t="s">
        <v>8439</v>
      </c>
      <c r="D935" t="s">
        <v>8440</v>
      </c>
      <c r="E935" t="s">
        <v>8868</v>
      </c>
      <c r="G935" t="str">
        <f t="shared" si="145"/>
        <v>Device: Temperature is above critical threshold: &gt;{$TEMP_CRIT:Device}</v>
      </c>
      <c r="H935" t="e">
        <f>INDEX('7.0.17'!G:G,MATCH(G935,'7.0.17'!F:F,0))</f>
        <v>#N/A</v>
      </c>
      <c r="I935" t="e">
        <f t="shared" si="140"/>
        <v>#N/A</v>
      </c>
    </row>
    <row r="936" spans="1:9">
      <c r="A936" t="s">
        <v>8862</v>
      </c>
      <c r="B936" t="s">
        <v>8867</v>
      </c>
      <c r="C936" t="s">
        <v>8442</v>
      </c>
      <c r="D936" t="s">
        <v>8443</v>
      </c>
      <c r="E936" t="s">
        <v>8868</v>
      </c>
      <c r="G936" t="str">
        <f t="shared" si="145"/>
        <v>Device: Temperature is above warning threshold: &gt;{$TEMP_WARN:Device}</v>
      </c>
      <c r="H936" t="e">
        <f>INDEX('7.0.17'!G:G,MATCH(G936,'7.0.17'!F:F,0))</f>
        <v>#N/A</v>
      </c>
      <c r="I936" t="e">
        <f t="shared" si="140"/>
        <v>#N/A</v>
      </c>
    </row>
    <row r="937" spans="1:9">
      <c r="A937" t="s">
        <v>8862</v>
      </c>
      <c r="B937" t="s">
        <v>8867</v>
      </c>
      <c r="C937" t="s">
        <v>8444</v>
      </c>
      <c r="D937" t="s">
        <v>8445</v>
      </c>
      <c r="E937" t="s">
        <v>8868</v>
      </c>
      <c r="G937" t="str">
        <f t="shared" si="145"/>
        <v>Device: Temperature is too low: &lt;{$TEMP_CRIT_LOW:Device}</v>
      </c>
      <c r="H937" t="e">
        <f>INDEX('7.0.17'!G:G,MATCH(G937,'7.0.17'!F:F,0))</f>
        <v>#N/A</v>
      </c>
      <c r="I937" t="e">
        <f t="shared" si="140"/>
        <v>#N/A</v>
      </c>
    </row>
    <row r="938" spans="1:9">
      <c r="A938" t="s">
        <v>8862</v>
      </c>
      <c r="B938" t="s">
        <v>8564</v>
      </c>
      <c r="C938" t="s">
        <v>8565</v>
      </c>
      <c r="G938" t="str">
        <f t="shared" ref="G938:G944" si="146">B938&amp;":"&amp;C938</f>
        <v>#{#SNMPINDEX}: High CPU utilization (over {$CPU.UTIL.CRIT}% for 5m)</v>
      </c>
      <c r="H938" t="e">
        <f>INDEX('7.0.17'!G:G,MATCH(G938,'7.0.17'!F:F,0))</f>
        <v>#N/A</v>
      </c>
      <c r="I938" t="e">
        <f t="shared" si="140"/>
        <v>#N/A</v>
      </c>
    </row>
    <row r="939" spans="1:9">
      <c r="A939" t="s">
        <v>8862</v>
      </c>
      <c r="B939" t="s">
        <v>8869</v>
      </c>
      <c r="C939" t="s">
        <v>8512</v>
      </c>
      <c r="D939" t="s">
        <v>8870</v>
      </c>
      <c r="G939" t="str">
        <f>B939&amp;":"&amp;C939&amp;":"&amp;D939</f>
        <v>Disk-{#SNMPINDEX}: Disk space is critically low (used &gt; {$VFS.FS.PUSED.MAX.CRIT:Disk-"{#SNMPINDEX}"}%)</v>
      </c>
      <c r="H939" t="e">
        <f>INDEX('7.0.17'!G:G,MATCH(G939,'7.0.17'!F:F,0))</f>
        <v>#N/A</v>
      </c>
      <c r="I939" t="e">
        <f t="shared" si="140"/>
        <v>#N/A</v>
      </c>
    </row>
    <row r="940" spans="1:9">
      <c r="A940" t="s">
        <v>8862</v>
      </c>
      <c r="B940" t="s">
        <v>8869</v>
      </c>
      <c r="C940" t="s">
        <v>8513</v>
      </c>
      <c r="D940" t="s">
        <v>8870</v>
      </c>
      <c r="G940" t="str">
        <f>B940&amp;":"&amp;C940&amp;":"&amp;D940</f>
        <v>Disk-{#SNMPINDEX}: Disk space is low (used &gt; {$VFS.FS.PUSED.MAX.WARN:Disk-"{#SNMPINDEX}"}%)</v>
      </c>
      <c r="H940" t="e">
        <f>INDEX('7.0.17'!G:G,MATCH(G940,'7.0.17'!F:F,0))</f>
        <v>#N/A</v>
      </c>
      <c r="I940" t="e">
        <f t="shared" si="140"/>
        <v>#N/A</v>
      </c>
    </row>
    <row r="941" spans="1:9">
      <c r="A941" t="s">
        <v>8862</v>
      </c>
      <c r="B941" t="s">
        <v>8433</v>
      </c>
      <c r="C941" t="s">
        <v>8863</v>
      </c>
      <c r="G941" t="str">
        <f t="shared" si="146"/>
        <v>Interface {#IFNAME}({#IFALIAS}): LTE modem RSRP is low (below {$LTEMODEM.RSRP.MIN.WARN}dbm for 5m)</v>
      </c>
      <c r="H941" t="e">
        <f>INDEX('7.0.17'!G:G,MATCH(G941,'7.0.17'!F:F,0))</f>
        <v>#N/A</v>
      </c>
      <c r="I941" t="e">
        <f t="shared" si="140"/>
        <v>#N/A</v>
      </c>
    </row>
    <row r="942" spans="1:9">
      <c r="A942" t="s">
        <v>8862</v>
      </c>
      <c r="B942" t="s">
        <v>8433</v>
      </c>
      <c r="C942" t="s">
        <v>8864</v>
      </c>
      <c r="G942" t="str">
        <f t="shared" si="146"/>
        <v>Interface {#IFNAME}({#IFALIAS}): LTE modem RSRQ is low (below {$LTEMODEM.RSRQ.MIN.WARN}db for 5m)</v>
      </c>
      <c r="H942" t="e">
        <f>INDEX('7.0.17'!G:G,MATCH(G942,'7.0.17'!F:F,0))</f>
        <v>#N/A</v>
      </c>
      <c r="I942" t="e">
        <f t="shared" si="140"/>
        <v>#N/A</v>
      </c>
    </row>
    <row r="943" spans="1:9">
      <c r="A943" t="s">
        <v>8862</v>
      </c>
      <c r="B943" t="s">
        <v>8433</v>
      </c>
      <c r="C943" t="s">
        <v>8865</v>
      </c>
      <c r="G943" t="str">
        <f t="shared" si="146"/>
        <v>Interface {#IFNAME}({#IFALIAS}): LTE modem RSSI is low (below {$LTEMODEM.RSSI.MIN.WARN}dbm for 5m)</v>
      </c>
      <c r="H943" t="e">
        <f>INDEX('7.0.17'!G:G,MATCH(G943,'7.0.17'!F:F,0))</f>
        <v>#N/A</v>
      </c>
      <c r="I943" t="e">
        <f t="shared" si="140"/>
        <v>#N/A</v>
      </c>
    </row>
    <row r="944" spans="1:9">
      <c r="A944" t="s">
        <v>8862</v>
      </c>
      <c r="B944" t="s">
        <v>8433</v>
      </c>
      <c r="C944" t="s">
        <v>8866</v>
      </c>
      <c r="G944" t="str">
        <f t="shared" si="146"/>
        <v>Interface {#IFNAME}({#IFALIAS}): LTE modem SINR is low (below {$LTEMODEM.SINR.MIN.WARN}db for 5m)</v>
      </c>
      <c r="H944" t="e">
        <f>INDEX('7.0.17'!G:G,MATCH(G944,'7.0.17'!F:F,0))</f>
        <v>#N/A</v>
      </c>
      <c r="I944" t="e">
        <f t="shared" si="140"/>
        <v>#N/A</v>
      </c>
    </row>
    <row r="945" spans="1:9">
      <c r="A945" t="s">
        <v>8862</v>
      </c>
      <c r="B945" t="s">
        <v>8433</v>
      </c>
      <c r="C945" t="s">
        <v>8434</v>
      </c>
      <c r="D945" t="s">
        <v>8435</v>
      </c>
      <c r="G945" t="str">
        <f>B945&amp;":"&amp;C945&amp;":"&amp;D945</f>
        <v>Interface {#IFNAME}({#IFALIAS}): High error rate (&gt;{$IF.ERRORS.WARN:{#IFNAME}} for 5m)</v>
      </c>
      <c r="H945" t="e">
        <f>INDEX('7.0.17'!G:G,MATCH(G945,'7.0.17'!F:F,0))</f>
        <v>#N/A</v>
      </c>
      <c r="I945" t="e">
        <f t="shared" si="140"/>
        <v>#N/A</v>
      </c>
    </row>
    <row r="946" spans="1:9">
      <c r="A946" t="s">
        <v>8862</v>
      </c>
      <c r="B946" t="s">
        <v>8433</v>
      </c>
      <c r="C946" t="s">
        <v>8436</v>
      </c>
      <c r="D946" t="s">
        <v>8437</v>
      </c>
      <c r="G946" t="str">
        <f>B946&amp;":"&amp;C946&amp;":"&amp;D946</f>
        <v>Interface {#IFNAME}({#IFALIAS}): High bandwidth usage (&gt;{$IF.UTIL.MAX:{#IFNAME}}%)</v>
      </c>
      <c r="H946" t="e">
        <f>INDEX('7.0.17'!G:G,MATCH(G946,'7.0.17'!F:F,0))</f>
        <v>#N/A</v>
      </c>
      <c r="I946" t="e">
        <f t="shared" si="140"/>
        <v>#N/A</v>
      </c>
    </row>
    <row r="947" spans="1:9">
      <c r="A947" t="s">
        <v>8862</v>
      </c>
      <c r="B947" t="s">
        <v>8737</v>
      </c>
      <c r="C947" t="s">
        <v>8439</v>
      </c>
      <c r="D947" t="s">
        <v>8440</v>
      </c>
      <c r="E947" t="s">
        <v>8598</v>
      </c>
      <c r="G947" t="str">
        <f t="shared" ref="G947:G952" si="147">B947&amp;":"&amp;C947&amp;":"&amp;D947&amp;":"&amp;E947</f>
        <v>CPU: Temperature is above critical threshold: &gt;{$TEMP_CRIT:"CPU"}</v>
      </c>
      <c r="H947" t="e">
        <f>INDEX('7.0.17'!G:G,MATCH(G947,'7.0.17'!F:F,0))</f>
        <v>#N/A</v>
      </c>
      <c r="I947" t="e">
        <f t="shared" si="140"/>
        <v>#N/A</v>
      </c>
    </row>
    <row r="948" spans="1:9">
      <c r="A948" t="s">
        <v>8862</v>
      </c>
      <c r="B948" t="s">
        <v>8737</v>
      </c>
      <c r="C948" t="s">
        <v>8442</v>
      </c>
      <c r="D948" t="s">
        <v>8443</v>
      </c>
      <c r="E948" t="s">
        <v>8598</v>
      </c>
      <c r="G948" t="str">
        <f t="shared" si="147"/>
        <v>CPU: Temperature is above warning threshold: &gt;{$TEMP_WARN:"CPU"}</v>
      </c>
      <c r="H948" t="e">
        <f>INDEX('7.0.17'!G:G,MATCH(G948,'7.0.17'!F:F,0))</f>
        <v>#N/A</v>
      </c>
      <c r="I948" t="e">
        <f t="shared" si="140"/>
        <v>#N/A</v>
      </c>
    </row>
    <row r="949" spans="1:9">
      <c r="A949" t="s">
        <v>8862</v>
      </c>
      <c r="B949" t="s">
        <v>8737</v>
      </c>
      <c r="C949" t="s">
        <v>8444</v>
      </c>
      <c r="D949" t="s">
        <v>8445</v>
      </c>
      <c r="E949" t="s">
        <v>8598</v>
      </c>
      <c r="G949" t="str">
        <f t="shared" si="147"/>
        <v>CPU: Temperature is too low: &lt;{$TEMP_CRIT_LOW:"CPU"}</v>
      </c>
      <c r="H949" t="e">
        <f>INDEX('7.0.17'!G:G,MATCH(G949,'7.0.17'!F:F,0))</f>
        <v>#N/A</v>
      </c>
      <c r="I949" t="e">
        <f t="shared" si="140"/>
        <v>#N/A</v>
      </c>
    </row>
    <row r="950" spans="1:9">
      <c r="A950" t="s">
        <v>8862</v>
      </c>
      <c r="B950" t="s">
        <v>8867</v>
      </c>
      <c r="C950" t="s">
        <v>8439</v>
      </c>
      <c r="D950" t="s">
        <v>8440</v>
      </c>
      <c r="E950" t="s">
        <v>8868</v>
      </c>
      <c r="G950" t="str">
        <f t="shared" si="147"/>
        <v>Device: Temperature is above critical threshold: &gt;{$TEMP_CRIT:Device}</v>
      </c>
      <c r="H950" t="e">
        <f>INDEX('7.0.17'!G:G,MATCH(G950,'7.0.17'!F:F,0))</f>
        <v>#N/A</v>
      </c>
      <c r="I950" t="e">
        <f t="shared" si="140"/>
        <v>#N/A</v>
      </c>
    </row>
    <row r="951" spans="1:9">
      <c r="A951" t="s">
        <v>8862</v>
      </c>
      <c r="B951" t="s">
        <v>8867</v>
      </c>
      <c r="C951" t="s">
        <v>8442</v>
      </c>
      <c r="D951" t="s">
        <v>8443</v>
      </c>
      <c r="E951" t="s">
        <v>8868</v>
      </c>
      <c r="G951" t="str">
        <f t="shared" si="147"/>
        <v>Device: Temperature is above warning threshold: &gt;{$TEMP_WARN:Device}</v>
      </c>
      <c r="H951" t="e">
        <f>INDEX('7.0.17'!G:G,MATCH(G951,'7.0.17'!F:F,0))</f>
        <v>#N/A</v>
      </c>
      <c r="I951" t="e">
        <f t="shared" si="140"/>
        <v>#N/A</v>
      </c>
    </row>
    <row r="952" spans="1:9">
      <c r="A952" t="s">
        <v>8862</v>
      </c>
      <c r="B952" t="s">
        <v>8867</v>
      </c>
      <c r="C952" t="s">
        <v>8444</v>
      </c>
      <c r="D952" t="s">
        <v>8445</v>
      </c>
      <c r="E952" t="s">
        <v>8868</v>
      </c>
      <c r="G952" t="str">
        <f t="shared" si="147"/>
        <v>Device: Temperature is too low: &lt;{$TEMP_CRIT_LOW:Device}</v>
      </c>
      <c r="H952" t="e">
        <f>INDEX('7.0.17'!G:G,MATCH(G952,'7.0.17'!F:F,0))</f>
        <v>#N/A</v>
      </c>
      <c r="I952" t="e">
        <f t="shared" si="140"/>
        <v>#N/A</v>
      </c>
    </row>
    <row r="953" spans="1:9">
      <c r="A953" t="s">
        <v>8862</v>
      </c>
      <c r="B953" t="s">
        <v>8564</v>
      </c>
      <c r="C953" t="s">
        <v>8565</v>
      </c>
      <c r="G953" t="str">
        <f t="shared" ref="G953:G959" si="148">B953&amp;":"&amp;C953</f>
        <v>#{#SNMPINDEX}: High CPU utilization (over {$CPU.UTIL.CRIT}% for 5m)</v>
      </c>
      <c r="H953" t="e">
        <f>INDEX('7.0.17'!G:G,MATCH(G953,'7.0.17'!F:F,0))</f>
        <v>#N/A</v>
      </c>
      <c r="I953" t="e">
        <f t="shared" si="140"/>
        <v>#N/A</v>
      </c>
    </row>
    <row r="954" spans="1:9">
      <c r="A954" t="s">
        <v>8862</v>
      </c>
      <c r="B954" t="s">
        <v>8869</v>
      </c>
      <c r="C954" t="s">
        <v>8512</v>
      </c>
      <c r="D954" t="s">
        <v>8870</v>
      </c>
      <c r="G954" t="str">
        <f>B954&amp;":"&amp;C954&amp;":"&amp;D954</f>
        <v>Disk-{#SNMPINDEX}: Disk space is critically low (used &gt; {$VFS.FS.PUSED.MAX.CRIT:Disk-"{#SNMPINDEX}"}%)</v>
      </c>
      <c r="H954" t="e">
        <f>INDEX('7.0.17'!G:G,MATCH(G954,'7.0.17'!F:F,0))</f>
        <v>#N/A</v>
      </c>
      <c r="I954" t="e">
        <f t="shared" si="140"/>
        <v>#N/A</v>
      </c>
    </row>
    <row r="955" spans="1:9">
      <c r="A955" t="s">
        <v>8862</v>
      </c>
      <c r="B955" t="s">
        <v>8869</v>
      </c>
      <c r="C955" t="s">
        <v>8513</v>
      </c>
      <c r="D955" t="s">
        <v>8870</v>
      </c>
      <c r="G955" t="str">
        <f>B955&amp;":"&amp;C955&amp;":"&amp;D955</f>
        <v>Disk-{#SNMPINDEX}: Disk space is low (used &gt; {$VFS.FS.PUSED.MAX.WARN:Disk-"{#SNMPINDEX}"}%)</v>
      </c>
      <c r="H955" t="e">
        <f>INDEX('7.0.17'!G:G,MATCH(G955,'7.0.17'!F:F,0))</f>
        <v>#N/A</v>
      </c>
      <c r="I955" t="e">
        <f t="shared" si="140"/>
        <v>#N/A</v>
      </c>
    </row>
    <row r="956" spans="1:9">
      <c r="A956" t="s">
        <v>8862</v>
      </c>
      <c r="B956" t="s">
        <v>8433</v>
      </c>
      <c r="C956" t="s">
        <v>8863</v>
      </c>
      <c r="G956" t="str">
        <f t="shared" si="148"/>
        <v>Interface {#IFNAME}({#IFALIAS}): LTE modem RSRP is low (below {$LTEMODEM.RSRP.MIN.WARN}dbm for 5m)</v>
      </c>
      <c r="H956" t="e">
        <f>INDEX('7.0.17'!G:G,MATCH(G956,'7.0.17'!F:F,0))</f>
        <v>#N/A</v>
      </c>
      <c r="I956" t="e">
        <f t="shared" si="140"/>
        <v>#N/A</v>
      </c>
    </row>
    <row r="957" spans="1:9">
      <c r="A957" t="s">
        <v>8862</v>
      </c>
      <c r="B957" t="s">
        <v>8433</v>
      </c>
      <c r="C957" t="s">
        <v>8864</v>
      </c>
      <c r="G957" t="str">
        <f t="shared" si="148"/>
        <v>Interface {#IFNAME}({#IFALIAS}): LTE modem RSRQ is low (below {$LTEMODEM.RSRQ.MIN.WARN}db for 5m)</v>
      </c>
      <c r="H957" t="e">
        <f>INDEX('7.0.17'!G:G,MATCH(G957,'7.0.17'!F:F,0))</f>
        <v>#N/A</v>
      </c>
      <c r="I957" t="e">
        <f t="shared" si="140"/>
        <v>#N/A</v>
      </c>
    </row>
    <row r="958" spans="1:9">
      <c r="A958" t="s">
        <v>8862</v>
      </c>
      <c r="B958" t="s">
        <v>8433</v>
      </c>
      <c r="C958" t="s">
        <v>8865</v>
      </c>
      <c r="G958" t="str">
        <f t="shared" si="148"/>
        <v>Interface {#IFNAME}({#IFALIAS}): LTE modem RSSI is low (below {$LTEMODEM.RSSI.MIN.WARN}dbm for 5m)</v>
      </c>
      <c r="H958" t="e">
        <f>INDEX('7.0.17'!G:G,MATCH(G958,'7.0.17'!F:F,0))</f>
        <v>#N/A</v>
      </c>
      <c r="I958" t="e">
        <f t="shared" si="140"/>
        <v>#N/A</v>
      </c>
    </row>
    <row r="959" spans="1:9">
      <c r="A959" t="s">
        <v>8862</v>
      </c>
      <c r="B959" t="s">
        <v>8433</v>
      </c>
      <c r="C959" t="s">
        <v>8866</v>
      </c>
      <c r="G959" t="str">
        <f t="shared" si="148"/>
        <v>Interface {#IFNAME}({#IFALIAS}): LTE modem SINR is low (below {$LTEMODEM.SINR.MIN.WARN}db for 5m)</v>
      </c>
      <c r="H959" t="e">
        <f>INDEX('7.0.17'!G:G,MATCH(G959,'7.0.17'!F:F,0))</f>
        <v>#N/A</v>
      </c>
      <c r="I959" t="e">
        <f t="shared" si="140"/>
        <v>#N/A</v>
      </c>
    </row>
    <row r="960" spans="1:9">
      <c r="A960" t="s">
        <v>8862</v>
      </c>
      <c r="B960" t="s">
        <v>8433</v>
      </c>
      <c r="C960" t="s">
        <v>8434</v>
      </c>
      <c r="D960" t="s">
        <v>8435</v>
      </c>
      <c r="G960" t="str">
        <f>B960&amp;":"&amp;C960&amp;":"&amp;D960</f>
        <v>Interface {#IFNAME}({#IFALIAS}): High error rate (&gt;{$IF.ERRORS.WARN:{#IFNAME}} for 5m)</v>
      </c>
      <c r="H960" t="e">
        <f>INDEX('7.0.17'!G:G,MATCH(G960,'7.0.17'!F:F,0))</f>
        <v>#N/A</v>
      </c>
      <c r="I960" t="e">
        <f t="shared" si="140"/>
        <v>#N/A</v>
      </c>
    </row>
    <row r="961" spans="1:9">
      <c r="A961" t="s">
        <v>8862</v>
      </c>
      <c r="B961" t="s">
        <v>8433</v>
      </c>
      <c r="C961" t="s">
        <v>8436</v>
      </c>
      <c r="D961" t="s">
        <v>8437</v>
      </c>
      <c r="G961" t="str">
        <f>B961&amp;":"&amp;C961&amp;":"&amp;D961</f>
        <v>Interface {#IFNAME}({#IFALIAS}): High bandwidth usage (&gt;{$IF.UTIL.MAX:{#IFNAME}}%)</v>
      </c>
      <c r="H961" t="e">
        <f>INDEX('7.0.17'!G:G,MATCH(G961,'7.0.17'!F:F,0))</f>
        <v>#N/A</v>
      </c>
      <c r="I961" t="e">
        <f t="shared" si="140"/>
        <v>#N/A</v>
      </c>
    </row>
    <row r="962" spans="1:9">
      <c r="A962" t="s">
        <v>8862</v>
      </c>
      <c r="B962" t="s">
        <v>8737</v>
      </c>
      <c r="C962" t="s">
        <v>8439</v>
      </c>
      <c r="D962" t="s">
        <v>8440</v>
      </c>
      <c r="E962" t="s">
        <v>8598</v>
      </c>
      <c r="G962" t="str">
        <f t="shared" ref="G962:G967" si="149">B962&amp;":"&amp;C962&amp;":"&amp;D962&amp;":"&amp;E962</f>
        <v>CPU: Temperature is above critical threshold: &gt;{$TEMP_CRIT:"CPU"}</v>
      </c>
      <c r="H962" t="e">
        <f>INDEX('7.0.17'!G:G,MATCH(G962,'7.0.17'!F:F,0))</f>
        <v>#N/A</v>
      </c>
      <c r="I962" t="e">
        <f t="shared" si="140"/>
        <v>#N/A</v>
      </c>
    </row>
    <row r="963" spans="1:9">
      <c r="A963" t="s">
        <v>8862</v>
      </c>
      <c r="B963" t="s">
        <v>8737</v>
      </c>
      <c r="C963" t="s">
        <v>8442</v>
      </c>
      <c r="D963" t="s">
        <v>8443</v>
      </c>
      <c r="E963" t="s">
        <v>8598</v>
      </c>
      <c r="G963" t="str">
        <f t="shared" si="149"/>
        <v>CPU: Temperature is above warning threshold: &gt;{$TEMP_WARN:"CPU"}</v>
      </c>
      <c r="H963" t="e">
        <f>INDEX('7.0.17'!G:G,MATCH(G963,'7.0.17'!F:F,0))</f>
        <v>#N/A</v>
      </c>
      <c r="I963" t="e">
        <f t="shared" ref="I963:I1026" si="150">A963&amp;": "&amp;H963</f>
        <v>#N/A</v>
      </c>
    </row>
    <row r="964" spans="1:9">
      <c r="A964" t="s">
        <v>8862</v>
      </c>
      <c r="B964" t="s">
        <v>8737</v>
      </c>
      <c r="C964" t="s">
        <v>8444</v>
      </c>
      <c r="D964" t="s">
        <v>8445</v>
      </c>
      <c r="E964" t="s">
        <v>8598</v>
      </c>
      <c r="G964" t="str">
        <f t="shared" si="149"/>
        <v>CPU: Temperature is too low: &lt;{$TEMP_CRIT_LOW:"CPU"}</v>
      </c>
      <c r="H964" t="e">
        <f>INDEX('7.0.17'!G:G,MATCH(G964,'7.0.17'!F:F,0))</f>
        <v>#N/A</v>
      </c>
      <c r="I964" t="e">
        <f t="shared" si="150"/>
        <v>#N/A</v>
      </c>
    </row>
    <row r="965" spans="1:9">
      <c r="A965" t="s">
        <v>8862</v>
      </c>
      <c r="B965" t="s">
        <v>8867</v>
      </c>
      <c r="C965" t="s">
        <v>8439</v>
      </c>
      <c r="D965" t="s">
        <v>8440</v>
      </c>
      <c r="E965" t="s">
        <v>8868</v>
      </c>
      <c r="G965" t="str">
        <f t="shared" si="149"/>
        <v>Device: Temperature is above critical threshold: &gt;{$TEMP_CRIT:Device}</v>
      </c>
      <c r="H965" t="e">
        <f>INDEX('7.0.17'!G:G,MATCH(G965,'7.0.17'!F:F,0))</f>
        <v>#N/A</v>
      </c>
      <c r="I965" t="e">
        <f t="shared" si="150"/>
        <v>#N/A</v>
      </c>
    </row>
    <row r="966" spans="1:9">
      <c r="A966" t="s">
        <v>8862</v>
      </c>
      <c r="B966" t="s">
        <v>8867</v>
      </c>
      <c r="C966" t="s">
        <v>8442</v>
      </c>
      <c r="D966" t="s">
        <v>8443</v>
      </c>
      <c r="E966" t="s">
        <v>8868</v>
      </c>
      <c r="G966" t="str">
        <f t="shared" si="149"/>
        <v>Device: Temperature is above warning threshold: &gt;{$TEMP_WARN:Device}</v>
      </c>
      <c r="H966" t="e">
        <f>INDEX('7.0.17'!G:G,MATCH(G966,'7.0.17'!F:F,0))</f>
        <v>#N/A</v>
      </c>
      <c r="I966" t="e">
        <f t="shared" si="150"/>
        <v>#N/A</v>
      </c>
    </row>
    <row r="967" spans="1:9">
      <c r="A967" t="s">
        <v>8862</v>
      </c>
      <c r="B967" t="s">
        <v>8867</v>
      </c>
      <c r="C967" t="s">
        <v>8444</v>
      </c>
      <c r="D967" t="s">
        <v>8445</v>
      </c>
      <c r="E967" t="s">
        <v>8868</v>
      </c>
      <c r="G967" t="str">
        <f t="shared" si="149"/>
        <v>Device: Temperature is too low: &lt;{$TEMP_CRIT_LOW:Device}</v>
      </c>
      <c r="H967" t="e">
        <f>INDEX('7.0.17'!G:G,MATCH(G967,'7.0.17'!F:F,0))</f>
        <v>#N/A</v>
      </c>
      <c r="I967" t="e">
        <f t="shared" si="150"/>
        <v>#N/A</v>
      </c>
    </row>
    <row r="968" spans="1:9">
      <c r="A968" t="s">
        <v>8862</v>
      </c>
      <c r="B968" t="s">
        <v>8564</v>
      </c>
      <c r="C968" t="s">
        <v>8565</v>
      </c>
      <c r="G968" t="str">
        <f t="shared" ref="G968:G974" si="151">B968&amp;":"&amp;C968</f>
        <v>#{#SNMPINDEX}: High CPU utilization (over {$CPU.UTIL.CRIT}% for 5m)</v>
      </c>
      <c r="H968" t="e">
        <f>INDEX('7.0.17'!G:G,MATCH(G968,'7.0.17'!F:F,0))</f>
        <v>#N/A</v>
      </c>
      <c r="I968" t="e">
        <f t="shared" si="150"/>
        <v>#N/A</v>
      </c>
    </row>
    <row r="969" spans="1:9">
      <c r="A969" t="s">
        <v>8862</v>
      </c>
      <c r="B969" t="s">
        <v>8869</v>
      </c>
      <c r="C969" t="s">
        <v>8512</v>
      </c>
      <c r="D969" t="s">
        <v>8870</v>
      </c>
      <c r="G969" t="str">
        <f>B969&amp;":"&amp;C969&amp;":"&amp;D969</f>
        <v>Disk-{#SNMPINDEX}: Disk space is critically low (used &gt; {$VFS.FS.PUSED.MAX.CRIT:Disk-"{#SNMPINDEX}"}%)</v>
      </c>
      <c r="H969" t="e">
        <f>INDEX('7.0.17'!G:G,MATCH(G969,'7.0.17'!F:F,0))</f>
        <v>#N/A</v>
      </c>
      <c r="I969" t="e">
        <f t="shared" si="150"/>
        <v>#N/A</v>
      </c>
    </row>
    <row r="970" spans="1:9">
      <c r="A970" t="s">
        <v>8862</v>
      </c>
      <c r="B970" t="s">
        <v>8869</v>
      </c>
      <c r="C970" t="s">
        <v>8513</v>
      </c>
      <c r="D970" t="s">
        <v>8870</v>
      </c>
      <c r="G970" t="str">
        <f>B970&amp;":"&amp;C970&amp;":"&amp;D970</f>
        <v>Disk-{#SNMPINDEX}: Disk space is low (used &gt; {$VFS.FS.PUSED.MAX.WARN:Disk-"{#SNMPINDEX}"}%)</v>
      </c>
      <c r="H970" t="e">
        <f>INDEX('7.0.17'!G:G,MATCH(G970,'7.0.17'!F:F,0))</f>
        <v>#N/A</v>
      </c>
      <c r="I970" t="e">
        <f t="shared" si="150"/>
        <v>#N/A</v>
      </c>
    </row>
    <row r="971" spans="1:9">
      <c r="A971" t="s">
        <v>8862</v>
      </c>
      <c r="B971" t="s">
        <v>8433</v>
      </c>
      <c r="C971" t="s">
        <v>8863</v>
      </c>
      <c r="G971" t="str">
        <f t="shared" si="151"/>
        <v>Interface {#IFNAME}({#IFALIAS}): LTE modem RSRP is low (below {$LTEMODEM.RSRP.MIN.WARN}dbm for 5m)</v>
      </c>
      <c r="H971" t="e">
        <f>INDEX('7.0.17'!G:G,MATCH(G971,'7.0.17'!F:F,0))</f>
        <v>#N/A</v>
      </c>
      <c r="I971" t="e">
        <f t="shared" si="150"/>
        <v>#N/A</v>
      </c>
    </row>
    <row r="972" spans="1:9">
      <c r="A972" t="s">
        <v>8862</v>
      </c>
      <c r="B972" t="s">
        <v>8433</v>
      </c>
      <c r="C972" t="s">
        <v>8864</v>
      </c>
      <c r="G972" t="str">
        <f t="shared" si="151"/>
        <v>Interface {#IFNAME}({#IFALIAS}): LTE modem RSRQ is low (below {$LTEMODEM.RSRQ.MIN.WARN}db for 5m)</v>
      </c>
      <c r="H972" t="e">
        <f>INDEX('7.0.17'!G:G,MATCH(G972,'7.0.17'!F:F,0))</f>
        <v>#N/A</v>
      </c>
      <c r="I972" t="e">
        <f t="shared" si="150"/>
        <v>#N/A</v>
      </c>
    </row>
    <row r="973" spans="1:9">
      <c r="A973" t="s">
        <v>8862</v>
      </c>
      <c r="B973" t="s">
        <v>8433</v>
      </c>
      <c r="C973" t="s">
        <v>8865</v>
      </c>
      <c r="G973" t="str">
        <f t="shared" si="151"/>
        <v>Interface {#IFNAME}({#IFALIAS}): LTE modem RSSI is low (below {$LTEMODEM.RSSI.MIN.WARN}dbm for 5m)</v>
      </c>
      <c r="H973" t="e">
        <f>INDEX('7.0.17'!G:G,MATCH(G973,'7.0.17'!F:F,0))</f>
        <v>#N/A</v>
      </c>
      <c r="I973" t="e">
        <f t="shared" si="150"/>
        <v>#N/A</v>
      </c>
    </row>
    <row r="974" spans="1:9">
      <c r="A974" t="s">
        <v>8862</v>
      </c>
      <c r="B974" t="s">
        <v>8433</v>
      </c>
      <c r="C974" t="s">
        <v>8866</v>
      </c>
      <c r="G974" t="str">
        <f t="shared" si="151"/>
        <v>Interface {#IFNAME}({#IFALIAS}): LTE modem SINR is low (below {$LTEMODEM.SINR.MIN.WARN}db for 5m)</v>
      </c>
      <c r="H974" t="e">
        <f>INDEX('7.0.17'!G:G,MATCH(G974,'7.0.17'!F:F,0))</f>
        <v>#N/A</v>
      </c>
      <c r="I974" t="e">
        <f t="shared" si="150"/>
        <v>#N/A</v>
      </c>
    </row>
    <row r="975" spans="1:9">
      <c r="A975" t="s">
        <v>8862</v>
      </c>
      <c r="B975" t="s">
        <v>8433</v>
      </c>
      <c r="C975" t="s">
        <v>8434</v>
      </c>
      <c r="D975" t="s">
        <v>8435</v>
      </c>
      <c r="G975" t="str">
        <f>B975&amp;":"&amp;C975&amp;":"&amp;D975</f>
        <v>Interface {#IFNAME}({#IFALIAS}): High error rate (&gt;{$IF.ERRORS.WARN:{#IFNAME}} for 5m)</v>
      </c>
      <c r="H975" t="e">
        <f>INDEX('7.0.17'!G:G,MATCH(G975,'7.0.17'!F:F,0))</f>
        <v>#N/A</v>
      </c>
      <c r="I975" t="e">
        <f t="shared" si="150"/>
        <v>#N/A</v>
      </c>
    </row>
    <row r="976" spans="1:9">
      <c r="A976" t="s">
        <v>8862</v>
      </c>
      <c r="B976" t="s">
        <v>8433</v>
      </c>
      <c r="C976" t="s">
        <v>8436</v>
      </c>
      <c r="D976" t="s">
        <v>8437</v>
      </c>
      <c r="G976" t="str">
        <f>B976&amp;":"&amp;C976&amp;":"&amp;D976</f>
        <v>Interface {#IFNAME}({#IFALIAS}): High bandwidth usage (&gt;{$IF.UTIL.MAX:{#IFNAME}}%)</v>
      </c>
      <c r="H976" t="e">
        <f>INDEX('7.0.17'!G:G,MATCH(G976,'7.0.17'!F:F,0))</f>
        <v>#N/A</v>
      </c>
      <c r="I976" t="e">
        <f t="shared" si="150"/>
        <v>#N/A</v>
      </c>
    </row>
    <row r="977" spans="1:9">
      <c r="A977" t="s">
        <v>8862</v>
      </c>
      <c r="B977" t="s">
        <v>8737</v>
      </c>
      <c r="C977" t="s">
        <v>8439</v>
      </c>
      <c r="D977" t="s">
        <v>8440</v>
      </c>
      <c r="E977" t="s">
        <v>8598</v>
      </c>
      <c r="G977" t="str">
        <f t="shared" ref="G977:G982" si="152">B977&amp;":"&amp;C977&amp;":"&amp;D977&amp;":"&amp;E977</f>
        <v>CPU: Temperature is above critical threshold: &gt;{$TEMP_CRIT:"CPU"}</v>
      </c>
      <c r="H977" t="e">
        <f>INDEX('7.0.17'!G:G,MATCH(G977,'7.0.17'!F:F,0))</f>
        <v>#N/A</v>
      </c>
      <c r="I977" t="e">
        <f t="shared" si="150"/>
        <v>#N/A</v>
      </c>
    </row>
    <row r="978" spans="1:9">
      <c r="A978" t="s">
        <v>8862</v>
      </c>
      <c r="B978" t="s">
        <v>8737</v>
      </c>
      <c r="C978" t="s">
        <v>8442</v>
      </c>
      <c r="D978" t="s">
        <v>8443</v>
      </c>
      <c r="E978" t="s">
        <v>8598</v>
      </c>
      <c r="G978" t="str">
        <f t="shared" si="152"/>
        <v>CPU: Temperature is above warning threshold: &gt;{$TEMP_WARN:"CPU"}</v>
      </c>
      <c r="H978" t="e">
        <f>INDEX('7.0.17'!G:G,MATCH(G978,'7.0.17'!F:F,0))</f>
        <v>#N/A</v>
      </c>
      <c r="I978" t="e">
        <f t="shared" si="150"/>
        <v>#N/A</v>
      </c>
    </row>
    <row r="979" spans="1:9">
      <c r="A979" t="s">
        <v>8862</v>
      </c>
      <c r="B979" t="s">
        <v>8737</v>
      </c>
      <c r="C979" t="s">
        <v>8444</v>
      </c>
      <c r="D979" t="s">
        <v>8445</v>
      </c>
      <c r="E979" t="s">
        <v>8598</v>
      </c>
      <c r="G979" t="str">
        <f t="shared" si="152"/>
        <v>CPU: Temperature is too low: &lt;{$TEMP_CRIT_LOW:"CPU"}</v>
      </c>
      <c r="H979" t="e">
        <f>INDEX('7.0.17'!G:G,MATCH(G979,'7.0.17'!F:F,0))</f>
        <v>#N/A</v>
      </c>
      <c r="I979" t="e">
        <f t="shared" si="150"/>
        <v>#N/A</v>
      </c>
    </row>
    <row r="980" spans="1:9">
      <c r="A980" t="s">
        <v>8862</v>
      </c>
      <c r="B980" t="s">
        <v>8867</v>
      </c>
      <c r="C980" t="s">
        <v>8439</v>
      </c>
      <c r="D980" t="s">
        <v>8440</v>
      </c>
      <c r="E980" t="s">
        <v>8868</v>
      </c>
      <c r="G980" t="str">
        <f t="shared" si="152"/>
        <v>Device: Temperature is above critical threshold: &gt;{$TEMP_CRIT:Device}</v>
      </c>
      <c r="H980" t="e">
        <f>INDEX('7.0.17'!G:G,MATCH(G980,'7.0.17'!F:F,0))</f>
        <v>#N/A</v>
      </c>
      <c r="I980" t="e">
        <f t="shared" si="150"/>
        <v>#N/A</v>
      </c>
    </row>
    <row r="981" spans="1:9">
      <c r="A981" t="s">
        <v>8862</v>
      </c>
      <c r="B981" t="s">
        <v>8867</v>
      </c>
      <c r="C981" t="s">
        <v>8442</v>
      </c>
      <c r="D981" t="s">
        <v>8443</v>
      </c>
      <c r="E981" t="s">
        <v>8868</v>
      </c>
      <c r="G981" t="str">
        <f t="shared" si="152"/>
        <v>Device: Temperature is above warning threshold: &gt;{$TEMP_WARN:Device}</v>
      </c>
      <c r="H981" t="e">
        <f>INDEX('7.0.17'!G:G,MATCH(G981,'7.0.17'!F:F,0))</f>
        <v>#N/A</v>
      </c>
      <c r="I981" t="e">
        <f t="shared" si="150"/>
        <v>#N/A</v>
      </c>
    </row>
    <row r="982" spans="1:9">
      <c r="A982" t="s">
        <v>8862</v>
      </c>
      <c r="B982" t="s">
        <v>8867</v>
      </c>
      <c r="C982" t="s">
        <v>8444</v>
      </c>
      <c r="D982" t="s">
        <v>8445</v>
      </c>
      <c r="E982" t="s">
        <v>8868</v>
      </c>
      <c r="G982" t="str">
        <f t="shared" si="152"/>
        <v>Device: Temperature is too low: &lt;{$TEMP_CRIT_LOW:Device}</v>
      </c>
      <c r="H982" t="e">
        <f>INDEX('7.0.17'!G:G,MATCH(G982,'7.0.17'!F:F,0))</f>
        <v>#N/A</v>
      </c>
      <c r="I982" t="e">
        <f t="shared" si="150"/>
        <v>#N/A</v>
      </c>
    </row>
    <row r="983" spans="1:9">
      <c r="A983" t="s">
        <v>8862</v>
      </c>
      <c r="B983" t="s">
        <v>8564</v>
      </c>
      <c r="C983" t="s">
        <v>8565</v>
      </c>
      <c r="G983" t="str">
        <f t="shared" ref="G983:G989" si="153">B983&amp;":"&amp;C983</f>
        <v>#{#SNMPINDEX}: High CPU utilization (over {$CPU.UTIL.CRIT}% for 5m)</v>
      </c>
      <c r="H983" t="e">
        <f>INDEX('7.0.17'!G:G,MATCH(G983,'7.0.17'!F:F,0))</f>
        <v>#N/A</v>
      </c>
      <c r="I983" t="e">
        <f t="shared" si="150"/>
        <v>#N/A</v>
      </c>
    </row>
    <row r="984" spans="1:9">
      <c r="A984" t="s">
        <v>8862</v>
      </c>
      <c r="B984" t="s">
        <v>8869</v>
      </c>
      <c r="C984" t="s">
        <v>8512</v>
      </c>
      <c r="D984" t="s">
        <v>8870</v>
      </c>
      <c r="G984" t="str">
        <f>B984&amp;":"&amp;C984&amp;":"&amp;D984</f>
        <v>Disk-{#SNMPINDEX}: Disk space is critically low (used &gt; {$VFS.FS.PUSED.MAX.CRIT:Disk-"{#SNMPINDEX}"}%)</v>
      </c>
      <c r="H984" t="e">
        <f>INDEX('7.0.17'!G:G,MATCH(G984,'7.0.17'!F:F,0))</f>
        <v>#N/A</v>
      </c>
      <c r="I984" t="e">
        <f t="shared" si="150"/>
        <v>#N/A</v>
      </c>
    </row>
    <row r="985" spans="1:9">
      <c r="A985" t="s">
        <v>8862</v>
      </c>
      <c r="B985" t="s">
        <v>8869</v>
      </c>
      <c r="C985" t="s">
        <v>8513</v>
      </c>
      <c r="D985" t="s">
        <v>8870</v>
      </c>
      <c r="G985" t="str">
        <f>B985&amp;":"&amp;C985&amp;":"&amp;D985</f>
        <v>Disk-{#SNMPINDEX}: Disk space is low (used &gt; {$VFS.FS.PUSED.MAX.WARN:Disk-"{#SNMPINDEX}"}%)</v>
      </c>
      <c r="H985" t="e">
        <f>INDEX('7.0.17'!G:G,MATCH(G985,'7.0.17'!F:F,0))</f>
        <v>#N/A</v>
      </c>
      <c r="I985" t="e">
        <f t="shared" si="150"/>
        <v>#N/A</v>
      </c>
    </row>
    <row r="986" spans="1:9">
      <c r="A986" t="s">
        <v>8862</v>
      </c>
      <c r="B986" t="s">
        <v>8433</v>
      </c>
      <c r="C986" t="s">
        <v>8863</v>
      </c>
      <c r="G986" t="str">
        <f t="shared" si="153"/>
        <v>Interface {#IFNAME}({#IFALIAS}): LTE modem RSRP is low (below {$LTEMODEM.RSRP.MIN.WARN}dbm for 5m)</v>
      </c>
      <c r="H986" t="e">
        <f>INDEX('7.0.17'!G:G,MATCH(G986,'7.0.17'!F:F,0))</f>
        <v>#N/A</v>
      </c>
      <c r="I986" t="e">
        <f t="shared" si="150"/>
        <v>#N/A</v>
      </c>
    </row>
    <row r="987" spans="1:9">
      <c r="A987" t="s">
        <v>8862</v>
      </c>
      <c r="B987" t="s">
        <v>8433</v>
      </c>
      <c r="C987" t="s">
        <v>8864</v>
      </c>
      <c r="G987" t="str">
        <f t="shared" si="153"/>
        <v>Interface {#IFNAME}({#IFALIAS}): LTE modem RSRQ is low (below {$LTEMODEM.RSRQ.MIN.WARN}db for 5m)</v>
      </c>
      <c r="H987" t="e">
        <f>INDEX('7.0.17'!G:G,MATCH(G987,'7.0.17'!F:F,0))</f>
        <v>#N/A</v>
      </c>
      <c r="I987" t="e">
        <f t="shared" si="150"/>
        <v>#N/A</v>
      </c>
    </row>
    <row r="988" spans="1:9">
      <c r="A988" t="s">
        <v>8862</v>
      </c>
      <c r="B988" t="s">
        <v>8433</v>
      </c>
      <c r="C988" t="s">
        <v>8865</v>
      </c>
      <c r="G988" t="str">
        <f t="shared" si="153"/>
        <v>Interface {#IFNAME}({#IFALIAS}): LTE modem RSSI is low (below {$LTEMODEM.RSSI.MIN.WARN}dbm for 5m)</v>
      </c>
      <c r="H988" t="e">
        <f>INDEX('7.0.17'!G:G,MATCH(G988,'7.0.17'!F:F,0))</f>
        <v>#N/A</v>
      </c>
      <c r="I988" t="e">
        <f t="shared" si="150"/>
        <v>#N/A</v>
      </c>
    </row>
    <row r="989" spans="1:9">
      <c r="A989" t="s">
        <v>8862</v>
      </c>
      <c r="B989" t="s">
        <v>8433</v>
      </c>
      <c r="C989" t="s">
        <v>8866</v>
      </c>
      <c r="G989" t="str">
        <f t="shared" si="153"/>
        <v>Interface {#IFNAME}({#IFALIAS}): LTE modem SINR is low (below {$LTEMODEM.SINR.MIN.WARN}db for 5m)</v>
      </c>
      <c r="H989" t="e">
        <f>INDEX('7.0.17'!G:G,MATCH(G989,'7.0.17'!F:F,0))</f>
        <v>#N/A</v>
      </c>
      <c r="I989" t="e">
        <f t="shared" si="150"/>
        <v>#N/A</v>
      </c>
    </row>
    <row r="990" spans="1:9">
      <c r="A990" t="s">
        <v>8862</v>
      </c>
      <c r="B990" t="s">
        <v>8433</v>
      </c>
      <c r="C990" t="s">
        <v>8434</v>
      </c>
      <c r="D990" t="s">
        <v>8435</v>
      </c>
      <c r="G990" t="str">
        <f>B990&amp;":"&amp;C990&amp;":"&amp;D990</f>
        <v>Interface {#IFNAME}({#IFALIAS}): High error rate (&gt;{$IF.ERRORS.WARN:{#IFNAME}} for 5m)</v>
      </c>
      <c r="H990" t="e">
        <f>INDEX('7.0.17'!G:G,MATCH(G990,'7.0.17'!F:F,0))</f>
        <v>#N/A</v>
      </c>
      <c r="I990" t="e">
        <f t="shared" si="150"/>
        <v>#N/A</v>
      </c>
    </row>
    <row r="991" spans="1:9">
      <c r="A991" t="s">
        <v>8862</v>
      </c>
      <c r="B991" t="s">
        <v>8433</v>
      </c>
      <c r="C991" t="s">
        <v>8436</v>
      </c>
      <c r="D991" t="s">
        <v>8437</v>
      </c>
      <c r="G991" t="str">
        <f>B991&amp;":"&amp;C991&amp;":"&amp;D991</f>
        <v>Interface {#IFNAME}({#IFALIAS}): High bandwidth usage (&gt;{$IF.UTIL.MAX:{#IFNAME}}%)</v>
      </c>
      <c r="H991" t="e">
        <f>INDEX('7.0.17'!G:G,MATCH(G991,'7.0.17'!F:F,0))</f>
        <v>#N/A</v>
      </c>
      <c r="I991" t="e">
        <f t="shared" si="150"/>
        <v>#N/A</v>
      </c>
    </row>
    <row r="992" spans="1:9">
      <c r="A992" t="s">
        <v>8862</v>
      </c>
      <c r="B992" t="s">
        <v>8737</v>
      </c>
      <c r="C992" t="s">
        <v>8439</v>
      </c>
      <c r="D992" t="s">
        <v>8440</v>
      </c>
      <c r="E992" t="s">
        <v>8598</v>
      </c>
      <c r="G992" t="str">
        <f t="shared" ref="G992:G997" si="154">B992&amp;":"&amp;C992&amp;":"&amp;D992&amp;":"&amp;E992</f>
        <v>CPU: Temperature is above critical threshold: &gt;{$TEMP_CRIT:"CPU"}</v>
      </c>
      <c r="H992" t="e">
        <f>INDEX('7.0.17'!G:G,MATCH(G992,'7.0.17'!F:F,0))</f>
        <v>#N/A</v>
      </c>
      <c r="I992" t="e">
        <f t="shared" si="150"/>
        <v>#N/A</v>
      </c>
    </row>
    <row r="993" spans="1:9">
      <c r="A993" t="s">
        <v>8862</v>
      </c>
      <c r="B993" t="s">
        <v>8737</v>
      </c>
      <c r="C993" t="s">
        <v>8442</v>
      </c>
      <c r="D993" t="s">
        <v>8443</v>
      </c>
      <c r="E993" t="s">
        <v>8598</v>
      </c>
      <c r="G993" t="str">
        <f t="shared" si="154"/>
        <v>CPU: Temperature is above warning threshold: &gt;{$TEMP_WARN:"CPU"}</v>
      </c>
      <c r="H993" t="e">
        <f>INDEX('7.0.17'!G:G,MATCH(G993,'7.0.17'!F:F,0))</f>
        <v>#N/A</v>
      </c>
      <c r="I993" t="e">
        <f t="shared" si="150"/>
        <v>#N/A</v>
      </c>
    </row>
    <row r="994" spans="1:9">
      <c r="A994" t="s">
        <v>8862</v>
      </c>
      <c r="B994" t="s">
        <v>8737</v>
      </c>
      <c r="C994" t="s">
        <v>8444</v>
      </c>
      <c r="D994" t="s">
        <v>8445</v>
      </c>
      <c r="E994" t="s">
        <v>8598</v>
      </c>
      <c r="G994" t="str">
        <f t="shared" si="154"/>
        <v>CPU: Temperature is too low: &lt;{$TEMP_CRIT_LOW:"CPU"}</v>
      </c>
      <c r="H994" t="e">
        <f>INDEX('7.0.17'!G:G,MATCH(G994,'7.0.17'!F:F,0))</f>
        <v>#N/A</v>
      </c>
      <c r="I994" t="e">
        <f t="shared" si="150"/>
        <v>#N/A</v>
      </c>
    </row>
    <row r="995" spans="1:9">
      <c r="A995" t="s">
        <v>8862</v>
      </c>
      <c r="B995" t="s">
        <v>8867</v>
      </c>
      <c r="C995" t="s">
        <v>8439</v>
      </c>
      <c r="D995" t="s">
        <v>8440</v>
      </c>
      <c r="E995" t="s">
        <v>8868</v>
      </c>
      <c r="G995" t="str">
        <f t="shared" si="154"/>
        <v>Device: Temperature is above critical threshold: &gt;{$TEMP_CRIT:Device}</v>
      </c>
      <c r="H995" t="e">
        <f>INDEX('7.0.17'!G:G,MATCH(G995,'7.0.17'!F:F,0))</f>
        <v>#N/A</v>
      </c>
      <c r="I995" t="e">
        <f t="shared" si="150"/>
        <v>#N/A</v>
      </c>
    </row>
    <row r="996" spans="1:9">
      <c r="A996" t="s">
        <v>8862</v>
      </c>
      <c r="B996" t="s">
        <v>8867</v>
      </c>
      <c r="C996" t="s">
        <v>8442</v>
      </c>
      <c r="D996" t="s">
        <v>8443</v>
      </c>
      <c r="E996" t="s">
        <v>8868</v>
      </c>
      <c r="G996" t="str">
        <f t="shared" si="154"/>
        <v>Device: Temperature is above warning threshold: &gt;{$TEMP_WARN:Device}</v>
      </c>
      <c r="H996" t="e">
        <f>INDEX('7.0.17'!G:G,MATCH(G996,'7.0.17'!F:F,0))</f>
        <v>#N/A</v>
      </c>
      <c r="I996" t="e">
        <f t="shared" si="150"/>
        <v>#N/A</v>
      </c>
    </row>
    <row r="997" spans="1:9">
      <c r="A997" t="s">
        <v>8862</v>
      </c>
      <c r="B997" t="s">
        <v>8867</v>
      </c>
      <c r="C997" t="s">
        <v>8444</v>
      </c>
      <c r="D997" t="s">
        <v>8445</v>
      </c>
      <c r="E997" t="s">
        <v>8868</v>
      </c>
      <c r="G997" t="str">
        <f t="shared" si="154"/>
        <v>Device: Temperature is too low: &lt;{$TEMP_CRIT_LOW:Device}</v>
      </c>
      <c r="H997" t="e">
        <f>INDEX('7.0.17'!G:G,MATCH(G997,'7.0.17'!F:F,0))</f>
        <v>#N/A</v>
      </c>
      <c r="I997" t="e">
        <f t="shared" si="150"/>
        <v>#N/A</v>
      </c>
    </row>
    <row r="998" spans="1:9">
      <c r="A998" t="s">
        <v>8862</v>
      </c>
      <c r="B998" t="s">
        <v>8564</v>
      </c>
      <c r="C998" t="s">
        <v>8565</v>
      </c>
      <c r="G998" t="str">
        <f t="shared" ref="G998:G1004" si="155">B998&amp;":"&amp;C998</f>
        <v>#{#SNMPINDEX}: High CPU utilization (over {$CPU.UTIL.CRIT}% for 5m)</v>
      </c>
      <c r="H998" t="e">
        <f>INDEX('7.0.17'!G:G,MATCH(G998,'7.0.17'!F:F,0))</f>
        <v>#N/A</v>
      </c>
      <c r="I998" t="e">
        <f t="shared" si="150"/>
        <v>#N/A</v>
      </c>
    </row>
    <row r="999" spans="1:9">
      <c r="A999" t="s">
        <v>8862</v>
      </c>
      <c r="B999" t="s">
        <v>8869</v>
      </c>
      <c r="C999" t="s">
        <v>8512</v>
      </c>
      <c r="D999" t="s">
        <v>8870</v>
      </c>
      <c r="G999" t="str">
        <f>B999&amp;":"&amp;C999&amp;":"&amp;D999</f>
        <v>Disk-{#SNMPINDEX}: Disk space is critically low (used &gt; {$VFS.FS.PUSED.MAX.CRIT:Disk-"{#SNMPINDEX}"}%)</v>
      </c>
      <c r="H999" t="e">
        <f>INDEX('7.0.17'!G:G,MATCH(G999,'7.0.17'!F:F,0))</f>
        <v>#N/A</v>
      </c>
      <c r="I999" t="e">
        <f t="shared" si="150"/>
        <v>#N/A</v>
      </c>
    </row>
    <row r="1000" spans="1:9">
      <c r="A1000" t="s">
        <v>8862</v>
      </c>
      <c r="B1000" t="s">
        <v>8869</v>
      </c>
      <c r="C1000" t="s">
        <v>8513</v>
      </c>
      <c r="D1000" t="s">
        <v>8870</v>
      </c>
      <c r="G1000" t="str">
        <f>B1000&amp;":"&amp;C1000&amp;":"&amp;D1000</f>
        <v>Disk-{#SNMPINDEX}: Disk space is low (used &gt; {$VFS.FS.PUSED.MAX.WARN:Disk-"{#SNMPINDEX}"}%)</v>
      </c>
      <c r="H1000" t="e">
        <f>INDEX('7.0.17'!G:G,MATCH(G1000,'7.0.17'!F:F,0))</f>
        <v>#N/A</v>
      </c>
      <c r="I1000" t="e">
        <f t="shared" si="150"/>
        <v>#N/A</v>
      </c>
    </row>
    <row r="1001" spans="1:9">
      <c r="A1001" t="s">
        <v>8862</v>
      </c>
      <c r="B1001" t="s">
        <v>8433</v>
      </c>
      <c r="C1001" t="s">
        <v>8863</v>
      </c>
      <c r="G1001" t="str">
        <f t="shared" si="155"/>
        <v>Interface {#IFNAME}({#IFALIAS}): LTE modem RSRP is low (below {$LTEMODEM.RSRP.MIN.WARN}dbm for 5m)</v>
      </c>
      <c r="H1001" t="e">
        <f>INDEX('7.0.17'!G:G,MATCH(G1001,'7.0.17'!F:F,0))</f>
        <v>#N/A</v>
      </c>
      <c r="I1001" t="e">
        <f t="shared" si="150"/>
        <v>#N/A</v>
      </c>
    </row>
    <row r="1002" spans="1:9">
      <c r="A1002" t="s">
        <v>8862</v>
      </c>
      <c r="B1002" t="s">
        <v>8433</v>
      </c>
      <c r="C1002" t="s">
        <v>8864</v>
      </c>
      <c r="G1002" t="str">
        <f t="shared" si="155"/>
        <v>Interface {#IFNAME}({#IFALIAS}): LTE modem RSRQ is low (below {$LTEMODEM.RSRQ.MIN.WARN}db for 5m)</v>
      </c>
      <c r="H1002" t="e">
        <f>INDEX('7.0.17'!G:G,MATCH(G1002,'7.0.17'!F:F,0))</f>
        <v>#N/A</v>
      </c>
      <c r="I1002" t="e">
        <f t="shared" si="150"/>
        <v>#N/A</v>
      </c>
    </row>
    <row r="1003" spans="1:9">
      <c r="A1003" t="s">
        <v>8862</v>
      </c>
      <c r="B1003" t="s">
        <v>8433</v>
      </c>
      <c r="C1003" t="s">
        <v>8865</v>
      </c>
      <c r="G1003" t="str">
        <f t="shared" si="155"/>
        <v>Interface {#IFNAME}({#IFALIAS}): LTE modem RSSI is low (below {$LTEMODEM.RSSI.MIN.WARN}dbm for 5m)</v>
      </c>
      <c r="H1003" t="e">
        <f>INDEX('7.0.17'!G:G,MATCH(G1003,'7.0.17'!F:F,0))</f>
        <v>#N/A</v>
      </c>
      <c r="I1003" t="e">
        <f t="shared" si="150"/>
        <v>#N/A</v>
      </c>
    </row>
    <row r="1004" spans="1:9">
      <c r="A1004" t="s">
        <v>8862</v>
      </c>
      <c r="B1004" t="s">
        <v>8433</v>
      </c>
      <c r="C1004" t="s">
        <v>8866</v>
      </c>
      <c r="G1004" t="str">
        <f t="shared" si="155"/>
        <v>Interface {#IFNAME}({#IFALIAS}): LTE modem SINR is low (below {$LTEMODEM.SINR.MIN.WARN}db for 5m)</v>
      </c>
      <c r="H1004" t="e">
        <f>INDEX('7.0.17'!G:G,MATCH(G1004,'7.0.17'!F:F,0))</f>
        <v>#N/A</v>
      </c>
      <c r="I1004" t="e">
        <f t="shared" si="150"/>
        <v>#N/A</v>
      </c>
    </row>
    <row r="1005" spans="1:9">
      <c r="A1005" t="s">
        <v>8862</v>
      </c>
      <c r="B1005" t="s">
        <v>8433</v>
      </c>
      <c r="C1005" t="s">
        <v>8434</v>
      </c>
      <c r="D1005" t="s">
        <v>8435</v>
      </c>
      <c r="G1005" t="str">
        <f>B1005&amp;":"&amp;C1005&amp;":"&amp;D1005</f>
        <v>Interface {#IFNAME}({#IFALIAS}): High error rate (&gt;{$IF.ERRORS.WARN:{#IFNAME}} for 5m)</v>
      </c>
      <c r="H1005" t="e">
        <f>INDEX('7.0.17'!G:G,MATCH(G1005,'7.0.17'!F:F,0))</f>
        <v>#N/A</v>
      </c>
      <c r="I1005" t="e">
        <f t="shared" si="150"/>
        <v>#N/A</v>
      </c>
    </row>
    <row r="1006" spans="1:9">
      <c r="A1006" t="s">
        <v>8862</v>
      </c>
      <c r="B1006" t="s">
        <v>8433</v>
      </c>
      <c r="C1006" t="s">
        <v>8436</v>
      </c>
      <c r="D1006" t="s">
        <v>8437</v>
      </c>
      <c r="G1006" t="str">
        <f>B1006&amp;":"&amp;C1006&amp;":"&amp;D1006</f>
        <v>Interface {#IFNAME}({#IFALIAS}): High bandwidth usage (&gt;{$IF.UTIL.MAX:{#IFNAME}}%)</v>
      </c>
      <c r="H1006" t="e">
        <f>INDEX('7.0.17'!G:G,MATCH(G1006,'7.0.17'!F:F,0))</f>
        <v>#N/A</v>
      </c>
      <c r="I1006" t="e">
        <f t="shared" si="150"/>
        <v>#N/A</v>
      </c>
    </row>
    <row r="1007" spans="1:9">
      <c r="A1007" t="s">
        <v>8862</v>
      </c>
      <c r="B1007" t="s">
        <v>8737</v>
      </c>
      <c r="C1007" t="s">
        <v>8439</v>
      </c>
      <c r="D1007" t="s">
        <v>8440</v>
      </c>
      <c r="E1007" t="s">
        <v>8598</v>
      </c>
      <c r="G1007" t="str">
        <f t="shared" ref="G1007:G1012" si="156">B1007&amp;":"&amp;C1007&amp;":"&amp;D1007&amp;":"&amp;E1007</f>
        <v>CPU: Temperature is above critical threshold: &gt;{$TEMP_CRIT:"CPU"}</v>
      </c>
      <c r="H1007" t="e">
        <f>INDEX('7.0.17'!G:G,MATCH(G1007,'7.0.17'!F:F,0))</f>
        <v>#N/A</v>
      </c>
      <c r="I1007" t="e">
        <f t="shared" si="150"/>
        <v>#N/A</v>
      </c>
    </row>
    <row r="1008" spans="1:9">
      <c r="A1008" t="s">
        <v>8862</v>
      </c>
      <c r="B1008" t="s">
        <v>8737</v>
      </c>
      <c r="C1008" t="s">
        <v>8442</v>
      </c>
      <c r="D1008" t="s">
        <v>8443</v>
      </c>
      <c r="E1008" t="s">
        <v>8598</v>
      </c>
      <c r="G1008" t="str">
        <f t="shared" si="156"/>
        <v>CPU: Temperature is above warning threshold: &gt;{$TEMP_WARN:"CPU"}</v>
      </c>
      <c r="H1008" t="e">
        <f>INDEX('7.0.17'!G:G,MATCH(G1008,'7.0.17'!F:F,0))</f>
        <v>#N/A</v>
      </c>
      <c r="I1008" t="e">
        <f t="shared" si="150"/>
        <v>#N/A</v>
      </c>
    </row>
    <row r="1009" spans="1:9">
      <c r="A1009" t="s">
        <v>8862</v>
      </c>
      <c r="B1009" t="s">
        <v>8737</v>
      </c>
      <c r="C1009" t="s">
        <v>8444</v>
      </c>
      <c r="D1009" t="s">
        <v>8445</v>
      </c>
      <c r="E1009" t="s">
        <v>8598</v>
      </c>
      <c r="G1009" t="str">
        <f t="shared" si="156"/>
        <v>CPU: Temperature is too low: &lt;{$TEMP_CRIT_LOW:"CPU"}</v>
      </c>
      <c r="H1009" t="e">
        <f>INDEX('7.0.17'!G:G,MATCH(G1009,'7.0.17'!F:F,0))</f>
        <v>#N/A</v>
      </c>
      <c r="I1009" t="e">
        <f t="shared" si="150"/>
        <v>#N/A</v>
      </c>
    </row>
    <row r="1010" spans="1:9">
      <c r="A1010" t="s">
        <v>8862</v>
      </c>
      <c r="B1010" t="s">
        <v>8867</v>
      </c>
      <c r="C1010" t="s">
        <v>8439</v>
      </c>
      <c r="D1010" t="s">
        <v>8440</v>
      </c>
      <c r="E1010" t="s">
        <v>8868</v>
      </c>
      <c r="G1010" t="str">
        <f t="shared" si="156"/>
        <v>Device: Temperature is above critical threshold: &gt;{$TEMP_CRIT:Device}</v>
      </c>
      <c r="H1010" t="e">
        <f>INDEX('7.0.17'!G:G,MATCH(G1010,'7.0.17'!F:F,0))</f>
        <v>#N/A</v>
      </c>
      <c r="I1010" t="e">
        <f t="shared" si="150"/>
        <v>#N/A</v>
      </c>
    </row>
    <row r="1011" spans="1:9">
      <c r="A1011" t="s">
        <v>8862</v>
      </c>
      <c r="B1011" t="s">
        <v>8867</v>
      </c>
      <c r="C1011" t="s">
        <v>8442</v>
      </c>
      <c r="D1011" t="s">
        <v>8443</v>
      </c>
      <c r="E1011" t="s">
        <v>8868</v>
      </c>
      <c r="G1011" t="str">
        <f t="shared" si="156"/>
        <v>Device: Temperature is above warning threshold: &gt;{$TEMP_WARN:Device}</v>
      </c>
      <c r="H1011" t="e">
        <f>INDEX('7.0.17'!G:G,MATCH(G1011,'7.0.17'!F:F,0))</f>
        <v>#N/A</v>
      </c>
      <c r="I1011" t="e">
        <f t="shared" si="150"/>
        <v>#N/A</v>
      </c>
    </row>
    <row r="1012" spans="1:9">
      <c r="A1012" t="s">
        <v>8862</v>
      </c>
      <c r="B1012" t="s">
        <v>8867</v>
      </c>
      <c r="C1012" t="s">
        <v>8444</v>
      </c>
      <c r="D1012" t="s">
        <v>8445</v>
      </c>
      <c r="E1012" t="s">
        <v>8868</v>
      </c>
      <c r="G1012" t="str">
        <f t="shared" si="156"/>
        <v>Device: Temperature is too low: &lt;{$TEMP_CRIT_LOW:Device}</v>
      </c>
      <c r="H1012" t="e">
        <f>INDEX('7.0.17'!G:G,MATCH(G1012,'7.0.17'!F:F,0))</f>
        <v>#N/A</v>
      </c>
      <c r="I1012" t="e">
        <f t="shared" si="150"/>
        <v>#N/A</v>
      </c>
    </row>
    <row r="1013" spans="1:9">
      <c r="A1013" t="s">
        <v>8862</v>
      </c>
      <c r="B1013" t="s">
        <v>8564</v>
      </c>
      <c r="C1013" t="s">
        <v>8565</v>
      </c>
      <c r="G1013" t="str">
        <f t="shared" ref="G1013:G1019" si="157">B1013&amp;":"&amp;C1013</f>
        <v>#{#SNMPINDEX}: High CPU utilization (over {$CPU.UTIL.CRIT}% for 5m)</v>
      </c>
      <c r="H1013" t="e">
        <f>INDEX('7.0.17'!G:G,MATCH(G1013,'7.0.17'!F:F,0))</f>
        <v>#N/A</v>
      </c>
      <c r="I1013" t="e">
        <f t="shared" si="150"/>
        <v>#N/A</v>
      </c>
    </row>
    <row r="1014" spans="1:9">
      <c r="A1014" t="s">
        <v>8862</v>
      </c>
      <c r="B1014" t="s">
        <v>8869</v>
      </c>
      <c r="C1014" t="s">
        <v>8512</v>
      </c>
      <c r="D1014" t="s">
        <v>8870</v>
      </c>
      <c r="G1014" t="str">
        <f>B1014&amp;":"&amp;C1014&amp;":"&amp;D1014</f>
        <v>Disk-{#SNMPINDEX}: Disk space is critically low (used &gt; {$VFS.FS.PUSED.MAX.CRIT:Disk-"{#SNMPINDEX}"}%)</v>
      </c>
      <c r="H1014" t="e">
        <f>INDEX('7.0.17'!G:G,MATCH(G1014,'7.0.17'!F:F,0))</f>
        <v>#N/A</v>
      </c>
      <c r="I1014" t="e">
        <f t="shared" si="150"/>
        <v>#N/A</v>
      </c>
    </row>
    <row r="1015" spans="1:9">
      <c r="A1015" t="s">
        <v>8862</v>
      </c>
      <c r="B1015" t="s">
        <v>8869</v>
      </c>
      <c r="C1015" t="s">
        <v>8513</v>
      </c>
      <c r="D1015" t="s">
        <v>8870</v>
      </c>
      <c r="G1015" t="str">
        <f>B1015&amp;":"&amp;C1015&amp;":"&amp;D1015</f>
        <v>Disk-{#SNMPINDEX}: Disk space is low (used &gt; {$VFS.FS.PUSED.MAX.WARN:Disk-"{#SNMPINDEX}"}%)</v>
      </c>
      <c r="H1015" t="e">
        <f>INDEX('7.0.17'!G:G,MATCH(G1015,'7.0.17'!F:F,0))</f>
        <v>#N/A</v>
      </c>
      <c r="I1015" t="e">
        <f t="shared" si="150"/>
        <v>#N/A</v>
      </c>
    </row>
    <row r="1016" spans="1:9">
      <c r="A1016" t="s">
        <v>8862</v>
      </c>
      <c r="B1016" t="s">
        <v>8433</v>
      </c>
      <c r="C1016" t="s">
        <v>8863</v>
      </c>
      <c r="G1016" t="str">
        <f t="shared" si="157"/>
        <v>Interface {#IFNAME}({#IFALIAS}): LTE modem RSRP is low (below {$LTEMODEM.RSRP.MIN.WARN}dbm for 5m)</v>
      </c>
      <c r="H1016" t="e">
        <f>INDEX('7.0.17'!G:G,MATCH(G1016,'7.0.17'!F:F,0))</f>
        <v>#N/A</v>
      </c>
      <c r="I1016" t="e">
        <f t="shared" si="150"/>
        <v>#N/A</v>
      </c>
    </row>
    <row r="1017" spans="1:9">
      <c r="A1017" t="s">
        <v>8862</v>
      </c>
      <c r="B1017" t="s">
        <v>8433</v>
      </c>
      <c r="C1017" t="s">
        <v>8864</v>
      </c>
      <c r="G1017" t="str">
        <f t="shared" si="157"/>
        <v>Interface {#IFNAME}({#IFALIAS}): LTE modem RSRQ is low (below {$LTEMODEM.RSRQ.MIN.WARN}db for 5m)</v>
      </c>
      <c r="H1017" t="e">
        <f>INDEX('7.0.17'!G:G,MATCH(G1017,'7.0.17'!F:F,0))</f>
        <v>#N/A</v>
      </c>
      <c r="I1017" t="e">
        <f t="shared" si="150"/>
        <v>#N/A</v>
      </c>
    </row>
    <row r="1018" spans="1:9">
      <c r="A1018" t="s">
        <v>8862</v>
      </c>
      <c r="B1018" t="s">
        <v>8433</v>
      </c>
      <c r="C1018" t="s">
        <v>8865</v>
      </c>
      <c r="G1018" t="str">
        <f t="shared" si="157"/>
        <v>Interface {#IFNAME}({#IFALIAS}): LTE modem RSSI is low (below {$LTEMODEM.RSSI.MIN.WARN}dbm for 5m)</v>
      </c>
      <c r="H1018" t="e">
        <f>INDEX('7.0.17'!G:G,MATCH(G1018,'7.0.17'!F:F,0))</f>
        <v>#N/A</v>
      </c>
      <c r="I1018" t="e">
        <f t="shared" si="150"/>
        <v>#N/A</v>
      </c>
    </row>
    <row r="1019" spans="1:9">
      <c r="A1019" t="s">
        <v>8862</v>
      </c>
      <c r="B1019" t="s">
        <v>8433</v>
      </c>
      <c r="C1019" t="s">
        <v>8866</v>
      </c>
      <c r="G1019" t="str">
        <f t="shared" si="157"/>
        <v>Interface {#IFNAME}({#IFALIAS}): LTE modem SINR is low (below {$LTEMODEM.SINR.MIN.WARN}db for 5m)</v>
      </c>
      <c r="H1019" t="e">
        <f>INDEX('7.0.17'!G:G,MATCH(G1019,'7.0.17'!F:F,0))</f>
        <v>#N/A</v>
      </c>
      <c r="I1019" t="e">
        <f t="shared" si="150"/>
        <v>#N/A</v>
      </c>
    </row>
    <row r="1020" spans="1:9">
      <c r="A1020" t="s">
        <v>8862</v>
      </c>
      <c r="B1020" t="s">
        <v>8433</v>
      </c>
      <c r="C1020" t="s">
        <v>8434</v>
      </c>
      <c r="D1020" t="s">
        <v>8435</v>
      </c>
      <c r="G1020" t="str">
        <f>B1020&amp;":"&amp;C1020&amp;":"&amp;D1020</f>
        <v>Interface {#IFNAME}({#IFALIAS}): High error rate (&gt;{$IF.ERRORS.WARN:{#IFNAME}} for 5m)</v>
      </c>
      <c r="H1020" t="e">
        <f>INDEX('7.0.17'!G:G,MATCH(G1020,'7.0.17'!F:F,0))</f>
        <v>#N/A</v>
      </c>
      <c r="I1020" t="e">
        <f t="shared" si="150"/>
        <v>#N/A</v>
      </c>
    </row>
    <row r="1021" spans="1:9">
      <c r="A1021" t="s">
        <v>8862</v>
      </c>
      <c r="B1021" t="s">
        <v>8433</v>
      </c>
      <c r="C1021" t="s">
        <v>8436</v>
      </c>
      <c r="D1021" t="s">
        <v>8437</v>
      </c>
      <c r="G1021" t="str">
        <f>B1021&amp;":"&amp;C1021&amp;":"&amp;D1021</f>
        <v>Interface {#IFNAME}({#IFALIAS}): High bandwidth usage (&gt;{$IF.UTIL.MAX:{#IFNAME}}%)</v>
      </c>
      <c r="H1021" t="e">
        <f>INDEX('7.0.17'!G:G,MATCH(G1021,'7.0.17'!F:F,0))</f>
        <v>#N/A</v>
      </c>
      <c r="I1021" t="e">
        <f t="shared" si="150"/>
        <v>#N/A</v>
      </c>
    </row>
    <row r="1022" spans="1:9">
      <c r="A1022" t="s">
        <v>8862</v>
      </c>
      <c r="B1022" t="s">
        <v>8737</v>
      </c>
      <c r="C1022" t="s">
        <v>8439</v>
      </c>
      <c r="D1022" t="s">
        <v>8440</v>
      </c>
      <c r="E1022" t="s">
        <v>8598</v>
      </c>
      <c r="G1022" t="str">
        <f t="shared" ref="G1022:G1027" si="158">B1022&amp;":"&amp;C1022&amp;":"&amp;D1022&amp;":"&amp;E1022</f>
        <v>CPU: Temperature is above critical threshold: &gt;{$TEMP_CRIT:"CPU"}</v>
      </c>
      <c r="H1022" t="e">
        <f>INDEX('7.0.17'!G:G,MATCH(G1022,'7.0.17'!F:F,0))</f>
        <v>#N/A</v>
      </c>
      <c r="I1022" t="e">
        <f t="shared" si="150"/>
        <v>#N/A</v>
      </c>
    </row>
    <row r="1023" spans="1:9">
      <c r="A1023" t="s">
        <v>8862</v>
      </c>
      <c r="B1023" t="s">
        <v>8737</v>
      </c>
      <c r="C1023" t="s">
        <v>8442</v>
      </c>
      <c r="D1023" t="s">
        <v>8443</v>
      </c>
      <c r="E1023" t="s">
        <v>8598</v>
      </c>
      <c r="G1023" t="str">
        <f t="shared" si="158"/>
        <v>CPU: Temperature is above warning threshold: &gt;{$TEMP_WARN:"CPU"}</v>
      </c>
      <c r="H1023" t="e">
        <f>INDEX('7.0.17'!G:G,MATCH(G1023,'7.0.17'!F:F,0))</f>
        <v>#N/A</v>
      </c>
      <c r="I1023" t="e">
        <f t="shared" si="150"/>
        <v>#N/A</v>
      </c>
    </row>
    <row r="1024" spans="1:9">
      <c r="A1024" t="s">
        <v>8862</v>
      </c>
      <c r="B1024" t="s">
        <v>8737</v>
      </c>
      <c r="C1024" t="s">
        <v>8444</v>
      </c>
      <c r="D1024" t="s">
        <v>8445</v>
      </c>
      <c r="E1024" t="s">
        <v>8598</v>
      </c>
      <c r="G1024" t="str">
        <f t="shared" si="158"/>
        <v>CPU: Temperature is too low: &lt;{$TEMP_CRIT_LOW:"CPU"}</v>
      </c>
      <c r="H1024" t="e">
        <f>INDEX('7.0.17'!G:G,MATCH(G1024,'7.0.17'!F:F,0))</f>
        <v>#N/A</v>
      </c>
      <c r="I1024" t="e">
        <f t="shared" si="150"/>
        <v>#N/A</v>
      </c>
    </row>
    <row r="1025" spans="1:9">
      <c r="A1025" t="s">
        <v>8862</v>
      </c>
      <c r="B1025" t="s">
        <v>8867</v>
      </c>
      <c r="C1025" t="s">
        <v>8439</v>
      </c>
      <c r="D1025" t="s">
        <v>8440</v>
      </c>
      <c r="E1025" t="s">
        <v>8868</v>
      </c>
      <c r="G1025" t="str">
        <f t="shared" si="158"/>
        <v>Device: Temperature is above critical threshold: &gt;{$TEMP_CRIT:Device}</v>
      </c>
      <c r="H1025" t="e">
        <f>INDEX('7.0.17'!G:G,MATCH(G1025,'7.0.17'!F:F,0))</f>
        <v>#N/A</v>
      </c>
      <c r="I1025" t="e">
        <f t="shared" si="150"/>
        <v>#N/A</v>
      </c>
    </row>
    <row r="1026" spans="1:9">
      <c r="A1026" t="s">
        <v>8862</v>
      </c>
      <c r="B1026" t="s">
        <v>8867</v>
      </c>
      <c r="C1026" t="s">
        <v>8442</v>
      </c>
      <c r="D1026" t="s">
        <v>8443</v>
      </c>
      <c r="E1026" t="s">
        <v>8868</v>
      </c>
      <c r="G1026" t="str">
        <f t="shared" si="158"/>
        <v>Device: Temperature is above warning threshold: &gt;{$TEMP_WARN:Device}</v>
      </c>
      <c r="H1026" t="e">
        <f>INDEX('7.0.17'!G:G,MATCH(G1026,'7.0.17'!F:F,0))</f>
        <v>#N/A</v>
      </c>
      <c r="I1026" t="e">
        <f t="shared" si="150"/>
        <v>#N/A</v>
      </c>
    </row>
    <row r="1027" spans="1:9">
      <c r="A1027" t="s">
        <v>8862</v>
      </c>
      <c r="B1027" t="s">
        <v>8867</v>
      </c>
      <c r="C1027" t="s">
        <v>8444</v>
      </c>
      <c r="D1027" t="s">
        <v>8445</v>
      </c>
      <c r="E1027" t="s">
        <v>8868</v>
      </c>
      <c r="G1027" t="str">
        <f t="shared" si="158"/>
        <v>Device: Temperature is too low: &lt;{$TEMP_CRIT_LOW:Device}</v>
      </c>
      <c r="H1027" t="e">
        <f>INDEX('7.0.17'!G:G,MATCH(G1027,'7.0.17'!F:F,0))</f>
        <v>#N/A</v>
      </c>
      <c r="I1027" t="e">
        <f t="shared" ref="I1027:I1090" si="159">A1027&amp;": "&amp;H1027</f>
        <v>#N/A</v>
      </c>
    </row>
    <row r="1028" spans="1:9">
      <c r="A1028" t="s">
        <v>8862</v>
      </c>
      <c r="B1028" t="s">
        <v>8564</v>
      </c>
      <c r="C1028" t="s">
        <v>8565</v>
      </c>
      <c r="G1028" t="str">
        <f t="shared" ref="G1028:G1034" si="160">B1028&amp;":"&amp;C1028</f>
        <v>#{#SNMPINDEX}: High CPU utilization (over {$CPU.UTIL.CRIT}% for 5m)</v>
      </c>
      <c r="H1028" t="e">
        <f>INDEX('7.0.17'!G:G,MATCH(G1028,'7.0.17'!F:F,0))</f>
        <v>#N/A</v>
      </c>
      <c r="I1028" t="e">
        <f t="shared" si="159"/>
        <v>#N/A</v>
      </c>
    </row>
    <row r="1029" spans="1:9">
      <c r="A1029" t="s">
        <v>8862</v>
      </c>
      <c r="B1029" t="s">
        <v>8869</v>
      </c>
      <c r="C1029" t="s">
        <v>8512</v>
      </c>
      <c r="D1029" t="s">
        <v>8870</v>
      </c>
      <c r="G1029" t="str">
        <f>B1029&amp;":"&amp;C1029&amp;":"&amp;D1029</f>
        <v>Disk-{#SNMPINDEX}: Disk space is critically low (used &gt; {$VFS.FS.PUSED.MAX.CRIT:Disk-"{#SNMPINDEX}"}%)</v>
      </c>
      <c r="H1029" t="e">
        <f>INDEX('7.0.17'!G:G,MATCH(G1029,'7.0.17'!F:F,0))</f>
        <v>#N/A</v>
      </c>
      <c r="I1029" t="e">
        <f t="shared" si="159"/>
        <v>#N/A</v>
      </c>
    </row>
    <row r="1030" spans="1:9">
      <c r="A1030" t="s">
        <v>8862</v>
      </c>
      <c r="B1030" t="s">
        <v>8869</v>
      </c>
      <c r="C1030" t="s">
        <v>8513</v>
      </c>
      <c r="D1030" t="s">
        <v>8870</v>
      </c>
      <c r="G1030" t="str">
        <f>B1030&amp;":"&amp;C1030&amp;":"&amp;D1030</f>
        <v>Disk-{#SNMPINDEX}: Disk space is low (used &gt; {$VFS.FS.PUSED.MAX.WARN:Disk-"{#SNMPINDEX}"}%)</v>
      </c>
      <c r="H1030" t="e">
        <f>INDEX('7.0.17'!G:G,MATCH(G1030,'7.0.17'!F:F,0))</f>
        <v>#N/A</v>
      </c>
      <c r="I1030" t="e">
        <f t="shared" si="159"/>
        <v>#N/A</v>
      </c>
    </row>
    <row r="1031" spans="1:9">
      <c r="A1031" t="s">
        <v>8862</v>
      </c>
      <c r="B1031" t="s">
        <v>8433</v>
      </c>
      <c r="C1031" t="s">
        <v>8863</v>
      </c>
      <c r="G1031" t="str">
        <f t="shared" si="160"/>
        <v>Interface {#IFNAME}({#IFALIAS}): LTE modem RSRP is low (below {$LTEMODEM.RSRP.MIN.WARN}dbm for 5m)</v>
      </c>
      <c r="H1031" t="e">
        <f>INDEX('7.0.17'!G:G,MATCH(G1031,'7.0.17'!F:F,0))</f>
        <v>#N/A</v>
      </c>
      <c r="I1031" t="e">
        <f t="shared" si="159"/>
        <v>#N/A</v>
      </c>
    </row>
    <row r="1032" spans="1:9">
      <c r="A1032" t="s">
        <v>8862</v>
      </c>
      <c r="B1032" t="s">
        <v>8433</v>
      </c>
      <c r="C1032" t="s">
        <v>8864</v>
      </c>
      <c r="G1032" t="str">
        <f t="shared" si="160"/>
        <v>Interface {#IFNAME}({#IFALIAS}): LTE modem RSRQ is low (below {$LTEMODEM.RSRQ.MIN.WARN}db for 5m)</v>
      </c>
      <c r="H1032" t="e">
        <f>INDEX('7.0.17'!G:G,MATCH(G1032,'7.0.17'!F:F,0))</f>
        <v>#N/A</v>
      </c>
      <c r="I1032" t="e">
        <f t="shared" si="159"/>
        <v>#N/A</v>
      </c>
    </row>
    <row r="1033" spans="1:9">
      <c r="A1033" t="s">
        <v>8862</v>
      </c>
      <c r="B1033" t="s">
        <v>8433</v>
      </c>
      <c r="C1033" t="s">
        <v>8865</v>
      </c>
      <c r="G1033" t="str">
        <f t="shared" si="160"/>
        <v>Interface {#IFNAME}({#IFALIAS}): LTE modem RSSI is low (below {$LTEMODEM.RSSI.MIN.WARN}dbm for 5m)</v>
      </c>
      <c r="H1033" t="e">
        <f>INDEX('7.0.17'!G:G,MATCH(G1033,'7.0.17'!F:F,0))</f>
        <v>#N/A</v>
      </c>
      <c r="I1033" t="e">
        <f t="shared" si="159"/>
        <v>#N/A</v>
      </c>
    </row>
    <row r="1034" spans="1:9">
      <c r="A1034" t="s">
        <v>8862</v>
      </c>
      <c r="B1034" t="s">
        <v>8433</v>
      </c>
      <c r="C1034" t="s">
        <v>8866</v>
      </c>
      <c r="G1034" t="str">
        <f t="shared" si="160"/>
        <v>Interface {#IFNAME}({#IFALIAS}): LTE modem SINR is low (below {$LTEMODEM.SINR.MIN.WARN}db for 5m)</v>
      </c>
      <c r="H1034" t="e">
        <f>INDEX('7.0.17'!G:G,MATCH(G1034,'7.0.17'!F:F,0))</f>
        <v>#N/A</v>
      </c>
      <c r="I1034" t="e">
        <f t="shared" si="159"/>
        <v>#N/A</v>
      </c>
    </row>
    <row r="1035" spans="1:9">
      <c r="A1035" t="s">
        <v>8862</v>
      </c>
      <c r="B1035" t="s">
        <v>8433</v>
      </c>
      <c r="C1035" t="s">
        <v>8434</v>
      </c>
      <c r="D1035" t="s">
        <v>8435</v>
      </c>
      <c r="G1035" t="str">
        <f>B1035&amp;":"&amp;C1035&amp;":"&amp;D1035</f>
        <v>Interface {#IFNAME}({#IFALIAS}): High error rate (&gt;{$IF.ERRORS.WARN:{#IFNAME}} for 5m)</v>
      </c>
      <c r="H1035" t="e">
        <f>INDEX('7.0.17'!G:G,MATCH(G1035,'7.0.17'!F:F,0))</f>
        <v>#N/A</v>
      </c>
      <c r="I1035" t="e">
        <f t="shared" si="159"/>
        <v>#N/A</v>
      </c>
    </row>
    <row r="1036" spans="1:9">
      <c r="A1036" t="s">
        <v>8862</v>
      </c>
      <c r="B1036" t="s">
        <v>8433</v>
      </c>
      <c r="C1036" t="s">
        <v>8436</v>
      </c>
      <c r="D1036" t="s">
        <v>8437</v>
      </c>
      <c r="G1036" t="str">
        <f>B1036&amp;":"&amp;C1036&amp;":"&amp;D1036</f>
        <v>Interface {#IFNAME}({#IFALIAS}): High bandwidth usage (&gt;{$IF.UTIL.MAX:{#IFNAME}}%)</v>
      </c>
      <c r="H1036" t="e">
        <f>INDEX('7.0.17'!G:G,MATCH(G1036,'7.0.17'!F:F,0))</f>
        <v>#N/A</v>
      </c>
      <c r="I1036" t="e">
        <f t="shared" si="159"/>
        <v>#N/A</v>
      </c>
    </row>
    <row r="1037" spans="1:9">
      <c r="A1037" t="s">
        <v>8862</v>
      </c>
      <c r="B1037" t="s">
        <v>8737</v>
      </c>
      <c r="C1037" t="s">
        <v>8439</v>
      </c>
      <c r="D1037" t="s">
        <v>8440</v>
      </c>
      <c r="E1037" t="s">
        <v>8598</v>
      </c>
      <c r="G1037" t="str">
        <f t="shared" ref="G1037:G1042" si="161">B1037&amp;":"&amp;C1037&amp;":"&amp;D1037&amp;":"&amp;E1037</f>
        <v>CPU: Temperature is above critical threshold: &gt;{$TEMP_CRIT:"CPU"}</v>
      </c>
      <c r="H1037" t="e">
        <f>INDEX('7.0.17'!G:G,MATCH(G1037,'7.0.17'!F:F,0))</f>
        <v>#N/A</v>
      </c>
      <c r="I1037" t="e">
        <f t="shared" si="159"/>
        <v>#N/A</v>
      </c>
    </row>
    <row r="1038" spans="1:9">
      <c r="A1038" t="s">
        <v>8862</v>
      </c>
      <c r="B1038" t="s">
        <v>8737</v>
      </c>
      <c r="C1038" t="s">
        <v>8442</v>
      </c>
      <c r="D1038" t="s">
        <v>8443</v>
      </c>
      <c r="E1038" t="s">
        <v>8598</v>
      </c>
      <c r="G1038" t="str">
        <f t="shared" si="161"/>
        <v>CPU: Temperature is above warning threshold: &gt;{$TEMP_WARN:"CPU"}</v>
      </c>
      <c r="H1038" t="e">
        <f>INDEX('7.0.17'!G:G,MATCH(G1038,'7.0.17'!F:F,0))</f>
        <v>#N/A</v>
      </c>
      <c r="I1038" t="e">
        <f t="shared" si="159"/>
        <v>#N/A</v>
      </c>
    </row>
    <row r="1039" spans="1:9">
      <c r="A1039" t="s">
        <v>8862</v>
      </c>
      <c r="B1039" t="s">
        <v>8737</v>
      </c>
      <c r="C1039" t="s">
        <v>8444</v>
      </c>
      <c r="D1039" t="s">
        <v>8445</v>
      </c>
      <c r="E1039" t="s">
        <v>8598</v>
      </c>
      <c r="G1039" t="str">
        <f t="shared" si="161"/>
        <v>CPU: Temperature is too low: &lt;{$TEMP_CRIT_LOW:"CPU"}</v>
      </c>
      <c r="H1039" t="e">
        <f>INDEX('7.0.17'!G:G,MATCH(G1039,'7.0.17'!F:F,0))</f>
        <v>#N/A</v>
      </c>
      <c r="I1039" t="e">
        <f t="shared" si="159"/>
        <v>#N/A</v>
      </c>
    </row>
    <row r="1040" spans="1:9">
      <c r="A1040" t="s">
        <v>8862</v>
      </c>
      <c r="B1040" t="s">
        <v>8867</v>
      </c>
      <c r="C1040" t="s">
        <v>8439</v>
      </c>
      <c r="D1040" t="s">
        <v>8440</v>
      </c>
      <c r="E1040" t="s">
        <v>8868</v>
      </c>
      <c r="G1040" t="str">
        <f t="shared" si="161"/>
        <v>Device: Temperature is above critical threshold: &gt;{$TEMP_CRIT:Device}</v>
      </c>
      <c r="H1040" t="e">
        <f>INDEX('7.0.17'!G:G,MATCH(G1040,'7.0.17'!F:F,0))</f>
        <v>#N/A</v>
      </c>
      <c r="I1040" t="e">
        <f t="shared" si="159"/>
        <v>#N/A</v>
      </c>
    </row>
    <row r="1041" spans="1:9">
      <c r="A1041" t="s">
        <v>8862</v>
      </c>
      <c r="B1041" t="s">
        <v>8867</v>
      </c>
      <c r="C1041" t="s">
        <v>8442</v>
      </c>
      <c r="D1041" t="s">
        <v>8443</v>
      </c>
      <c r="E1041" t="s">
        <v>8868</v>
      </c>
      <c r="G1041" t="str">
        <f t="shared" si="161"/>
        <v>Device: Temperature is above warning threshold: &gt;{$TEMP_WARN:Device}</v>
      </c>
      <c r="H1041" t="e">
        <f>INDEX('7.0.17'!G:G,MATCH(G1041,'7.0.17'!F:F,0))</f>
        <v>#N/A</v>
      </c>
      <c r="I1041" t="e">
        <f t="shared" si="159"/>
        <v>#N/A</v>
      </c>
    </row>
    <row r="1042" spans="1:9">
      <c r="A1042" t="s">
        <v>8862</v>
      </c>
      <c r="B1042" t="s">
        <v>8867</v>
      </c>
      <c r="C1042" t="s">
        <v>8444</v>
      </c>
      <c r="D1042" t="s">
        <v>8445</v>
      </c>
      <c r="E1042" t="s">
        <v>8868</v>
      </c>
      <c r="G1042" t="str">
        <f t="shared" si="161"/>
        <v>Device: Temperature is too low: &lt;{$TEMP_CRIT_LOW:Device}</v>
      </c>
      <c r="H1042" t="e">
        <f>INDEX('7.0.17'!G:G,MATCH(G1042,'7.0.17'!F:F,0))</f>
        <v>#N/A</v>
      </c>
      <c r="I1042" t="e">
        <f t="shared" si="159"/>
        <v>#N/A</v>
      </c>
    </row>
    <row r="1043" spans="1:9">
      <c r="A1043" t="s">
        <v>8862</v>
      </c>
      <c r="B1043" t="s">
        <v>8564</v>
      </c>
      <c r="C1043" t="s">
        <v>8565</v>
      </c>
      <c r="G1043" t="str">
        <f t="shared" ref="G1043:G1049" si="162">B1043&amp;":"&amp;C1043</f>
        <v>#{#SNMPINDEX}: High CPU utilization (over {$CPU.UTIL.CRIT}% for 5m)</v>
      </c>
      <c r="H1043" t="e">
        <f>INDEX('7.0.17'!G:G,MATCH(G1043,'7.0.17'!F:F,0))</f>
        <v>#N/A</v>
      </c>
      <c r="I1043" t="e">
        <f t="shared" si="159"/>
        <v>#N/A</v>
      </c>
    </row>
    <row r="1044" spans="1:9">
      <c r="A1044" t="s">
        <v>8862</v>
      </c>
      <c r="B1044" t="s">
        <v>8869</v>
      </c>
      <c r="C1044" t="s">
        <v>8512</v>
      </c>
      <c r="D1044" t="s">
        <v>8870</v>
      </c>
      <c r="G1044" t="str">
        <f>B1044&amp;":"&amp;C1044&amp;":"&amp;D1044</f>
        <v>Disk-{#SNMPINDEX}: Disk space is critically low (used &gt; {$VFS.FS.PUSED.MAX.CRIT:Disk-"{#SNMPINDEX}"}%)</v>
      </c>
      <c r="H1044" t="e">
        <f>INDEX('7.0.17'!G:G,MATCH(G1044,'7.0.17'!F:F,0))</f>
        <v>#N/A</v>
      </c>
      <c r="I1044" t="e">
        <f t="shared" si="159"/>
        <v>#N/A</v>
      </c>
    </row>
    <row r="1045" spans="1:9">
      <c r="A1045" t="s">
        <v>8862</v>
      </c>
      <c r="B1045" t="s">
        <v>8869</v>
      </c>
      <c r="C1045" t="s">
        <v>8513</v>
      </c>
      <c r="D1045" t="s">
        <v>8870</v>
      </c>
      <c r="G1045" t="str">
        <f>B1045&amp;":"&amp;C1045&amp;":"&amp;D1045</f>
        <v>Disk-{#SNMPINDEX}: Disk space is low (used &gt; {$VFS.FS.PUSED.MAX.WARN:Disk-"{#SNMPINDEX}"}%)</v>
      </c>
      <c r="H1045" t="e">
        <f>INDEX('7.0.17'!G:G,MATCH(G1045,'7.0.17'!F:F,0))</f>
        <v>#N/A</v>
      </c>
      <c r="I1045" t="e">
        <f t="shared" si="159"/>
        <v>#N/A</v>
      </c>
    </row>
    <row r="1046" spans="1:9">
      <c r="A1046" t="s">
        <v>8862</v>
      </c>
      <c r="B1046" t="s">
        <v>8433</v>
      </c>
      <c r="C1046" t="s">
        <v>8863</v>
      </c>
      <c r="G1046" t="str">
        <f t="shared" si="162"/>
        <v>Interface {#IFNAME}({#IFALIAS}): LTE modem RSRP is low (below {$LTEMODEM.RSRP.MIN.WARN}dbm for 5m)</v>
      </c>
      <c r="H1046" t="e">
        <f>INDEX('7.0.17'!G:G,MATCH(G1046,'7.0.17'!F:F,0))</f>
        <v>#N/A</v>
      </c>
      <c r="I1046" t="e">
        <f t="shared" si="159"/>
        <v>#N/A</v>
      </c>
    </row>
    <row r="1047" spans="1:9">
      <c r="A1047" t="s">
        <v>8862</v>
      </c>
      <c r="B1047" t="s">
        <v>8433</v>
      </c>
      <c r="C1047" t="s">
        <v>8864</v>
      </c>
      <c r="G1047" t="str">
        <f t="shared" si="162"/>
        <v>Interface {#IFNAME}({#IFALIAS}): LTE modem RSRQ is low (below {$LTEMODEM.RSRQ.MIN.WARN}db for 5m)</v>
      </c>
      <c r="H1047" t="e">
        <f>INDEX('7.0.17'!G:G,MATCH(G1047,'7.0.17'!F:F,0))</f>
        <v>#N/A</v>
      </c>
      <c r="I1047" t="e">
        <f t="shared" si="159"/>
        <v>#N/A</v>
      </c>
    </row>
    <row r="1048" spans="1:9">
      <c r="A1048" t="s">
        <v>8862</v>
      </c>
      <c r="B1048" t="s">
        <v>8433</v>
      </c>
      <c r="C1048" t="s">
        <v>8865</v>
      </c>
      <c r="G1048" t="str">
        <f t="shared" si="162"/>
        <v>Interface {#IFNAME}({#IFALIAS}): LTE modem RSSI is low (below {$LTEMODEM.RSSI.MIN.WARN}dbm for 5m)</v>
      </c>
      <c r="H1048" t="e">
        <f>INDEX('7.0.17'!G:G,MATCH(G1048,'7.0.17'!F:F,0))</f>
        <v>#N/A</v>
      </c>
      <c r="I1048" t="e">
        <f t="shared" si="159"/>
        <v>#N/A</v>
      </c>
    </row>
    <row r="1049" spans="1:9">
      <c r="A1049" t="s">
        <v>8862</v>
      </c>
      <c r="B1049" t="s">
        <v>8433</v>
      </c>
      <c r="C1049" t="s">
        <v>8866</v>
      </c>
      <c r="G1049" t="str">
        <f t="shared" si="162"/>
        <v>Interface {#IFNAME}({#IFALIAS}): LTE modem SINR is low (below {$LTEMODEM.SINR.MIN.WARN}db for 5m)</v>
      </c>
      <c r="H1049" t="e">
        <f>INDEX('7.0.17'!G:G,MATCH(G1049,'7.0.17'!F:F,0))</f>
        <v>#N/A</v>
      </c>
      <c r="I1049" t="e">
        <f t="shared" si="159"/>
        <v>#N/A</v>
      </c>
    </row>
    <row r="1050" spans="1:9">
      <c r="A1050" t="s">
        <v>8862</v>
      </c>
      <c r="B1050" t="s">
        <v>8433</v>
      </c>
      <c r="C1050" t="s">
        <v>8434</v>
      </c>
      <c r="D1050" t="s">
        <v>8435</v>
      </c>
      <c r="G1050" t="str">
        <f>B1050&amp;":"&amp;C1050&amp;":"&amp;D1050</f>
        <v>Interface {#IFNAME}({#IFALIAS}): High error rate (&gt;{$IF.ERRORS.WARN:{#IFNAME}} for 5m)</v>
      </c>
      <c r="H1050" t="e">
        <f>INDEX('7.0.17'!G:G,MATCH(G1050,'7.0.17'!F:F,0))</f>
        <v>#N/A</v>
      </c>
      <c r="I1050" t="e">
        <f t="shared" si="159"/>
        <v>#N/A</v>
      </c>
    </row>
    <row r="1051" spans="1:9">
      <c r="A1051" t="s">
        <v>8862</v>
      </c>
      <c r="B1051" t="s">
        <v>8433</v>
      </c>
      <c r="C1051" t="s">
        <v>8436</v>
      </c>
      <c r="D1051" t="s">
        <v>8437</v>
      </c>
      <c r="G1051" t="str">
        <f>B1051&amp;":"&amp;C1051&amp;":"&amp;D1051</f>
        <v>Interface {#IFNAME}({#IFALIAS}): High bandwidth usage (&gt;{$IF.UTIL.MAX:{#IFNAME}}%)</v>
      </c>
      <c r="H1051" t="e">
        <f>INDEX('7.0.17'!G:G,MATCH(G1051,'7.0.17'!F:F,0))</f>
        <v>#N/A</v>
      </c>
      <c r="I1051" t="e">
        <f t="shared" si="159"/>
        <v>#N/A</v>
      </c>
    </row>
    <row r="1052" spans="1:9">
      <c r="A1052" t="s">
        <v>8862</v>
      </c>
      <c r="B1052" t="s">
        <v>8737</v>
      </c>
      <c r="C1052" t="s">
        <v>8439</v>
      </c>
      <c r="D1052" t="s">
        <v>8440</v>
      </c>
      <c r="E1052" t="s">
        <v>8598</v>
      </c>
      <c r="G1052" t="str">
        <f t="shared" ref="G1052:G1057" si="163">B1052&amp;":"&amp;C1052&amp;":"&amp;D1052&amp;":"&amp;E1052</f>
        <v>CPU: Temperature is above critical threshold: &gt;{$TEMP_CRIT:"CPU"}</v>
      </c>
      <c r="H1052" t="e">
        <f>INDEX('7.0.17'!G:G,MATCH(G1052,'7.0.17'!F:F,0))</f>
        <v>#N/A</v>
      </c>
      <c r="I1052" t="e">
        <f t="shared" si="159"/>
        <v>#N/A</v>
      </c>
    </row>
    <row r="1053" spans="1:9">
      <c r="A1053" t="s">
        <v>8862</v>
      </c>
      <c r="B1053" t="s">
        <v>8737</v>
      </c>
      <c r="C1053" t="s">
        <v>8442</v>
      </c>
      <c r="D1053" t="s">
        <v>8443</v>
      </c>
      <c r="E1053" t="s">
        <v>8598</v>
      </c>
      <c r="G1053" t="str">
        <f t="shared" si="163"/>
        <v>CPU: Temperature is above warning threshold: &gt;{$TEMP_WARN:"CPU"}</v>
      </c>
      <c r="H1053" t="e">
        <f>INDEX('7.0.17'!G:G,MATCH(G1053,'7.0.17'!F:F,0))</f>
        <v>#N/A</v>
      </c>
      <c r="I1053" t="e">
        <f t="shared" si="159"/>
        <v>#N/A</v>
      </c>
    </row>
    <row r="1054" spans="1:9">
      <c r="A1054" t="s">
        <v>8862</v>
      </c>
      <c r="B1054" t="s">
        <v>8737</v>
      </c>
      <c r="C1054" t="s">
        <v>8444</v>
      </c>
      <c r="D1054" t="s">
        <v>8445</v>
      </c>
      <c r="E1054" t="s">
        <v>8598</v>
      </c>
      <c r="G1054" t="str">
        <f t="shared" si="163"/>
        <v>CPU: Temperature is too low: &lt;{$TEMP_CRIT_LOW:"CPU"}</v>
      </c>
      <c r="H1054" t="e">
        <f>INDEX('7.0.17'!G:G,MATCH(G1054,'7.0.17'!F:F,0))</f>
        <v>#N/A</v>
      </c>
      <c r="I1054" t="e">
        <f t="shared" si="159"/>
        <v>#N/A</v>
      </c>
    </row>
    <row r="1055" spans="1:9">
      <c r="A1055" t="s">
        <v>8862</v>
      </c>
      <c r="B1055" t="s">
        <v>8867</v>
      </c>
      <c r="C1055" t="s">
        <v>8439</v>
      </c>
      <c r="D1055" t="s">
        <v>8440</v>
      </c>
      <c r="E1055" t="s">
        <v>8868</v>
      </c>
      <c r="G1055" t="str">
        <f t="shared" si="163"/>
        <v>Device: Temperature is above critical threshold: &gt;{$TEMP_CRIT:Device}</v>
      </c>
      <c r="H1055" t="e">
        <f>INDEX('7.0.17'!G:G,MATCH(G1055,'7.0.17'!F:F,0))</f>
        <v>#N/A</v>
      </c>
      <c r="I1055" t="e">
        <f t="shared" si="159"/>
        <v>#N/A</v>
      </c>
    </row>
    <row r="1056" spans="1:9">
      <c r="A1056" t="s">
        <v>8862</v>
      </c>
      <c r="B1056" t="s">
        <v>8867</v>
      </c>
      <c r="C1056" t="s">
        <v>8442</v>
      </c>
      <c r="D1056" t="s">
        <v>8443</v>
      </c>
      <c r="E1056" t="s">
        <v>8868</v>
      </c>
      <c r="G1056" t="str">
        <f t="shared" si="163"/>
        <v>Device: Temperature is above warning threshold: &gt;{$TEMP_WARN:Device}</v>
      </c>
      <c r="H1056" t="e">
        <f>INDEX('7.0.17'!G:G,MATCH(G1056,'7.0.17'!F:F,0))</f>
        <v>#N/A</v>
      </c>
      <c r="I1056" t="e">
        <f t="shared" si="159"/>
        <v>#N/A</v>
      </c>
    </row>
    <row r="1057" spans="1:9">
      <c r="A1057" t="s">
        <v>8862</v>
      </c>
      <c r="B1057" t="s">
        <v>8867</v>
      </c>
      <c r="C1057" t="s">
        <v>8444</v>
      </c>
      <c r="D1057" t="s">
        <v>8445</v>
      </c>
      <c r="E1057" t="s">
        <v>8868</v>
      </c>
      <c r="G1057" t="str">
        <f t="shared" si="163"/>
        <v>Device: Temperature is too low: &lt;{$TEMP_CRIT_LOW:Device}</v>
      </c>
      <c r="H1057" t="e">
        <f>INDEX('7.0.17'!G:G,MATCH(G1057,'7.0.17'!F:F,0))</f>
        <v>#N/A</v>
      </c>
      <c r="I1057" t="e">
        <f t="shared" si="159"/>
        <v>#N/A</v>
      </c>
    </row>
    <row r="1058" spans="1:9">
      <c r="A1058" t="s">
        <v>8862</v>
      </c>
      <c r="B1058" t="s">
        <v>8564</v>
      </c>
      <c r="C1058" t="s">
        <v>8565</v>
      </c>
      <c r="G1058" t="str">
        <f t="shared" ref="G1058:G1064" si="164">B1058&amp;":"&amp;C1058</f>
        <v>#{#SNMPINDEX}: High CPU utilization (over {$CPU.UTIL.CRIT}% for 5m)</v>
      </c>
      <c r="H1058" t="e">
        <f>INDEX('7.0.17'!G:G,MATCH(G1058,'7.0.17'!F:F,0))</f>
        <v>#N/A</v>
      </c>
      <c r="I1058" t="e">
        <f t="shared" si="159"/>
        <v>#N/A</v>
      </c>
    </row>
    <row r="1059" spans="1:9">
      <c r="A1059" t="s">
        <v>8862</v>
      </c>
      <c r="B1059" t="s">
        <v>8869</v>
      </c>
      <c r="C1059" t="s">
        <v>8512</v>
      </c>
      <c r="D1059" t="s">
        <v>8870</v>
      </c>
      <c r="G1059" t="str">
        <f>B1059&amp;":"&amp;C1059&amp;":"&amp;D1059</f>
        <v>Disk-{#SNMPINDEX}: Disk space is critically low (used &gt; {$VFS.FS.PUSED.MAX.CRIT:Disk-"{#SNMPINDEX}"}%)</v>
      </c>
      <c r="H1059" t="e">
        <f>INDEX('7.0.17'!G:G,MATCH(G1059,'7.0.17'!F:F,0))</f>
        <v>#N/A</v>
      </c>
      <c r="I1059" t="e">
        <f t="shared" si="159"/>
        <v>#N/A</v>
      </c>
    </row>
    <row r="1060" spans="1:9">
      <c r="A1060" t="s">
        <v>8862</v>
      </c>
      <c r="B1060" t="s">
        <v>8869</v>
      </c>
      <c r="C1060" t="s">
        <v>8513</v>
      </c>
      <c r="D1060" t="s">
        <v>8870</v>
      </c>
      <c r="G1060" t="str">
        <f>B1060&amp;":"&amp;C1060&amp;":"&amp;D1060</f>
        <v>Disk-{#SNMPINDEX}: Disk space is low (used &gt; {$VFS.FS.PUSED.MAX.WARN:Disk-"{#SNMPINDEX}"}%)</v>
      </c>
      <c r="H1060" t="e">
        <f>INDEX('7.0.17'!G:G,MATCH(G1060,'7.0.17'!F:F,0))</f>
        <v>#N/A</v>
      </c>
      <c r="I1060" t="e">
        <f t="shared" si="159"/>
        <v>#N/A</v>
      </c>
    </row>
    <row r="1061" spans="1:9">
      <c r="A1061" t="s">
        <v>8862</v>
      </c>
      <c r="B1061" t="s">
        <v>8433</v>
      </c>
      <c r="C1061" t="s">
        <v>8863</v>
      </c>
      <c r="G1061" t="str">
        <f t="shared" si="164"/>
        <v>Interface {#IFNAME}({#IFALIAS}): LTE modem RSRP is low (below {$LTEMODEM.RSRP.MIN.WARN}dbm for 5m)</v>
      </c>
      <c r="H1061" t="e">
        <f>INDEX('7.0.17'!G:G,MATCH(G1061,'7.0.17'!F:F,0))</f>
        <v>#N/A</v>
      </c>
      <c r="I1061" t="e">
        <f t="shared" si="159"/>
        <v>#N/A</v>
      </c>
    </row>
    <row r="1062" spans="1:9">
      <c r="A1062" t="s">
        <v>8862</v>
      </c>
      <c r="B1062" t="s">
        <v>8433</v>
      </c>
      <c r="C1062" t="s">
        <v>8864</v>
      </c>
      <c r="G1062" t="str">
        <f t="shared" si="164"/>
        <v>Interface {#IFNAME}({#IFALIAS}): LTE modem RSRQ is low (below {$LTEMODEM.RSRQ.MIN.WARN}db for 5m)</v>
      </c>
      <c r="H1062" t="e">
        <f>INDEX('7.0.17'!G:G,MATCH(G1062,'7.0.17'!F:F,0))</f>
        <v>#N/A</v>
      </c>
      <c r="I1062" t="e">
        <f t="shared" si="159"/>
        <v>#N/A</v>
      </c>
    </row>
    <row r="1063" spans="1:9">
      <c r="A1063" t="s">
        <v>8862</v>
      </c>
      <c r="B1063" t="s">
        <v>8433</v>
      </c>
      <c r="C1063" t="s">
        <v>8865</v>
      </c>
      <c r="G1063" t="str">
        <f t="shared" si="164"/>
        <v>Interface {#IFNAME}({#IFALIAS}): LTE modem RSSI is low (below {$LTEMODEM.RSSI.MIN.WARN}dbm for 5m)</v>
      </c>
      <c r="H1063" t="e">
        <f>INDEX('7.0.17'!G:G,MATCH(G1063,'7.0.17'!F:F,0))</f>
        <v>#N/A</v>
      </c>
      <c r="I1063" t="e">
        <f t="shared" si="159"/>
        <v>#N/A</v>
      </c>
    </row>
    <row r="1064" spans="1:9">
      <c r="A1064" t="s">
        <v>8862</v>
      </c>
      <c r="B1064" t="s">
        <v>8433</v>
      </c>
      <c r="C1064" t="s">
        <v>8866</v>
      </c>
      <c r="G1064" t="str">
        <f t="shared" si="164"/>
        <v>Interface {#IFNAME}({#IFALIAS}): LTE modem SINR is low (below {$LTEMODEM.SINR.MIN.WARN}db for 5m)</v>
      </c>
      <c r="H1064" t="e">
        <f>INDEX('7.0.17'!G:G,MATCH(G1064,'7.0.17'!F:F,0))</f>
        <v>#N/A</v>
      </c>
      <c r="I1064" t="e">
        <f t="shared" si="159"/>
        <v>#N/A</v>
      </c>
    </row>
    <row r="1065" spans="1:9">
      <c r="A1065" t="s">
        <v>8862</v>
      </c>
      <c r="B1065" t="s">
        <v>8433</v>
      </c>
      <c r="C1065" t="s">
        <v>8434</v>
      </c>
      <c r="D1065" t="s">
        <v>8435</v>
      </c>
      <c r="G1065" t="str">
        <f>B1065&amp;":"&amp;C1065&amp;":"&amp;D1065</f>
        <v>Interface {#IFNAME}({#IFALIAS}): High error rate (&gt;{$IF.ERRORS.WARN:{#IFNAME}} for 5m)</v>
      </c>
      <c r="H1065" t="e">
        <f>INDEX('7.0.17'!G:G,MATCH(G1065,'7.0.17'!F:F,0))</f>
        <v>#N/A</v>
      </c>
      <c r="I1065" t="e">
        <f t="shared" si="159"/>
        <v>#N/A</v>
      </c>
    </row>
    <row r="1066" spans="1:9">
      <c r="A1066" t="s">
        <v>8862</v>
      </c>
      <c r="B1066" t="s">
        <v>8433</v>
      </c>
      <c r="C1066" t="s">
        <v>8436</v>
      </c>
      <c r="D1066" t="s">
        <v>8437</v>
      </c>
      <c r="G1066" t="str">
        <f>B1066&amp;":"&amp;C1066&amp;":"&amp;D1066</f>
        <v>Interface {#IFNAME}({#IFALIAS}): High bandwidth usage (&gt;{$IF.UTIL.MAX:{#IFNAME}}%)</v>
      </c>
      <c r="H1066" t="e">
        <f>INDEX('7.0.17'!G:G,MATCH(G1066,'7.0.17'!F:F,0))</f>
        <v>#N/A</v>
      </c>
      <c r="I1066" t="e">
        <f t="shared" si="159"/>
        <v>#N/A</v>
      </c>
    </row>
    <row r="1067" spans="1:9">
      <c r="A1067" t="s">
        <v>8862</v>
      </c>
      <c r="B1067" t="s">
        <v>8737</v>
      </c>
      <c r="C1067" t="s">
        <v>8439</v>
      </c>
      <c r="D1067" t="s">
        <v>8440</v>
      </c>
      <c r="E1067" t="s">
        <v>8598</v>
      </c>
      <c r="G1067" t="str">
        <f t="shared" ref="G1067:G1072" si="165">B1067&amp;":"&amp;C1067&amp;":"&amp;D1067&amp;":"&amp;E1067</f>
        <v>CPU: Temperature is above critical threshold: &gt;{$TEMP_CRIT:"CPU"}</v>
      </c>
      <c r="H1067" t="e">
        <f>INDEX('7.0.17'!G:G,MATCH(G1067,'7.0.17'!F:F,0))</f>
        <v>#N/A</v>
      </c>
      <c r="I1067" t="e">
        <f t="shared" si="159"/>
        <v>#N/A</v>
      </c>
    </row>
    <row r="1068" spans="1:9">
      <c r="A1068" t="s">
        <v>8862</v>
      </c>
      <c r="B1068" t="s">
        <v>8737</v>
      </c>
      <c r="C1068" t="s">
        <v>8442</v>
      </c>
      <c r="D1068" t="s">
        <v>8443</v>
      </c>
      <c r="E1068" t="s">
        <v>8598</v>
      </c>
      <c r="G1068" t="str">
        <f t="shared" si="165"/>
        <v>CPU: Temperature is above warning threshold: &gt;{$TEMP_WARN:"CPU"}</v>
      </c>
      <c r="H1068" t="e">
        <f>INDEX('7.0.17'!G:G,MATCH(G1068,'7.0.17'!F:F,0))</f>
        <v>#N/A</v>
      </c>
      <c r="I1068" t="e">
        <f t="shared" si="159"/>
        <v>#N/A</v>
      </c>
    </row>
    <row r="1069" spans="1:9">
      <c r="A1069" t="s">
        <v>8862</v>
      </c>
      <c r="B1069" t="s">
        <v>8737</v>
      </c>
      <c r="C1069" t="s">
        <v>8444</v>
      </c>
      <c r="D1069" t="s">
        <v>8445</v>
      </c>
      <c r="E1069" t="s">
        <v>8598</v>
      </c>
      <c r="G1069" t="str">
        <f t="shared" si="165"/>
        <v>CPU: Temperature is too low: &lt;{$TEMP_CRIT_LOW:"CPU"}</v>
      </c>
      <c r="H1069" t="e">
        <f>INDEX('7.0.17'!G:G,MATCH(G1069,'7.0.17'!F:F,0))</f>
        <v>#N/A</v>
      </c>
      <c r="I1069" t="e">
        <f t="shared" si="159"/>
        <v>#N/A</v>
      </c>
    </row>
    <row r="1070" spans="1:9">
      <c r="A1070" t="s">
        <v>8862</v>
      </c>
      <c r="B1070" t="s">
        <v>8867</v>
      </c>
      <c r="C1070" t="s">
        <v>8439</v>
      </c>
      <c r="D1070" t="s">
        <v>8440</v>
      </c>
      <c r="E1070" t="s">
        <v>8868</v>
      </c>
      <c r="G1070" t="str">
        <f t="shared" si="165"/>
        <v>Device: Temperature is above critical threshold: &gt;{$TEMP_CRIT:Device}</v>
      </c>
      <c r="H1070" t="e">
        <f>INDEX('7.0.17'!G:G,MATCH(G1070,'7.0.17'!F:F,0))</f>
        <v>#N/A</v>
      </c>
      <c r="I1070" t="e">
        <f t="shared" si="159"/>
        <v>#N/A</v>
      </c>
    </row>
    <row r="1071" spans="1:9">
      <c r="A1071" t="s">
        <v>8862</v>
      </c>
      <c r="B1071" t="s">
        <v>8867</v>
      </c>
      <c r="C1071" t="s">
        <v>8442</v>
      </c>
      <c r="D1071" t="s">
        <v>8443</v>
      </c>
      <c r="E1071" t="s">
        <v>8868</v>
      </c>
      <c r="G1071" t="str">
        <f t="shared" si="165"/>
        <v>Device: Temperature is above warning threshold: &gt;{$TEMP_WARN:Device}</v>
      </c>
      <c r="H1071" t="e">
        <f>INDEX('7.0.17'!G:G,MATCH(G1071,'7.0.17'!F:F,0))</f>
        <v>#N/A</v>
      </c>
      <c r="I1071" t="e">
        <f t="shared" si="159"/>
        <v>#N/A</v>
      </c>
    </row>
    <row r="1072" spans="1:9">
      <c r="A1072" t="s">
        <v>8862</v>
      </c>
      <c r="B1072" t="s">
        <v>8867</v>
      </c>
      <c r="C1072" t="s">
        <v>8444</v>
      </c>
      <c r="D1072" t="s">
        <v>8445</v>
      </c>
      <c r="E1072" t="s">
        <v>8868</v>
      </c>
      <c r="G1072" t="str">
        <f t="shared" si="165"/>
        <v>Device: Temperature is too low: &lt;{$TEMP_CRIT_LOW:Device}</v>
      </c>
      <c r="H1072" t="e">
        <f>INDEX('7.0.17'!G:G,MATCH(G1072,'7.0.17'!F:F,0))</f>
        <v>#N/A</v>
      </c>
      <c r="I1072" t="e">
        <f t="shared" si="159"/>
        <v>#N/A</v>
      </c>
    </row>
    <row r="1073" spans="1:9">
      <c r="A1073" t="s">
        <v>8862</v>
      </c>
      <c r="B1073" t="s">
        <v>8564</v>
      </c>
      <c r="C1073" t="s">
        <v>8565</v>
      </c>
      <c r="G1073" t="str">
        <f t="shared" ref="G1073:G1079" si="166">B1073&amp;":"&amp;C1073</f>
        <v>#{#SNMPINDEX}: High CPU utilization (over {$CPU.UTIL.CRIT}% for 5m)</v>
      </c>
      <c r="H1073" t="e">
        <f>INDEX('7.0.17'!G:G,MATCH(G1073,'7.0.17'!F:F,0))</f>
        <v>#N/A</v>
      </c>
      <c r="I1073" t="e">
        <f t="shared" si="159"/>
        <v>#N/A</v>
      </c>
    </row>
    <row r="1074" spans="1:9">
      <c r="A1074" t="s">
        <v>8862</v>
      </c>
      <c r="B1074" t="s">
        <v>8869</v>
      </c>
      <c r="C1074" t="s">
        <v>8512</v>
      </c>
      <c r="D1074" t="s">
        <v>8870</v>
      </c>
      <c r="G1074" t="str">
        <f>B1074&amp;":"&amp;C1074&amp;":"&amp;D1074</f>
        <v>Disk-{#SNMPINDEX}: Disk space is critically low (used &gt; {$VFS.FS.PUSED.MAX.CRIT:Disk-"{#SNMPINDEX}"}%)</v>
      </c>
      <c r="H1074" t="e">
        <f>INDEX('7.0.17'!G:G,MATCH(G1074,'7.0.17'!F:F,0))</f>
        <v>#N/A</v>
      </c>
      <c r="I1074" t="e">
        <f t="shared" si="159"/>
        <v>#N/A</v>
      </c>
    </row>
    <row r="1075" spans="1:9">
      <c r="A1075" t="s">
        <v>8862</v>
      </c>
      <c r="B1075" t="s">
        <v>8869</v>
      </c>
      <c r="C1075" t="s">
        <v>8513</v>
      </c>
      <c r="D1075" t="s">
        <v>8870</v>
      </c>
      <c r="G1075" t="str">
        <f>B1075&amp;":"&amp;C1075&amp;":"&amp;D1075</f>
        <v>Disk-{#SNMPINDEX}: Disk space is low (used &gt; {$VFS.FS.PUSED.MAX.WARN:Disk-"{#SNMPINDEX}"}%)</v>
      </c>
      <c r="H1075" t="e">
        <f>INDEX('7.0.17'!G:G,MATCH(G1075,'7.0.17'!F:F,0))</f>
        <v>#N/A</v>
      </c>
      <c r="I1075" t="e">
        <f t="shared" si="159"/>
        <v>#N/A</v>
      </c>
    </row>
    <row r="1076" spans="1:9">
      <c r="A1076" t="s">
        <v>8862</v>
      </c>
      <c r="B1076" t="s">
        <v>8433</v>
      </c>
      <c r="C1076" t="s">
        <v>8863</v>
      </c>
      <c r="G1076" t="str">
        <f t="shared" si="166"/>
        <v>Interface {#IFNAME}({#IFALIAS}): LTE modem RSRP is low (below {$LTEMODEM.RSRP.MIN.WARN}dbm for 5m)</v>
      </c>
      <c r="H1076" t="e">
        <f>INDEX('7.0.17'!G:G,MATCH(G1076,'7.0.17'!F:F,0))</f>
        <v>#N/A</v>
      </c>
      <c r="I1076" t="e">
        <f t="shared" si="159"/>
        <v>#N/A</v>
      </c>
    </row>
    <row r="1077" spans="1:9">
      <c r="A1077" t="s">
        <v>8862</v>
      </c>
      <c r="B1077" t="s">
        <v>8433</v>
      </c>
      <c r="C1077" t="s">
        <v>8864</v>
      </c>
      <c r="G1077" t="str">
        <f t="shared" si="166"/>
        <v>Interface {#IFNAME}({#IFALIAS}): LTE modem RSRQ is low (below {$LTEMODEM.RSRQ.MIN.WARN}db for 5m)</v>
      </c>
      <c r="H1077" t="e">
        <f>INDEX('7.0.17'!G:G,MATCH(G1077,'7.0.17'!F:F,0))</f>
        <v>#N/A</v>
      </c>
      <c r="I1077" t="e">
        <f t="shared" si="159"/>
        <v>#N/A</v>
      </c>
    </row>
    <row r="1078" spans="1:9">
      <c r="A1078" t="s">
        <v>8862</v>
      </c>
      <c r="B1078" t="s">
        <v>8433</v>
      </c>
      <c r="C1078" t="s">
        <v>8865</v>
      </c>
      <c r="G1078" t="str">
        <f t="shared" si="166"/>
        <v>Interface {#IFNAME}({#IFALIAS}): LTE modem RSSI is low (below {$LTEMODEM.RSSI.MIN.WARN}dbm for 5m)</v>
      </c>
      <c r="H1078" t="e">
        <f>INDEX('7.0.17'!G:G,MATCH(G1078,'7.0.17'!F:F,0))</f>
        <v>#N/A</v>
      </c>
      <c r="I1078" t="e">
        <f t="shared" si="159"/>
        <v>#N/A</v>
      </c>
    </row>
    <row r="1079" spans="1:9">
      <c r="A1079" t="s">
        <v>8862</v>
      </c>
      <c r="B1079" t="s">
        <v>8433</v>
      </c>
      <c r="C1079" t="s">
        <v>8866</v>
      </c>
      <c r="G1079" t="str">
        <f t="shared" si="166"/>
        <v>Interface {#IFNAME}({#IFALIAS}): LTE modem SINR is low (below {$LTEMODEM.SINR.MIN.WARN}db for 5m)</v>
      </c>
      <c r="H1079" t="e">
        <f>INDEX('7.0.17'!G:G,MATCH(G1079,'7.0.17'!F:F,0))</f>
        <v>#N/A</v>
      </c>
      <c r="I1079" t="e">
        <f t="shared" si="159"/>
        <v>#N/A</v>
      </c>
    </row>
    <row r="1080" spans="1:9">
      <c r="A1080" t="s">
        <v>8862</v>
      </c>
      <c r="B1080" t="s">
        <v>8433</v>
      </c>
      <c r="C1080" t="s">
        <v>8434</v>
      </c>
      <c r="D1080" t="s">
        <v>8435</v>
      </c>
      <c r="G1080" t="str">
        <f>B1080&amp;":"&amp;C1080&amp;":"&amp;D1080</f>
        <v>Interface {#IFNAME}({#IFALIAS}): High error rate (&gt;{$IF.ERRORS.WARN:{#IFNAME}} for 5m)</v>
      </c>
      <c r="H1080" t="e">
        <f>INDEX('7.0.17'!G:G,MATCH(G1080,'7.0.17'!F:F,0))</f>
        <v>#N/A</v>
      </c>
      <c r="I1080" t="e">
        <f t="shared" si="159"/>
        <v>#N/A</v>
      </c>
    </row>
    <row r="1081" spans="1:9">
      <c r="A1081" t="s">
        <v>8862</v>
      </c>
      <c r="B1081" t="s">
        <v>8433</v>
      </c>
      <c r="C1081" t="s">
        <v>8436</v>
      </c>
      <c r="D1081" t="s">
        <v>8437</v>
      </c>
      <c r="G1081" t="str">
        <f>B1081&amp;":"&amp;C1081&amp;":"&amp;D1081</f>
        <v>Interface {#IFNAME}({#IFALIAS}): High bandwidth usage (&gt;{$IF.UTIL.MAX:{#IFNAME}}%)</v>
      </c>
      <c r="H1081" t="e">
        <f>INDEX('7.0.17'!G:G,MATCH(G1081,'7.0.17'!F:F,0))</f>
        <v>#N/A</v>
      </c>
      <c r="I1081" t="e">
        <f t="shared" si="159"/>
        <v>#N/A</v>
      </c>
    </row>
    <row r="1082" spans="1:9">
      <c r="A1082" t="s">
        <v>8862</v>
      </c>
      <c r="B1082" t="s">
        <v>8737</v>
      </c>
      <c r="C1082" t="s">
        <v>8439</v>
      </c>
      <c r="D1082" t="s">
        <v>8440</v>
      </c>
      <c r="E1082" t="s">
        <v>8598</v>
      </c>
      <c r="G1082" t="str">
        <f t="shared" ref="G1082:G1087" si="167">B1082&amp;":"&amp;C1082&amp;":"&amp;D1082&amp;":"&amp;E1082</f>
        <v>CPU: Temperature is above critical threshold: &gt;{$TEMP_CRIT:"CPU"}</v>
      </c>
      <c r="H1082" t="e">
        <f>INDEX('7.0.17'!G:G,MATCH(G1082,'7.0.17'!F:F,0))</f>
        <v>#N/A</v>
      </c>
      <c r="I1082" t="e">
        <f t="shared" si="159"/>
        <v>#N/A</v>
      </c>
    </row>
    <row r="1083" spans="1:9">
      <c r="A1083" t="s">
        <v>8862</v>
      </c>
      <c r="B1083" t="s">
        <v>8737</v>
      </c>
      <c r="C1083" t="s">
        <v>8442</v>
      </c>
      <c r="D1083" t="s">
        <v>8443</v>
      </c>
      <c r="E1083" t="s">
        <v>8598</v>
      </c>
      <c r="G1083" t="str">
        <f t="shared" si="167"/>
        <v>CPU: Temperature is above warning threshold: &gt;{$TEMP_WARN:"CPU"}</v>
      </c>
      <c r="H1083" t="e">
        <f>INDEX('7.0.17'!G:G,MATCH(G1083,'7.0.17'!F:F,0))</f>
        <v>#N/A</v>
      </c>
      <c r="I1083" t="e">
        <f t="shared" si="159"/>
        <v>#N/A</v>
      </c>
    </row>
    <row r="1084" spans="1:9">
      <c r="A1084" t="s">
        <v>8862</v>
      </c>
      <c r="B1084" t="s">
        <v>8737</v>
      </c>
      <c r="C1084" t="s">
        <v>8444</v>
      </c>
      <c r="D1084" t="s">
        <v>8445</v>
      </c>
      <c r="E1084" t="s">
        <v>8598</v>
      </c>
      <c r="G1084" t="str">
        <f t="shared" si="167"/>
        <v>CPU: Temperature is too low: &lt;{$TEMP_CRIT_LOW:"CPU"}</v>
      </c>
      <c r="H1084" t="e">
        <f>INDEX('7.0.17'!G:G,MATCH(G1084,'7.0.17'!F:F,0))</f>
        <v>#N/A</v>
      </c>
      <c r="I1084" t="e">
        <f t="shared" si="159"/>
        <v>#N/A</v>
      </c>
    </row>
    <row r="1085" spans="1:9">
      <c r="A1085" t="s">
        <v>8862</v>
      </c>
      <c r="B1085" t="s">
        <v>8867</v>
      </c>
      <c r="C1085" t="s">
        <v>8439</v>
      </c>
      <c r="D1085" t="s">
        <v>8440</v>
      </c>
      <c r="E1085" t="s">
        <v>8868</v>
      </c>
      <c r="G1085" t="str">
        <f t="shared" si="167"/>
        <v>Device: Temperature is above critical threshold: &gt;{$TEMP_CRIT:Device}</v>
      </c>
      <c r="H1085" t="e">
        <f>INDEX('7.0.17'!G:G,MATCH(G1085,'7.0.17'!F:F,0))</f>
        <v>#N/A</v>
      </c>
      <c r="I1085" t="e">
        <f t="shared" si="159"/>
        <v>#N/A</v>
      </c>
    </row>
    <row r="1086" spans="1:9">
      <c r="A1086" t="s">
        <v>8862</v>
      </c>
      <c r="B1086" t="s">
        <v>8867</v>
      </c>
      <c r="C1086" t="s">
        <v>8442</v>
      </c>
      <c r="D1086" t="s">
        <v>8443</v>
      </c>
      <c r="E1086" t="s">
        <v>8868</v>
      </c>
      <c r="G1086" t="str">
        <f t="shared" si="167"/>
        <v>Device: Temperature is above warning threshold: &gt;{$TEMP_WARN:Device}</v>
      </c>
      <c r="H1086" t="e">
        <f>INDEX('7.0.17'!G:G,MATCH(G1086,'7.0.17'!F:F,0))</f>
        <v>#N/A</v>
      </c>
      <c r="I1086" t="e">
        <f t="shared" si="159"/>
        <v>#N/A</v>
      </c>
    </row>
    <row r="1087" spans="1:9">
      <c r="A1087" t="s">
        <v>8862</v>
      </c>
      <c r="B1087" t="s">
        <v>8867</v>
      </c>
      <c r="C1087" t="s">
        <v>8444</v>
      </c>
      <c r="D1087" t="s">
        <v>8445</v>
      </c>
      <c r="E1087" t="s">
        <v>8868</v>
      </c>
      <c r="G1087" t="str">
        <f t="shared" si="167"/>
        <v>Device: Temperature is too low: &lt;{$TEMP_CRIT_LOW:Device}</v>
      </c>
      <c r="H1087" t="e">
        <f>INDEX('7.0.17'!G:G,MATCH(G1087,'7.0.17'!F:F,0))</f>
        <v>#N/A</v>
      </c>
      <c r="I1087" t="e">
        <f t="shared" si="159"/>
        <v>#N/A</v>
      </c>
    </row>
    <row r="1088" spans="1:9">
      <c r="A1088" t="s">
        <v>8862</v>
      </c>
      <c r="B1088" t="s">
        <v>8564</v>
      </c>
      <c r="C1088" t="s">
        <v>8565</v>
      </c>
      <c r="G1088" t="str">
        <f t="shared" ref="G1088:G1094" si="168">B1088&amp;":"&amp;C1088</f>
        <v>#{#SNMPINDEX}: High CPU utilization (over {$CPU.UTIL.CRIT}% for 5m)</v>
      </c>
      <c r="H1088" t="e">
        <f>INDEX('7.0.17'!G:G,MATCH(G1088,'7.0.17'!F:F,0))</f>
        <v>#N/A</v>
      </c>
      <c r="I1088" t="e">
        <f t="shared" si="159"/>
        <v>#N/A</v>
      </c>
    </row>
    <row r="1089" spans="1:9">
      <c r="A1089" t="s">
        <v>8862</v>
      </c>
      <c r="B1089" t="s">
        <v>8869</v>
      </c>
      <c r="C1089" t="s">
        <v>8512</v>
      </c>
      <c r="D1089" t="s">
        <v>8870</v>
      </c>
      <c r="G1089" t="str">
        <f>B1089&amp;":"&amp;C1089&amp;":"&amp;D1089</f>
        <v>Disk-{#SNMPINDEX}: Disk space is critically low (used &gt; {$VFS.FS.PUSED.MAX.CRIT:Disk-"{#SNMPINDEX}"}%)</v>
      </c>
      <c r="H1089" t="e">
        <f>INDEX('7.0.17'!G:G,MATCH(G1089,'7.0.17'!F:F,0))</f>
        <v>#N/A</v>
      </c>
      <c r="I1089" t="e">
        <f t="shared" si="159"/>
        <v>#N/A</v>
      </c>
    </row>
    <row r="1090" spans="1:9">
      <c r="A1090" t="s">
        <v>8862</v>
      </c>
      <c r="B1090" t="s">
        <v>8869</v>
      </c>
      <c r="C1090" t="s">
        <v>8513</v>
      </c>
      <c r="D1090" t="s">
        <v>8870</v>
      </c>
      <c r="G1090" t="str">
        <f>B1090&amp;":"&amp;C1090&amp;":"&amp;D1090</f>
        <v>Disk-{#SNMPINDEX}: Disk space is low (used &gt; {$VFS.FS.PUSED.MAX.WARN:Disk-"{#SNMPINDEX}"}%)</v>
      </c>
      <c r="H1090" t="e">
        <f>INDEX('7.0.17'!G:G,MATCH(G1090,'7.0.17'!F:F,0))</f>
        <v>#N/A</v>
      </c>
      <c r="I1090" t="e">
        <f t="shared" si="159"/>
        <v>#N/A</v>
      </c>
    </row>
    <row r="1091" spans="1:9">
      <c r="A1091" t="s">
        <v>8862</v>
      </c>
      <c r="B1091" t="s">
        <v>8433</v>
      </c>
      <c r="C1091" t="s">
        <v>8863</v>
      </c>
      <c r="G1091" t="str">
        <f t="shared" si="168"/>
        <v>Interface {#IFNAME}({#IFALIAS}): LTE modem RSRP is low (below {$LTEMODEM.RSRP.MIN.WARN}dbm for 5m)</v>
      </c>
      <c r="H1091" t="e">
        <f>INDEX('7.0.17'!G:G,MATCH(G1091,'7.0.17'!F:F,0))</f>
        <v>#N/A</v>
      </c>
      <c r="I1091" t="e">
        <f t="shared" ref="I1091:I1154" si="169">A1091&amp;": "&amp;H1091</f>
        <v>#N/A</v>
      </c>
    </row>
    <row r="1092" spans="1:9">
      <c r="A1092" t="s">
        <v>8862</v>
      </c>
      <c r="B1092" t="s">
        <v>8433</v>
      </c>
      <c r="C1092" t="s">
        <v>8864</v>
      </c>
      <c r="G1092" t="str">
        <f t="shared" si="168"/>
        <v>Interface {#IFNAME}({#IFALIAS}): LTE modem RSRQ is low (below {$LTEMODEM.RSRQ.MIN.WARN}db for 5m)</v>
      </c>
      <c r="H1092" t="e">
        <f>INDEX('7.0.17'!G:G,MATCH(G1092,'7.0.17'!F:F,0))</f>
        <v>#N/A</v>
      </c>
      <c r="I1092" t="e">
        <f t="shared" si="169"/>
        <v>#N/A</v>
      </c>
    </row>
    <row r="1093" spans="1:9">
      <c r="A1093" t="s">
        <v>8862</v>
      </c>
      <c r="B1093" t="s">
        <v>8433</v>
      </c>
      <c r="C1093" t="s">
        <v>8865</v>
      </c>
      <c r="G1093" t="str">
        <f t="shared" si="168"/>
        <v>Interface {#IFNAME}({#IFALIAS}): LTE modem RSSI is low (below {$LTEMODEM.RSSI.MIN.WARN}dbm for 5m)</v>
      </c>
      <c r="H1093" t="e">
        <f>INDEX('7.0.17'!G:G,MATCH(G1093,'7.0.17'!F:F,0))</f>
        <v>#N/A</v>
      </c>
      <c r="I1093" t="e">
        <f t="shared" si="169"/>
        <v>#N/A</v>
      </c>
    </row>
    <row r="1094" spans="1:9">
      <c r="A1094" t="s">
        <v>8862</v>
      </c>
      <c r="B1094" t="s">
        <v>8433</v>
      </c>
      <c r="C1094" t="s">
        <v>8866</v>
      </c>
      <c r="G1094" t="str">
        <f t="shared" si="168"/>
        <v>Interface {#IFNAME}({#IFALIAS}): LTE modem SINR is low (below {$LTEMODEM.SINR.MIN.WARN}db for 5m)</v>
      </c>
      <c r="H1094" t="e">
        <f>INDEX('7.0.17'!G:G,MATCH(G1094,'7.0.17'!F:F,0))</f>
        <v>#N/A</v>
      </c>
      <c r="I1094" t="e">
        <f t="shared" si="169"/>
        <v>#N/A</v>
      </c>
    </row>
    <row r="1095" spans="1:9">
      <c r="A1095" t="s">
        <v>8862</v>
      </c>
      <c r="B1095" t="s">
        <v>8433</v>
      </c>
      <c r="C1095" t="s">
        <v>8434</v>
      </c>
      <c r="D1095" t="s">
        <v>8435</v>
      </c>
      <c r="G1095" t="str">
        <f>B1095&amp;":"&amp;C1095&amp;":"&amp;D1095</f>
        <v>Interface {#IFNAME}({#IFALIAS}): High error rate (&gt;{$IF.ERRORS.WARN:{#IFNAME}} for 5m)</v>
      </c>
      <c r="H1095" t="e">
        <f>INDEX('7.0.17'!G:G,MATCH(G1095,'7.0.17'!F:F,0))</f>
        <v>#N/A</v>
      </c>
      <c r="I1095" t="e">
        <f t="shared" si="169"/>
        <v>#N/A</v>
      </c>
    </row>
    <row r="1096" spans="1:9">
      <c r="A1096" t="s">
        <v>8862</v>
      </c>
      <c r="B1096" t="s">
        <v>8433</v>
      </c>
      <c r="C1096" t="s">
        <v>8436</v>
      </c>
      <c r="D1096" t="s">
        <v>8437</v>
      </c>
      <c r="G1096" t="str">
        <f>B1096&amp;":"&amp;C1096&amp;":"&amp;D1096</f>
        <v>Interface {#IFNAME}({#IFALIAS}): High bandwidth usage (&gt;{$IF.UTIL.MAX:{#IFNAME}}%)</v>
      </c>
      <c r="H1096" t="e">
        <f>INDEX('7.0.17'!G:G,MATCH(G1096,'7.0.17'!F:F,0))</f>
        <v>#N/A</v>
      </c>
      <c r="I1096" t="e">
        <f t="shared" si="169"/>
        <v>#N/A</v>
      </c>
    </row>
    <row r="1097" spans="1:9">
      <c r="A1097" t="s">
        <v>8862</v>
      </c>
      <c r="B1097" t="s">
        <v>8737</v>
      </c>
      <c r="C1097" t="s">
        <v>8439</v>
      </c>
      <c r="D1097" t="s">
        <v>8440</v>
      </c>
      <c r="E1097" t="s">
        <v>8598</v>
      </c>
      <c r="G1097" t="str">
        <f t="shared" ref="G1097:G1102" si="170">B1097&amp;":"&amp;C1097&amp;":"&amp;D1097&amp;":"&amp;E1097</f>
        <v>CPU: Temperature is above critical threshold: &gt;{$TEMP_CRIT:"CPU"}</v>
      </c>
      <c r="H1097" t="e">
        <f>INDEX('7.0.17'!G:G,MATCH(G1097,'7.0.17'!F:F,0))</f>
        <v>#N/A</v>
      </c>
      <c r="I1097" t="e">
        <f t="shared" si="169"/>
        <v>#N/A</v>
      </c>
    </row>
    <row r="1098" spans="1:9">
      <c r="A1098" t="s">
        <v>8862</v>
      </c>
      <c r="B1098" t="s">
        <v>8737</v>
      </c>
      <c r="C1098" t="s">
        <v>8442</v>
      </c>
      <c r="D1098" t="s">
        <v>8443</v>
      </c>
      <c r="E1098" t="s">
        <v>8598</v>
      </c>
      <c r="G1098" t="str">
        <f t="shared" si="170"/>
        <v>CPU: Temperature is above warning threshold: &gt;{$TEMP_WARN:"CPU"}</v>
      </c>
      <c r="H1098" t="e">
        <f>INDEX('7.0.17'!G:G,MATCH(G1098,'7.0.17'!F:F,0))</f>
        <v>#N/A</v>
      </c>
      <c r="I1098" t="e">
        <f t="shared" si="169"/>
        <v>#N/A</v>
      </c>
    </row>
    <row r="1099" spans="1:9">
      <c r="A1099" t="s">
        <v>8862</v>
      </c>
      <c r="B1099" t="s">
        <v>8737</v>
      </c>
      <c r="C1099" t="s">
        <v>8444</v>
      </c>
      <c r="D1099" t="s">
        <v>8445</v>
      </c>
      <c r="E1099" t="s">
        <v>8598</v>
      </c>
      <c r="G1099" t="str">
        <f t="shared" si="170"/>
        <v>CPU: Temperature is too low: &lt;{$TEMP_CRIT_LOW:"CPU"}</v>
      </c>
      <c r="H1099" t="e">
        <f>INDEX('7.0.17'!G:G,MATCH(G1099,'7.0.17'!F:F,0))</f>
        <v>#N/A</v>
      </c>
      <c r="I1099" t="e">
        <f t="shared" si="169"/>
        <v>#N/A</v>
      </c>
    </row>
    <row r="1100" spans="1:9">
      <c r="A1100" t="s">
        <v>8862</v>
      </c>
      <c r="B1100" t="s">
        <v>8867</v>
      </c>
      <c r="C1100" t="s">
        <v>8439</v>
      </c>
      <c r="D1100" t="s">
        <v>8440</v>
      </c>
      <c r="E1100" t="s">
        <v>8868</v>
      </c>
      <c r="G1100" t="str">
        <f t="shared" si="170"/>
        <v>Device: Temperature is above critical threshold: &gt;{$TEMP_CRIT:Device}</v>
      </c>
      <c r="H1100" t="e">
        <f>INDEX('7.0.17'!G:G,MATCH(G1100,'7.0.17'!F:F,0))</f>
        <v>#N/A</v>
      </c>
      <c r="I1100" t="e">
        <f t="shared" si="169"/>
        <v>#N/A</v>
      </c>
    </row>
    <row r="1101" spans="1:9">
      <c r="A1101" t="s">
        <v>8862</v>
      </c>
      <c r="B1101" t="s">
        <v>8867</v>
      </c>
      <c r="C1101" t="s">
        <v>8442</v>
      </c>
      <c r="D1101" t="s">
        <v>8443</v>
      </c>
      <c r="E1101" t="s">
        <v>8868</v>
      </c>
      <c r="G1101" t="str">
        <f t="shared" si="170"/>
        <v>Device: Temperature is above warning threshold: &gt;{$TEMP_WARN:Device}</v>
      </c>
      <c r="H1101" t="e">
        <f>INDEX('7.0.17'!G:G,MATCH(G1101,'7.0.17'!F:F,0))</f>
        <v>#N/A</v>
      </c>
      <c r="I1101" t="e">
        <f t="shared" si="169"/>
        <v>#N/A</v>
      </c>
    </row>
    <row r="1102" spans="1:9">
      <c r="A1102" t="s">
        <v>8862</v>
      </c>
      <c r="B1102" t="s">
        <v>8867</v>
      </c>
      <c r="C1102" t="s">
        <v>8444</v>
      </c>
      <c r="D1102" t="s">
        <v>8445</v>
      </c>
      <c r="E1102" t="s">
        <v>8868</v>
      </c>
      <c r="G1102" t="str">
        <f t="shared" si="170"/>
        <v>Device: Temperature is too low: &lt;{$TEMP_CRIT_LOW:Device}</v>
      </c>
      <c r="H1102" t="e">
        <f>INDEX('7.0.17'!G:G,MATCH(G1102,'7.0.17'!F:F,0))</f>
        <v>#N/A</v>
      </c>
      <c r="I1102" t="e">
        <f t="shared" si="169"/>
        <v>#N/A</v>
      </c>
    </row>
    <row r="1103" spans="1:9">
      <c r="A1103" t="s">
        <v>8862</v>
      </c>
      <c r="B1103" t="s">
        <v>8564</v>
      </c>
      <c r="C1103" t="s">
        <v>8565</v>
      </c>
      <c r="G1103" t="str">
        <f t="shared" ref="G1103:G1109" si="171">B1103&amp;":"&amp;C1103</f>
        <v>#{#SNMPINDEX}: High CPU utilization (over {$CPU.UTIL.CRIT}% for 5m)</v>
      </c>
      <c r="H1103" t="e">
        <f>INDEX('7.0.17'!G:G,MATCH(G1103,'7.0.17'!F:F,0))</f>
        <v>#N/A</v>
      </c>
      <c r="I1103" t="e">
        <f t="shared" si="169"/>
        <v>#N/A</v>
      </c>
    </row>
    <row r="1104" spans="1:9">
      <c r="A1104" t="s">
        <v>8862</v>
      </c>
      <c r="B1104" t="s">
        <v>8869</v>
      </c>
      <c r="C1104" t="s">
        <v>8512</v>
      </c>
      <c r="D1104" t="s">
        <v>8870</v>
      </c>
      <c r="G1104" t="str">
        <f>B1104&amp;":"&amp;C1104&amp;":"&amp;D1104</f>
        <v>Disk-{#SNMPINDEX}: Disk space is critically low (used &gt; {$VFS.FS.PUSED.MAX.CRIT:Disk-"{#SNMPINDEX}"}%)</v>
      </c>
      <c r="H1104" t="e">
        <f>INDEX('7.0.17'!G:G,MATCH(G1104,'7.0.17'!F:F,0))</f>
        <v>#N/A</v>
      </c>
      <c r="I1104" t="e">
        <f t="shared" si="169"/>
        <v>#N/A</v>
      </c>
    </row>
    <row r="1105" spans="1:9">
      <c r="A1105" t="s">
        <v>8862</v>
      </c>
      <c r="B1105" t="s">
        <v>8869</v>
      </c>
      <c r="C1105" t="s">
        <v>8513</v>
      </c>
      <c r="D1105" t="s">
        <v>8870</v>
      </c>
      <c r="G1105" t="str">
        <f>B1105&amp;":"&amp;C1105&amp;":"&amp;D1105</f>
        <v>Disk-{#SNMPINDEX}: Disk space is low (used &gt; {$VFS.FS.PUSED.MAX.WARN:Disk-"{#SNMPINDEX}"}%)</v>
      </c>
      <c r="H1105" t="e">
        <f>INDEX('7.0.17'!G:G,MATCH(G1105,'7.0.17'!F:F,0))</f>
        <v>#N/A</v>
      </c>
      <c r="I1105" t="e">
        <f t="shared" si="169"/>
        <v>#N/A</v>
      </c>
    </row>
    <row r="1106" spans="1:9">
      <c r="A1106" t="s">
        <v>8862</v>
      </c>
      <c r="B1106" t="s">
        <v>8433</v>
      </c>
      <c r="C1106" t="s">
        <v>8863</v>
      </c>
      <c r="G1106" t="str">
        <f t="shared" si="171"/>
        <v>Interface {#IFNAME}({#IFALIAS}): LTE modem RSRP is low (below {$LTEMODEM.RSRP.MIN.WARN}dbm for 5m)</v>
      </c>
      <c r="H1106" t="e">
        <f>INDEX('7.0.17'!G:G,MATCH(G1106,'7.0.17'!F:F,0))</f>
        <v>#N/A</v>
      </c>
      <c r="I1106" t="e">
        <f t="shared" si="169"/>
        <v>#N/A</v>
      </c>
    </row>
    <row r="1107" spans="1:9">
      <c r="A1107" t="s">
        <v>8862</v>
      </c>
      <c r="B1107" t="s">
        <v>8433</v>
      </c>
      <c r="C1107" t="s">
        <v>8864</v>
      </c>
      <c r="G1107" t="str">
        <f t="shared" si="171"/>
        <v>Interface {#IFNAME}({#IFALIAS}): LTE modem RSRQ is low (below {$LTEMODEM.RSRQ.MIN.WARN}db for 5m)</v>
      </c>
      <c r="H1107" t="e">
        <f>INDEX('7.0.17'!G:G,MATCH(G1107,'7.0.17'!F:F,0))</f>
        <v>#N/A</v>
      </c>
      <c r="I1107" t="e">
        <f t="shared" si="169"/>
        <v>#N/A</v>
      </c>
    </row>
    <row r="1108" spans="1:9">
      <c r="A1108" t="s">
        <v>8862</v>
      </c>
      <c r="B1108" t="s">
        <v>8433</v>
      </c>
      <c r="C1108" t="s">
        <v>8865</v>
      </c>
      <c r="G1108" t="str">
        <f t="shared" si="171"/>
        <v>Interface {#IFNAME}({#IFALIAS}): LTE modem RSSI is low (below {$LTEMODEM.RSSI.MIN.WARN}dbm for 5m)</v>
      </c>
      <c r="H1108" t="e">
        <f>INDEX('7.0.17'!G:G,MATCH(G1108,'7.0.17'!F:F,0))</f>
        <v>#N/A</v>
      </c>
      <c r="I1108" t="e">
        <f t="shared" si="169"/>
        <v>#N/A</v>
      </c>
    </row>
    <row r="1109" spans="1:9">
      <c r="A1109" t="s">
        <v>8862</v>
      </c>
      <c r="B1109" t="s">
        <v>8433</v>
      </c>
      <c r="C1109" t="s">
        <v>8866</v>
      </c>
      <c r="G1109" t="str">
        <f t="shared" si="171"/>
        <v>Interface {#IFNAME}({#IFALIAS}): LTE modem SINR is low (below {$LTEMODEM.SINR.MIN.WARN}db for 5m)</v>
      </c>
      <c r="H1109" t="e">
        <f>INDEX('7.0.17'!G:G,MATCH(G1109,'7.0.17'!F:F,0))</f>
        <v>#N/A</v>
      </c>
      <c r="I1109" t="e">
        <f t="shared" si="169"/>
        <v>#N/A</v>
      </c>
    </row>
    <row r="1110" spans="1:9">
      <c r="A1110" t="s">
        <v>8862</v>
      </c>
      <c r="B1110" t="s">
        <v>8433</v>
      </c>
      <c r="C1110" t="s">
        <v>8434</v>
      </c>
      <c r="D1110" t="s">
        <v>8435</v>
      </c>
      <c r="G1110" t="str">
        <f>B1110&amp;":"&amp;C1110&amp;":"&amp;D1110</f>
        <v>Interface {#IFNAME}({#IFALIAS}): High error rate (&gt;{$IF.ERRORS.WARN:{#IFNAME}} for 5m)</v>
      </c>
      <c r="H1110" t="e">
        <f>INDEX('7.0.17'!G:G,MATCH(G1110,'7.0.17'!F:F,0))</f>
        <v>#N/A</v>
      </c>
      <c r="I1110" t="e">
        <f t="shared" si="169"/>
        <v>#N/A</v>
      </c>
    </row>
    <row r="1111" spans="1:9">
      <c r="A1111" t="s">
        <v>8862</v>
      </c>
      <c r="B1111" t="s">
        <v>8433</v>
      </c>
      <c r="C1111" t="s">
        <v>8436</v>
      </c>
      <c r="D1111" t="s">
        <v>8437</v>
      </c>
      <c r="G1111" t="str">
        <f>B1111&amp;":"&amp;C1111&amp;":"&amp;D1111</f>
        <v>Interface {#IFNAME}({#IFALIAS}): High bandwidth usage (&gt;{$IF.UTIL.MAX:{#IFNAME}}%)</v>
      </c>
      <c r="H1111" t="e">
        <f>INDEX('7.0.17'!G:G,MATCH(G1111,'7.0.17'!F:F,0))</f>
        <v>#N/A</v>
      </c>
      <c r="I1111" t="e">
        <f t="shared" si="169"/>
        <v>#N/A</v>
      </c>
    </row>
    <row r="1112" spans="1:9">
      <c r="A1112" t="s">
        <v>8862</v>
      </c>
      <c r="B1112" t="s">
        <v>8737</v>
      </c>
      <c r="C1112" t="s">
        <v>8439</v>
      </c>
      <c r="D1112" t="s">
        <v>8440</v>
      </c>
      <c r="E1112" t="s">
        <v>8598</v>
      </c>
      <c r="G1112" t="str">
        <f t="shared" ref="G1112:G1117" si="172">B1112&amp;":"&amp;C1112&amp;":"&amp;D1112&amp;":"&amp;E1112</f>
        <v>CPU: Temperature is above critical threshold: &gt;{$TEMP_CRIT:"CPU"}</v>
      </c>
      <c r="H1112" t="e">
        <f>INDEX('7.0.17'!G:G,MATCH(G1112,'7.0.17'!F:F,0))</f>
        <v>#N/A</v>
      </c>
      <c r="I1112" t="e">
        <f t="shared" si="169"/>
        <v>#N/A</v>
      </c>
    </row>
    <row r="1113" spans="1:9">
      <c r="A1113" t="s">
        <v>8862</v>
      </c>
      <c r="B1113" t="s">
        <v>8737</v>
      </c>
      <c r="C1113" t="s">
        <v>8442</v>
      </c>
      <c r="D1113" t="s">
        <v>8443</v>
      </c>
      <c r="E1113" t="s">
        <v>8598</v>
      </c>
      <c r="G1113" t="str">
        <f t="shared" si="172"/>
        <v>CPU: Temperature is above warning threshold: &gt;{$TEMP_WARN:"CPU"}</v>
      </c>
      <c r="H1113" t="e">
        <f>INDEX('7.0.17'!G:G,MATCH(G1113,'7.0.17'!F:F,0))</f>
        <v>#N/A</v>
      </c>
      <c r="I1113" t="e">
        <f t="shared" si="169"/>
        <v>#N/A</v>
      </c>
    </row>
    <row r="1114" spans="1:9">
      <c r="A1114" t="s">
        <v>8862</v>
      </c>
      <c r="B1114" t="s">
        <v>8737</v>
      </c>
      <c r="C1114" t="s">
        <v>8444</v>
      </c>
      <c r="D1114" t="s">
        <v>8445</v>
      </c>
      <c r="E1114" t="s">
        <v>8598</v>
      </c>
      <c r="G1114" t="str">
        <f t="shared" si="172"/>
        <v>CPU: Temperature is too low: &lt;{$TEMP_CRIT_LOW:"CPU"}</v>
      </c>
      <c r="H1114" t="e">
        <f>INDEX('7.0.17'!G:G,MATCH(G1114,'7.0.17'!F:F,0))</f>
        <v>#N/A</v>
      </c>
      <c r="I1114" t="e">
        <f t="shared" si="169"/>
        <v>#N/A</v>
      </c>
    </row>
    <row r="1115" spans="1:9">
      <c r="A1115" t="s">
        <v>8862</v>
      </c>
      <c r="B1115" t="s">
        <v>8867</v>
      </c>
      <c r="C1115" t="s">
        <v>8439</v>
      </c>
      <c r="D1115" t="s">
        <v>8440</v>
      </c>
      <c r="E1115" t="s">
        <v>8868</v>
      </c>
      <c r="G1115" t="str">
        <f t="shared" si="172"/>
        <v>Device: Temperature is above critical threshold: &gt;{$TEMP_CRIT:Device}</v>
      </c>
      <c r="H1115" t="e">
        <f>INDEX('7.0.17'!G:G,MATCH(G1115,'7.0.17'!F:F,0))</f>
        <v>#N/A</v>
      </c>
      <c r="I1115" t="e">
        <f t="shared" si="169"/>
        <v>#N/A</v>
      </c>
    </row>
    <row r="1116" spans="1:9">
      <c r="A1116" t="s">
        <v>8862</v>
      </c>
      <c r="B1116" t="s">
        <v>8867</v>
      </c>
      <c r="C1116" t="s">
        <v>8442</v>
      </c>
      <c r="D1116" t="s">
        <v>8443</v>
      </c>
      <c r="E1116" t="s">
        <v>8868</v>
      </c>
      <c r="G1116" t="str">
        <f t="shared" si="172"/>
        <v>Device: Temperature is above warning threshold: &gt;{$TEMP_WARN:Device}</v>
      </c>
      <c r="H1116" t="e">
        <f>INDEX('7.0.17'!G:G,MATCH(G1116,'7.0.17'!F:F,0))</f>
        <v>#N/A</v>
      </c>
      <c r="I1116" t="e">
        <f t="shared" si="169"/>
        <v>#N/A</v>
      </c>
    </row>
    <row r="1117" spans="1:9">
      <c r="A1117" t="s">
        <v>8862</v>
      </c>
      <c r="B1117" t="s">
        <v>8867</v>
      </c>
      <c r="C1117" t="s">
        <v>8444</v>
      </c>
      <c r="D1117" t="s">
        <v>8445</v>
      </c>
      <c r="E1117" t="s">
        <v>8868</v>
      </c>
      <c r="G1117" t="str">
        <f t="shared" si="172"/>
        <v>Device: Temperature is too low: &lt;{$TEMP_CRIT_LOW:Device}</v>
      </c>
      <c r="H1117" t="e">
        <f>INDEX('7.0.17'!G:G,MATCH(G1117,'7.0.17'!F:F,0))</f>
        <v>#N/A</v>
      </c>
      <c r="I1117" t="e">
        <f t="shared" si="169"/>
        <v>#N/A</v>
      </c>
    </row>
    <row r="1118" spans="1:9">
      <c r="A1118" t="s">
        <v>8862</v>
      </c>
      <c r="B1118" t="s">
        <v>8564</v>
      </c>
      <c r="C1118" t="s">
        <v>8565</v>
      </c>
      <c r="G1118" t="str">
        <f t="shared" ref="G1118:G1124" si="173">B1118&amp;":"&amp;C1118</f>
        <v>#{#SNMPINDEX}: High CPU utilization (over {$CPU.UTIL.CRIT}% for 5m)</v>
      </c>
      <c r="H1118" t="e">
        <f>INDEX('7.0.17'!G:G,MATCH(G1118,'7.0.17'!F:F,0))</f>
        <v>#N/A</v>
      </c>
      <c r="I1118" t="e">
        <f t="shared" si="169"/>
        <v>#N/A</v>
      </c>
    </row>
    <row r="1119" spans="1:9">
      <c r="A1119" t="s">
        <v>8862</v>
      </c>
      <c r="B1119" t="s">
        <v>8869</v>
      </c>
      <c r="C1119" t="s">
        <v>8512</v>
      </c>
      <c r="D1119" t="s">
        <v>8870</v>
      </c>
      <c r="G1119" t="str">
        <f>B1119&amp;":"&amp;C1119&amp;":"&amp;D1119</f>
        <v>Disk-{#SNMPINDEX}: Disk space is critically low (used &gt; {$VFS.FS.PUSED.MAX.CRIT:Disk-"{#SNMPINDEX}"}%)</v>
      </c>
      <c r="H1119" t="e">
        <f>INDEX('7.0.17'!G:G,MATCH(G1119,'7.0.17'!F:F,0))</f>
        <v>#N/A</v>
      </c>
      <c r="I1119" t="e">
        <f t="shared" si="169"/>
        <v>#N/A</v>
      </c>
    </row>
    <row r="1120" spans="1:9">
      <c r="A1120" t="s">
        <v>8862</v>
      </c>
      <c r="B1120" t="s">
        <v>8869</v>
      </c>
      <c r="C1120" t="s">
        <v>8513</v>
      </c>
      <c r="D1120" t="s">
        <v>8870</v>
      </c>
      <c r="G1120" t="str">
        <f>B1120&amp;":"&amp;C1120&amp;":"&amp;D1120</f>
        <v>Disk-{#SNMPINDEX}: Disk space is low (used &gt; {$VFS.FS.PUSED.MAX.WARN:Disk-"{#SNMPINDEX}"}%)</v>
      </c>
      <c r="H1120" t="e">
        <f>INDEX('7.0.17'!G:G,MATCH(G1120,'7.0.17'!F:F,0))</f>
        <v>#N/A</v>
      </c>
      <c r="I1120" t="e">
        <f t="shared" si="169"/>
        <v>#N/A</v>
      </c>
    </row>
    <row r="1121" spans="1:9">
      <c r="A1121" t="s">
        <v>8862</v>
      </c>
      <c r="B1121" t="s">
        <v>8433</v>
      </c>
      <c r="C1121" t="s">
        <v>8863</v>
      </c>
      <c r="G1121" t="str">
        <f t="shared" si="173"/>
        <v>Interface {#IFNAME}({#IFALIAS}): LTE modem RSRP is low (below {$LTEMODEM.RSRP.MIN.WARN}dbm for 5m)</v>
      </c>
      <c r="H1121" t="e">
        <f>INDEX('7.0.17'!G:G,MATCH(G1121,'7.0.17'!F:F,0))</f>
        <v>#N/A</v>
      </c>
      <c r="I1121" t="e">
        <f t="shared" si="169"/>
        <v>#N/A</v>
      </c>
    </row>
    <row r="1122" spans="1:9">
      <c r="A1122" t="s">
        <v>8862</v>
      </c>
      <c r="B1122" t="s">
        <v>8433</v>
      </c>
      <c r="C1122" t="s">
        <v>8864</v>
      </c>
      <c r="G1122" t="str">
        <f t="shared" si="173"/>
        <v>Interface {#IFNAME}({#IFALIAS}): LTE modem RSRQ is low (below {$LTEMODEM.RSRQ.MIN.WARN}db for 5m)</v>
      </c>
      <c r="H1122" t="e">
        <f>INDEX('7.0.17'!G:G,MATCH(G1122,'7.0.17'!F:F,0))</f>
        <v>#N/A</v>
      </c>
      <c r="I1122" t="e">
        <f t="shared" si="169"/>
        <v>#N/A</v>
      </c>
    </row>
    <row r="1123" spans="1:9">
      <c r="A1123" t="s">
        <v>8862</v>
      </c>
      <c r="B1123" t="s">
        <v>8433</v>
      </c>
      <c r="C1123" t="s">
        <v>8865</v>
      </c>
      <c r="G1123" t="str">
        <f t="shared" si="173"/>
        <v>Interface {#IFNAME}({#IFALIAS}): LTE modem RSSI is low (below {$LTEMODEM.RSSI.MIN.WARN}dbm for 5m)</v>
      </c>
      <c r="H1123" t="e">
        <f>INDEX('7.0.17'!G:G,MATCH(G1123,'7.0.17'!F:F,0))</f>
        <v>#N/A</v>
      </c>
      <c r="I1123" t="e">
        <f t="shared" si="169"/>
        <v>#N/A</v>
      </c>
    </row>
    <row r="1124" spans="1:9">
      <c r="A1124" t="s">
        <v>8862</v>
      </c>
      <c r="B1124" t="s">
        <v>8433</v>
      </c>
      <c r="C1124" t="s">
        <v>8866</v>
      </c>
      <c r="G1124" t="str">
        <f t="shared" si="173"/>
        <v>Interface {#IFNAME}({#IFALIAS}): LTE modem SINR is low (below {$LTEMODEM.SINR.MIN.WARN}db for 5m)</v>
      </c>
      <c r="H1124" t="e">
        <f>INDEX('7.0.17'!G:G,MATCH(G1124,'7.0.17'!F:F,0))</f>
        <v>#N/A</v>
      </c>
      <c r="I1124" t="e">
        <f t="shared" si="169"/>
        <v>#N/A</v>
      </c>
    </row>
    <row r="1125" spans="1:9">
      <c r="A1125" t="s">
        <v>8862</v>
      </c>
      <c r="B1125" t="s">
        <v>8433</v>
      </c>
      <c r="C1125" t="s">
        <v>8434</v>
      </c>
      <c r="D1125" t="s">
        <v>8435</v>
      </c>
      <c r="G1125" t="str">
        <f>B1125&amp;":"&amp;C1125&amp;":"&amp;D1125</f>
        <v>Interface {#IFNAME}({#IFALIAS}): High error rate (&gt;{$IF.ERRORS.WARN:{#IFNAME}} for 5m)</v>
      </c>
      <c r="H1125" t="e">
        <f>INDEX('7.0.17'!G:G,MATCH(G1125,'7.0.17'!F:F,0))</f>
        <v>#N/A</v>
      </c>
      <c r="I1125" t="e">
        <f t="shared" si="169"/>
        <v>#N/A</v>
      </c>
    </row>
    <row r="1126" spans="1:9">
      <c r="A1126" t="s">
        <v>8862</v>
      </c>
      <c r="B1126" t="s">
        <v>8433</v>
      </c>
      <c r="C1126" t="s">
        <v>8436</v>
      </c>
      <c r="D1126" t="s">
        <v>8437</v>
      </c>
      <c r="G1126" t="str">
        <f>B1126&amp;":"&amp;C1126&amp;":"&amp;D1126</f>
        <v>Interface {#IFNAME}({#IFALIAS}): High bandwidth usage (&gt;{$IF.UTIL.MAX:{#IFNAME}}%)</v>
      </c>
      <c r="H1126" t="e">
        <f>INDEX('7.0.17'!G:G,MATCH(G1126,'7.0.17'!F:F,0))</f>
        <v>#N/A</v>
      </c>
      <c r="I1126" t="e">
        <f t="shared" si="169"/>
        <v>#N/A</v>
      </c>
    </row>
    <row r="1127" spans="1:9">
      <c r="A1127" t="s">
        <v>8862</v>
      </c>
      <c r="B1127" t="s">
        <v>8737</v>
      </c>
      <c r="C1127" t="s">
        <v>8439</v>
      </c>
      <c r="D1127" t="s">
        <v>8440</v>
      </c>
      <c r="E1127" t="s">
        <v>8598</v>
      </c>
      <c r="G1127" t="str">
        <f t="shared" ref="G1127:G1132" si="174">B1127&amp;":"&amp;C1127&amp;":"&amp;D1127&amp;":"&amp;E1127</f>
        <v>CPU: Temperature is above critical threshold: &gt;{$TEMP_CRIT:"CPU"}</v>
      </c>
      <c r="H1127" t="e">
        <f>INDEX('7.0.17'!G:G,MATCH(G1127,'7.0.17'!F:F,0))</f>
        <v>#N/A</v>
      </c>
      <c r="I1127" t="e">
        <f t="shared" si="169"/>
        <v>#N/A</v>
      </c>
    </row>
    <row r="1128" spans="1:9">
      <c r="A1128" t="s">
        <v>8862</v>
      </c>
      <c r="B1128" t="s">
        <v>8737</v>
      </c>
      <c r="C1128" t="s">
        <v>8442</v>
      </c>
      <c r="D1128" t="s">
        <v>8443</v>
      </c>
      <c r="E1128" t="s">
        <v>8598</v>
      </c>
      <c r="G1128" t="str">
        <f t="shared" si="174"/>
        <v>CPU: Temperature is above warning threshold: &gt;{$TEMP_WARN:"CPU"}</v>
      </c>
      <c r="H1128" t="e">
        <f>INDEX('7.0.17'!G:G,MATCH(G1128,'7.0.17'!F:F,0))</f>
        <v>#N/A</v>
      </c>
      <c r="I1128" t="e">
        <f t="shared" si="169"/>
        <v>#N/A</v>
      </c>
    </row>
    <row r="1129" spans="1:9">
      <c r="A1129" t="s">
        <v>8862</v>
      </c>
      <c r="B1129" t="s">
        <v>8737</v>
      </c>
      <c r="C1129" t="s">
        <v>8444</v>
      </c>
      <c r="D1129" t="s">
        <v>8445</v>
      </c>
      <c r="E1129" t="s">
        <v>8598</v>
      </c>
      <c r="G1129" t="str">
        <f t="shared" si="174"/>
        <v>CPU: Temperature is too low: &lt;{$TEMP_CRIT_LOW:"CPU"}</v>
      </c>
      <c r="H1129" t="e">
        <f>INDEX('7.0.17'!G:G,MATCH(G1129,'7.0.17'!F:F,0))</f>
        <v>#N/A</v>
      </c>
      <c r="I1129" t="e">
        <f t="shared" si="169"/>
        <v>#N/A</v>
      </c>
    </row>
    <row r="1130" spans="1:9">
      <c r="A1130" t="s">
        <v>8862</v>
      </c>
      <c r="B1130" t="s">
        <v>8867</v>
      </c>
      <c r="C1130" t="s">
        <v>8439</v>
      </c>
      <c r="D1130" t="s">
        <v>8440</v>
      </c>
      <c r="E1130" t="s">
        <v>8868</v>
      </c>
      <c r="G1130" t="str">
        <f t="shared" si="174"/>
        <v>Device: Temperature is above critical threshold: &gt;{$TEMP_CRIT:Device}</v>
      </c>
      <c r="H1130" t="e">
        <f>INDEX('7.0.17'!G:G,MATCH(G1130,'7.0.17'!F:F,0))</f>
        <v>#N/A</v>
      </c>
      <c r="I1130" t="e">
        <f t="shared" si="169"/>
        <v>#N/A</v>
      </c>
    </row>
    <row r="1131" spans="1:9">
      <c r="A1131" t="s">
        <v>8862</v>
      </c>
      <c r="B1131" t="s">
        <v>8867</v>
      </c>
      <c r="C1131" t="s">
        <v>8442</v>
      </c>
      <c r="D1131" t="s">
        <v>8443</v>
      </c>
      <c r="E1131" t="s">
        <v>8868</v>
      </c>
      <c r="G1131" t="str">
        <f t="shared" si="174"/>
        <v>Device: Temperature is above warning threshold: &gt;{$TEMP_WARN:Device}</v>
      </c>
      <c r="H1131" t="e">
        <f>INDEX('7.0.17'!G:G,MATCH(G1131,'7.0.17'!F:F,0))</f>
        <v>#N/A</v>
      </c>
      <c r="I1131" t="e">
        <f t="shared" si="169"/>
        <v>#N/A</v>
      </c>
    </row>
    <row r="1132" spans="1:9">
      <c r="A1132" t="s">
        <v>8862</v>
      </c>
      <c r="B1132" t="s">
        <v>8867</v>
      </c>
      <c r="C1132" t="s">
        <v>8444</v>
      </c>
      <c r="D1132" t="s">
        <v>8445</v>
      </c>
      <c r="E1132" t="s">
        <v>8868</v>
      </c>
      <c r="G1132" t="str">
        <f t="shared" si="174"/>
        <v>Device: Temperature is too low: &lt;{$TEMP_CRIT_LOW:Device}</v>
      </c>
      <c r="H1132" t="e">
        <f>INDEX('7.0.17'!G:G,MATCH(G1132,'7.0.17'!F:F,0))</f>
        <v>#N/A</v>
      </c>
      <c r="I1132" t="e">
        <f t="shared" si="169"/>
        <v>#N/A</v>
      </c>
    </row>
    <row r="1133" spans="1:9">
      <c r="A1133" t="s">
        <v>8862</v>
      </c>
      <c r="B1133" t="s">
        <v>8564</v>
      </c>
      <c r="C1133" t="s">
        <v>8565</v>
      </c>
      <c r="G1133" t="str">
        <f t="shared" ref="G1133:G1139" si="175">B1133&amp;":"&amp;C1133</f>
        <v>#{#SNMPINDEX}: High CPU utilization (over {$CPU.UTIL.CRIT}% for 5m)</v>
      </c>
      <c r="H1133" t="e">
        <f>INDEX('7.0.17'!G:G,MATCH(G1133,'7.0.17'!F:F,0))</f>
        <v>#N/A</v>
      </c>
      <c r="I1133" t="e">
        <f t="shared" si="169"/>
        <v>#N/A</v>
      </c>
    </row>
    <row r="1134" spans="1:9">
      <c r="A1134" t="s">
        <v>8862</v>
      </c>
      <c r="B1134" t="s">
        <v>8869</v>
      </c>
      <c r="C1134" t="s">
        <v>8512</v>
      </c>
      <c r="D1134" t="s">
        <v>8870</v>
      </c>
      <c r="G1134" t="str">
        <f>B1134&amp;":"&amp;C1134&amp;":"&amp;D1134</f>
        <v>Disk-{#SNMPINDEX}: Disk space is critically low (used &gt; {$VFS.FS.PUSED.MAX.CRIT:Disk-"{#SNMPINDEX}"}%)</v>
      </c>
      <c r="H1134" t="e">
        <f>INDEX('7.0.17'!G:G,MATCH(G1134,'7.0.17'!F:F,0))</f>
        <v>#N/A</v>
      </c>
      <c r="I1134" t="e">
        <f t="shared" si="169"/>
        <v>#N/A</v>
      </c>
    </row>
    <row r="1135" spans="1:9">
      <c r="A1135" t="s">
        <v>8862</v>
      </c>
      <c r="B1135" t="s">
        <v>8869</v>
      </c>
      <c r="C1135" t="s">
        <v>8513</v>
      </c>
      <c r="D1135" t="s">
        <v>8870</v>
      </c>
      <c r="G1135" t="str">
        <f>B1135&amp;":"&amp;C1135&amp;":"&amp;D1135</f>
        <v>Disk-{#SNMPINDEX}: Disk space is low (used &gt; {$VFS.FS.PUSED.MAX.WARN:Disk-"{#SNMPINDEX}"}%)</v>
      </c>
      <c r="H1135" t="e">
        <f>INDEX('7.0.17'!G:G,MATCH(G1135,'7.0.17'!F:F,0))</f>
        <v>#N/A</v>
      </c>
      <c r="I1135" t="e">
        <f t="shared" si="169"/>
        <v>#N/A</v>
      </c>
    </row>
    <row r="1136" spans="1:9">
      <c r="A1136" t="s">
        <v>8862</v>
      </c>
      <c r="B1136" t="s">
        <v>8433</v>
      </c>
      <c r="C1136" t="s">
        <v>8863</v>
      </c>
      <c r="G1136" t="str">
        <f t="shared" si="175"/>
        <v>Interface {#IFNAME}({#IFALIAS}): LTE modem RSRP is low (below {$LTEMODEM.RSRP.MIN.WARN}dbm for 5m)</v>
      </c>
      <c r="H1136" t="e">
        <f>INDEX('7.0.17'!G:G,MATCH(G1136,'7.0.17'!F:F,0))</f>
        <v>#N/A</v>
      </c>
      <c r="I1136" t="e">
        <f t="shared" si="169"/>
        <v>#N/A</v>
      </c>
    </row>
    <row r="1137" spans="1:9">
      <c r="A1137" t="s">
        <v>8862</v>
      </c>
      <c r="B1137" t="s">
        <v>8433</v>
      </c>
      <c r="C1137" t="s">
        <v>8864</v>
      </c>
      <c r="G1137" t="str">
        <f t="shared" si="175"/>
        <v>Interface {#IFNAME}({#IFALIAS}): LTE modem RSRQ is low (below {$LTEMODEM.RSRQ.MIN.WARN}db for 5m)</v>
      </c>
      <c r="H1137" t="e">
        <f>INDEX('7.0.17'!G:G,MATCH(G1137,'7.0.17'!F:F,0))</f>
        <v>#N/A</v>
      </c>
      <c r="I1137" t="e">
        <f t="shared" si="169"/>
        <v>#N/A</v>
      </c>
    </row>
    <row r="1138" spans="1:9">
      <c r="A1138" t="s">
        <v>8862</v>
      </c>
      <c r="B1138" t="s">
        <v>8433</v>
      </c>
      <c r="C1138" t="s">
        <v>8865</v>
      </c>
      <c r="G1138" t="str">
        <f t="shared" si="175"/>
        <v>Interface {#IFNAME}({#IFALIAS}): LTE modem RSSI is low (below {$LTEMODEM.RSSI.MIN.WARN}dbm for 5m)</v>
      </c>
      <c r="H1138" t="e">
        <f>INDEX('7.0.17'!G:G,MATCH(G1138,'7.0.17'!F:F,0))</f>
        <v>#N/A</v>
      </c>
      <c r="I1138" t="e">
        <f t="shared" si="169"/>
        <v>#N/A</v>
      </c>
    </row>
    <row r="1139" spans="1:9">
      <c r="A1139" t="s">
        <v>8862</v>
      </c>
      <c r="B1139" t="s">
        <v>8433</v>
      </c>
      <c r="C1139" t="s">
        <v>8866</v>
      </c>
      <c r="G1139" t="str">
        <f t="shared" si="175"/>
        <v>Interface {#IFNAME}({#IFALIAS}): LTE modem SINR is low (below {$LTEMODEM.SINR.MIN.WARN}db for 5m)</v>
      </c>
      <c r="H1139" t="e">
        <f>INDEX('7.0.17'!G:G,MATCH(G1139,'7.0.17'!F:F,0))</f>
        <v>#N/A</v>
      </c>
      <c r="I1139" t="e">
        <f t="shared" si="169"/>
        <v>#N/A</v>
      </c>
    </row>
    <row r="1140" spans="1:9">
      <c r="A1140" t="s">
        <v>8862</v>
      </c>
      <c r="B1140" t="s">
        <v>8433</v>
      </c>
      <c r="C1140" t="s">
        <v>8434</v>
      </c>
      <c r="D1140" t="s">
        <v>8435</v>
      </c>
      <c r="G1140" t="str">
        <f>B1140&amp;":"&amp;C1140&amp;":"&amp;D1140</f>
        <v>Interface {#IFNAME}({#IFALIAS}): High error rate (&gt;{$IF.ERRORS.WARN:{#IFNAME}} for 5m)</v>
      </c>
      <c r="H1140" t="e">
        <f>INDEX('7.0.17'!G:G,MATCH(G1140,'7.0.17'!F:F,0))</f>
        <v>#N/A</v>
      </c>
      <c r="I1140" t="e">
        <f t="shared" si="169"/>
        <v>#N/A</v>
      </c>
    </row>
    <row r="1141" spans="1:9">
      <c r="A1141" t="s">
        <v>8862</v>
      </c>
      <c r="B1141" t="s">
        <v>8433</v>
      </c>
      <c r="C1141" t="s">
        <v>8436</v>
      </c>
      <c r="D1141" t="s">
        <v>8437</v>
      </c>
      <c r="G1141" t="str">
        <f>B1141&amp;":"&amp;C1141&amp;":"&amp;D1141</f>
        <v>Interface {#IFNAME}({#IFALIAS}): High bandwidth usage (&gt;{$IF.UTIL.MAX:{#IFNAME}}%)</v>
      </c>
      <c r="H1141" t="e">
        <f>INDEX('7.0.17'!G:G,MATCH(G1141,'7.0.17'!F:F,0))</f>
        <v>#N/A</v>
      </c>
      <c r="I1141" t="e">
        <f t="shared" si="169"/>
        <v>#N/A</v>
      </c>
    </row>
    <row r="1142" spans="1:9">
      <c r="A1142" t="s">
        <v>8862</v>
      </c>
      <c r="B1142" t="s">
        <v>8737</v>
      </c>
      <c r="C1142" t="s">
        <v>8439</v>
      </c>
      <c r="D1142" t="s">
        <v>8440</v>
      </c>
      <c r="E1142" t="s">
        <v>8598</v>
      </c>
      <c r="G1142" t="str">
        <f t="shared" ref="G1142:G1147" si="176">B1142&amp;":"&amp;C1142&amp;":"&amp;D1142&amp;":"&amp;E1142</f>
        <v>CPU: Temperature is above critical threshold: &gt;{$TEMP_CRIT:"CPU"}</v>
      </c>
      <c r="H1142" t="e">
        <f>INDEX('7.0.17'!G:G,MATCH(G1142,'7.0.17'!F:F,0))</f>
        <v>#N/A</v>
      </c>
      <c r="I1142" t="e">
        <f t="shared" si="169"/>
        <v>#N/A</v>
      </c>
    </row>
    <row r="1143" spans="1:9">
      <c r="A1143" t="s">
        <v>8862</v>
      </c>
      <c r="B1143" t="s">
        <v>8737</v>
      </c>
      <c r="C1143" t="s">
        <v>8442</v>
      </c>
      <c r="D1143" t="s">
        <v>8443</v>
      </c>
      <c r="E1143" t="s">
        <v>8598</v>
      </c>
      <c r="G1143" t="str">
        <f t="shared" si="176"/>
        <v>CPU: Temperature is above warning threshold: &gt;{$TEMP_WARN:"CPU"}</v>
      </c>
      <c r="H1143" t="e">
        <f>INDEX('7.0.17'!G:G,MATCH(G1143,'7.0.17'!F:F,0))</f>
        <v>#N/A</v>
      </c>
      <c r="I1143" t="e">
        <f t="shared" si="169"/>
        <v>#N/A</v>
      </c>
    </row>
    <row r="1144" spans="1:9">
      <c r="A1144" t="s">
        <v>8862</v>
      </c>
      <c r="B1144" t="s">
        <v>8737</v>
      </c>
      <c r="C1144" t="s">
        <v>8444</v>
      </c>
      <c r="D1144" t="s">
        <v>8445</v>
      </c>
      <c r="E1144" t="s">
        <v>8598</v>
      </c>
      <c r="G1144" t="str">
        <f t="shared" si="176"/>
        <v>CPU: Temperature is too low: &lt;{$TEMP_CRIT_LOW:"CPU"}</v>
      </c>
      <c r="H1144" t="e">
        <f>INDEX('7.0.17'!G:G,MATCH(G1144,'7.0.17'!F:F,0))</f>
        <v>#N/A</v>
      </c>
      <c r="I1144" t="e">
        <f t="shared" si="169"/>
        <v>#N/A</v>
      </c>
    </row>
    <row r="1145" spans="1:9">
      <c r="A1145" t="s">
        <v>8862</v>
      </c>
      <c r="B1145" t="s">
        <v>8867</v>
      </c>
      <c r="C1145" t="s">
        <v>8439</v>
      </c>
      <c r="D1145" t="s">
        <v>8440</v>
      </c>
      <c r="E1145" t="s">
        <v>8868</v>
      </c>
      <c r="G1145" t="str">
        <f t="shared" si="176"/>
        <v>Device: Temperature is above critical threshold: &gt;{$TEMP_CRIT:Device}</v>
      </c>
      <c r="H1145" t="e">
        <f>INDEX('7.0.17'!G:G,MATCH(G1145,'7.0.17'!F:F,0))</f>
        <v>#N/A</v>
      </c>
      <c r="I1145" t="e">
        <f t="shared" si="169"/>
        <v>#N/A</v>
      </c>
    </row>
    <row r="1146" spans="1:9">
      <c r="A1146" t="s">
        <v>8862</v>
      </c>
      <c r="B1146" t="s">
        <v>8867</v>
      </c>
      <c r="C1146" t="s">
        <v>8442</v>
      </c>
      <c r="D1146" t="s">
        <v>8443</v>
      </c>
      <c r="E1146" t="s">
        <v>8868</v>
      </c>
      <c r="G1146" t="str">
        <f t="shared" si="176"/>
        <v>Device: Temperature is above warning threshold: &gt;{$TEMP_WARN:Device}</v>
      </c>
      <c r="H1146" t="e">
        <f>INDEX('7.0.17'!G:G,MATCH(G1146,'7.0.17'!F:F,0))</f>
        <v>#N/A</v>
      </c>
      <c r="I1146" t="e">
        <f t="shared" si="169"/>
        <v>#N/A</v>
      </c>
    </row>
    <row r="1147" spans="1:9">
      <c r="A1147" t="s">
        <v>8862</v>
      </c>
      <c r="B1147" t="s">
        <v>8867</v>
      </c>
      <c r="C1147" t="s">
        <v>8444</v>
      </c>
      <c r="D1147" t="s">
        <v>8445</v>
      </c>
      <c r="E1147" t="s">
        <v>8868</v>
      </c>
      <c r="G1147" t="str">
        <f t="shared" si="176"/>
        <v>Device: Temperature is too low: &lt;{$TEMP_CRIT_LOW:Device}</v>
      </c>
      <c r="H1147" t="e">
        <f>INDEX('7.0.17'!G:G,MATCH(G1147,'7.0.17'!F:F,0))</f>
        <v>#N/A</v>
      </c>
      <c r="I1147" t="e">
        <f t="shared" si="169"/>
        <v>#N/A</v>
      </c>
    </row>
    <row r="1148" spans="1:9">
      <c r="A1148" t="s">
        <v>8862</v>
      </c>
      <c r="B1148" t="s">
        <v>8564</v>
      </c>
      <c r="C1148" t="s">
        <v>8565</v>
      </c>
      <c r="G1148" t="str">
        <f t="shared" ref="G1148:G1154" si="177">B1148&amp;":"&amp;C1148</f>
        <v>#{#SNMPINDEX}: High CPU utilization (over {$CPU.UTIL.CRIT}% for 5m)</v>
      </c>
      <c r="H1148" t="e">
        <f>INDEX('7.0.17'!G:G,MATCH(G1148,'7.0.17'!F:F,0))</f>
        <v>#N/A</v>
      </c>
      <c r="I1148" t="e">
        <f t="shared" si="169"/>
        <v>#N/A</v>
      </c>
    </row>
    <row r="1149" spans="1:9">
      <c r="A1149" t="s">
        <v>8862</v>
      </c>
      <c r="B1149" t="s">
        <v>8869</v>
      </c>
      <c r="C1149" t="s">
        <v>8512</v>
      </c>
      <c r="D1149" t="s">
        <v>8870</v>
      </c>
      <c r="G1149" t="str">
        <f>B1149&amp;":"&amp;C1149&amp;":"&amp;D1149</f>
        <v>Disk-{#SNMPINDEX}: Disk space is critically low (used &gt; {$VFS.FS.PUSED.MAX.CRIT:Disk-"{#SNMPINDEX}"}%)</v>
      </c>
      <c r="H1149" t="e">
        <f>INDEX('7.0.17'!G:G,MATCH(G1149,'7.0.17'!F:F,0))</f>
        <v>#N/A</v>
      </c>
      <c r="I1149" t="e">
        <f t="shared" si="169"/>
        <v>#N/A</v>
      </c>
    </row>
    <row r="1150" spans="1:9">
      <c r="A1150" t="s">
        <v>8862</v>
      </c>
      <c r="B1150" t="s">
        <v>8869</v>
      </c>
      <c r="C1150" t="s">
        <v>8513</v>
      </c>
      <c r="D1150" t="s">
        <v>8870</v>
      </c>
      <c r="G1150" t="str">
        <f>B1150&amp;":"&amp;C1150&amp;":"&amp;D1150</f>
        <v>Disk-{#SNMPINDEX}: Disk space is low (used &gt; {$VFS.FS.PUSED.MAX.WARN:Disk-"{#SNMPINDEX}"}%)</v>
      </c>
      <c r="H1150" t="e">
        <f>INDEX('7.0.17'!G:G,MATCH(G1150,'7.0.17'!F:F,0))</f>
        <v>#N/A</v>
      </c>
      <c r="I1150" t="e">
        <f t="shared" si="169"/>
        <v>#N/A</v>
      </c>
    </row>
    <row r="1151" spans="1:9">
      <c r="A1151" t="s">
        <v>8862</v>
      </c>
      <c r="B1151" t="s">
        <v>8433</v>
      </c>
      <c r="C1151" t="s">
        <v>8863</v>
      </c>
      <c r="G1151" t="str">
        <f t="shared" si="177"/>
        <v>Interface {#IFNAME}({#IFALIAS}): LTE modem RSRP is low (below {$LTEMODEM.RSRP.MIN.WARN}dbm for 5m)</v>
      </c>
      <c r="H1151" t="e">
        <f>INDEX('7.0.17'!G:G,MATCH(G1151,'7.0.17'!F:F,0))</f>
        <v>#N/A</v>
      </c>
      <c r="I1151" t="e">
        <f t="shared" si="169"/>
        <v>#N/A</v>
      </c>
    </row>
    <row r="1152" spans="1:9">
      <c r="A1152" t="s">
        <v>8862</v>
      </c>
      <c r="B1152" t="s">
        <v>8433</v>
      </c>
      <c r="C1152" t="s">
        <v>8864</v>
      </c>
      <c r="G1152" t="str">
        <f t="shared" si="177"/>
        <v>Interface {#IFNAME}({#IFALIAS}): LTE modem RSRQ is low (below {$LTEMODEM.RSRQ.MIN.WARN}db for 5m)</v>
      </c>
      <c r="H1152" t="e">
        <f>INDEX('7.0.17'!G:G,MATCH(G1152,'7.0.17'!F:F,0))</f>
        <v>#N/A</v>
      </c>
      <c r="I1152" t="e">
        <f t="shared" si="169"/>
        <v>#N/A</v>
      </c>
    </row>
    <row r="1153" spans="1:9">
      <c r="A1153" t="s">
        <v>8862</v>
      </c>
      <c r="B1153" t="s">
        <v>8433</v>
      </c>
      <c r="C1153" t="s">
        <v>8865</v>
      </c>
      <c r="G1153" t="str">
        <f t="shared" si="177"/>
        <v>Interface {#IFNAME}({#IFALIAS}): LTE modem RSSI is low (below {$LTEMODEM.RSSI.MIN.WARN}dbm for 5m)</v>
      </c>
      <c r="H1153" t="e">
        <f>INDEX('7.0.17'!G:G,MATCH(G1153,'7.0.17'!F:F,0))</f>
        <v>#N/A</v>
      </c>
      <c r="I1153" t="e">
        <f t="shared" si="169"/>
        <v>#N/A</v>
      </c>
    </row>
    <row r="1154" spans="1:9">
      <c r="A1154" t="s">
        <v>8862</v>
      </c>
      <c r="B1154" t="s">
        <v>8433</v>
      </c>
      <c r="C1154" t="s">
        <v>8866</v>
      </c>
      <c r="G1154" t="str">
        <f t="shared" si="177"/>
        <v>Interface {#IFNAME}({#IFALIAS}): LTE modem SINR is low (below {$LTEMODEM.SINR.MIN.WARN}db for 5m)</v>
      </c>
      <c r="H1154" t="e">
        <f>INDEX('7.0.17'!G:G,MATCH(G1154,'7.0.17'!F:F,0))</f>
        <v>#N/A</v>
      </c>
      <c r="I1154" t="e">
        <f t="shared" si="169"/>
        <v>#N/A</v>
      </c>
    </row>
    <row r="1155" spans="1:9">
      <c r="A1155" t="s">
        <v>8862</v>
      </c>
      <c r="B1155" t="s">
        <v>8433</v>
      </c>
      <c r="C1155" t="s">
        <v>8434</v>
      </c>
      <c r="D1155" t="s">
        <v>8435</v>
      </c>
      <c r="G1155" t="str">
        <f>B1155&amp;":"&amp;C1155&amp;":"&amp;D1155</f>
        <v>Interface {#IFNAME}({#IFALIAS}): High error rate (&gt;{$IF.ERRORS.WARN:{#IFNAME}} for 5m)</v>
      </c>
      <c r="H1155" t="e">
        <f>INDEX('7.0.17'!G:G,MATCH(G1155,'7.0.17'!F:F,0))</f>
        <v>#N/A</v>
      </c>
      <c r="I1155" t="e">
        <f t="shared" ref="I1155:I1218" si="178">A1155&amp;": "&amp;H1155</f>
        <v>#N/A</v>
      </c>
    </row>
    <row r="1156" spans="1:9">
      <c r="A1156" t="s">
        <v>8862</v>
      </c>
      <c r="B1156" t="s">
        <v>8433</v>
      </c>
      <c r="C1156" t="s">
        <v>8436</v>
      </c>
      <c r="D1156" t="s">
        <v>8437</v>
      </c>
      <c r="G1156" t="str">
        <f>B1156&amp;":"&amp;C1156&amp;":"&amp;D1156</f>
        <v>Interface {#IFNAME}({#IFALIAS}): High bandwidth usage (&gt;{$IF.UTIL.MAX:{#IFNAME}}%)</v>
      </c>
      <c r="H1156" t="e">
        <f>INDEX('7.0.17'!G:G,MATCH(G1156,'7.0.17'!F:F,0))</f>
        <v>#N/A</v>
      </c>
      <c r="I1156" t="e">
        <f t="shared" si="178"/>
        <v>#N/A</v>
      </c>
    </row>
    <row r="1157" spans="1:9">
      <c r="A1157" t="s">
        <v>8862</v>
      </c>
      <c r="B1157" t="s">
        <v>8737</v>
      </c>
      <c r="C1157" t="s">
        <v>8439</v>
      </c>
      <c r="D1157" t="s">
        <v>8440</v>
      </c>
      <c r="E1157" t="s">
        <v>8598</v>
      </c>
      <c r="G1157" t="str">
        <f t="shared" ref="G1157:G1162" si="179">B1157&amp;":"&amp;C1157&amp;":"&amp;D1157&amp;":"&amp;E1157</f>
        <v>CPU: Temperature is above critical threshold: &gt;{$TEMP_CRIT:"CPU"}</v>
      </c>
      <c r="H1157" t="e">
        <f>INDEX('7.0.17'!G:G,MATCH(G1157,'7.0.17'!F:F,0))</f>
        <v>#N/A</v>
      </c>
      <c r="I1157" t="e">
        <f t="shared" si="178"/>
        <v>#N/A</v>
      </c>
    </row>
    <row r="1158" spans="1:9">
      <c r="A1158" t="s">
        <v>8862</v>
      </c>
      <c r="B1158" t="s">
        <v>8737</v>
      </c>
      <c r="C1158" t="s">
        <v>8442</v>
      </c>
      <c r="D1158" t="s">
        <v>8443</v>
      </c>
      <c r="E1158" t="s">
        <v>8598</v>
      </c>
      <c r="G1158" t="str">
        <f t="shared" si="179"/>
        <v>CPU: Temperature is above warning threshold: &gt;{$TEMP_WARN:"CPU"}</v>
      </c>
      <c r="H1158" t="e">
        <f>INDEX('7.0.17'!G:G,MATCH(G1158,'7.0.17'!F:F,0))</f>
        <v>#N/A</v>
      </c>
      <c r="I1158" t="e">
        <f t="shared" si="178"/>
        <v>#N/A</v>
      </c>
    </row>
    <row r="1159" spans="1:9">
      <c r="A1159" t="s">
        <v>8862</v>
      </c>
      <c r="B1159" t="s">
        <v>8737</v>
      </c>
      <c r="C1159" t="s">
        <v>8444</v>
      </c>
      <c r="D1159" t="s">
        <v>8445</v>
      </c>
      <c r="E1159" t="s">
        <v>8598</v>
      </c>
      <c r="G1159" t="str">
        <f t="shared" si="179"/>
        <v>CPU: Temperature is too low: &lt;{$TEMP_CRIT_LOW:"CPU"}</v>
      </c>
      <c r="H1159" t="e">
        <f>INDEX('7.0.17'!G:G,MATCH(G1159,'7.0.17'!F:F,0))</f>
        <v>#N/A</v>
      </c>
      <c r="I1159" t="e">
        <f t="shared" si="178"/>
        <v>#N/A</v>
      </c>
    </row>
    <row r="1160" spans="1:9">
      <c r="A1160" t="s">
        <v>8862</v>
      </c>
      <c r="B1160" t="s">
        <v>8867</v>
      </c>
      <c r="C1160" t="s">
        <v>8439</v>
      </c>
      <c r="D1160" t="s">
        <v>8440</v>
      </c>
      <c r="E1160" t="s">
        <v>8868</v>
      </c>
      <c r="G1160" t="str">
        <f t="shared" si="179"/>
        <v>Device: Temperature is above critical threshold: &gt;{$TEMP_CRIT:Device}</v>
      </c>
      <c r="H1160" t="e">
        <f>INDEX('7.0.17'!G:G,MATCH(G1160,'7.0.17'!F:F,0))</f>
        <v>#N/A</v>
      </c>
      <c r="I1160" t="e">
        <f t="shared" si="178"/>
        <v>#N/A</v>
      </c>
    </row>
    <row r="1161" spans="1:9">
      <c r="A1161" t="s">
        <v>8862</v>
      </c>
      <c r="B1161" t="s">
        <v>8867</v>
      </c>
      <c r="C1161" t="s">
        <v>8442</v>
      </c>
      <c r="D1161" t="s">
        <v>8443</v>
      </c>
      <c r="E1161" t="s">
        <v>8868</v>
      </c>
      <c r="G1161" t="str">
        <f t="shared" si="179"/>
        <v>Device: Temperature is above warning threshold: &gt;{$TEMP_WARN:Device}</v>
      </c>
      <c r="H1161" t="e">
        <f>INDEX('7.0.17'!G:G,MATCH(G1161,'7.0.17'!F:F,0))</f>
        <v>#N/A</v>
      </c>
      <c r="I1161" t="e">
        <f t="shared" si="178"/>
        <v>#N/A</v>
      </c>
    </row>
    <row r="1162" spans="1:9">
      <c r="A1162" t="s">
        <v>8862</v>
      </c>
      <c r="B1162" t="s">
        <v>8867</v>
      </c>
      <c r="C1162" t="s">
        <v>8444</v>
      </c>
      <c r="D1162" t="s">
        <v>8445</v>
      </c>
      <c r="E1162" t="s">
        <v>8868</v>
      </c>
      <c r="G1162" t="str">
        <f t="shared" si="179"/>
        <v>Device: Temperature is too low: &lt;{$TEMP_CRIT_LOW:Device}</v>
      </c>
      <c r="H1162" t="e">
        <f>INDEX('7.0.17'!G:G,MATCH(G1162,'7.0.17'!F:F,0))</f>
        <v>#N/A</v>
      </c>
      <c r="I1162" t="e">
        <f t="shared" si="178"/>
        <v>#N/A</v>
      </c>
    </row>
    <row r="1163" spans="1:9">
      <c r="A1163" t="s">
        <v>8862</v>
      </c>
      <c r="B1163" t="s">
        <v>8564</v>
      </c>
      <c r="C1163" t="s">
        <v>8565</v>
      </c>
      <c r="G1163" t="str">
        <f t="shared" ref="G1163:G1169" si="180">B1163&amp;":"&amp;C1163</f>
        <v>#{#SNMPINDEX}: High CPU utilization (over {$CPU.UTIL.CRIT}% for 5m)</v>
      </c>
      <c r="H1163" t="e">
        <f>INDEX('7.0.17'!G:G,MATCH(G1163,'7.0.17'!F:F,0))</f>
        <v>#N/A</v>
      </c>
      <c r="I1163" t="e">
        <f t="shared" si="178"/>
        <v>#N/A</v>
      </c>
    </row>
    <row r="1164" spans="1:9">
      <c r="A1164" t="s">
        <v>8862</v>
      </c>
      <c r="B1164" t="s">
        <v>8869</v>
      </c>
      <c r="C1164" t="s">
        <v>8512</v>
      </c>
      <c r="D1164" t="s">
        <v>8870</v>
      </c>
      <c r="G1164" t="str">
        <f>B1164&amp;":"&amp;C1164&amp;":"&amp;D1164</f>
        <v>Disk-{#SNMPINDEX}: Disk space is critically low (used &gt; {$VFS.FS.PUSED.MAX.CRIT:Disk-"{#SNMPINDEX}"}%)</v>
      </c>
      <c r="H1164" t="e">
        <f>INDEX('7.0.17'!G:G,MATCH(G1164,'7.0.17'!F:F,0))</f>
        <v>#N/A</v>
      </c>
      <c r="I1164" t="e">
        <f t="shared" si="178"/>
        <v>#N/A</v>
      </c>
    </row>
    <row r="1165" spans="1:9">
      <c r="A1165" t="s">
        <v>8862</v>
      </c>
      <c r="B1165" t="s">
        <v>8869</v>
      </c>
      <c r="C1165" t="s">
        <v>8513</v>
      </c>
      <c r="D1165" t="s">
        <v>8870</v>
      </c>
      <c r="G1165" t="str">
        <f>B1165&amp;":"&amp;C1165&amp;":"&amp;D1165</f>
        <v>Disk-{#SNMPINDEX}: Disk space is low (used &gt; {$VFS.FS.PUSED.MAX.WARN:Disk-"{#SNMPINDEX}"}%)</v>
      </c>
      <c r="H1165" t="e">
        <f>INDEX('7.0.17'!G:G,MATCH(G1165,'7.0.17'!F:F,0))</f>
        <v>#N/A</v>
      </c>
      <c r="I1165" t="e">
        <f t="shared" si="178"/>
        <v>#N/A</v>
      </c>
    </row>
    <row r="1166" spans="1:9">
      <c r="A1166" t="s">
        <v>8862</v>
      </c>
      <c r="B1166" t="s">
        <v>8433</v>
      </c>
      <c r="C1166" t="s">
        <v>8863</v>
      </c>
      <c r="G1166" t="str">
        <f t="shared" si="180"/>
        <v>Interface {#IFNAME}({#IFALIAS}): LTE modem RSRP is low (below {$LTEMODEM.RSRP.MIN.WARN}dbm for 5m)</v>
      </c>
      <c r="H1166" t="e">
        <f>INDEX('7.0.17'!G:G,MATCH(G1166,'7.0.17'!F:F,0))</f>
        <v>#N/A</v>
      </c>
      <c r="I1166" t="e">
        <f t="shared" si="178"/>
        <v>#N/A</v>
      </c>
    </row>
    <row r="1167" spans="1:9">
      <c r="A1167" t="s">
        <v>8862</v>
      </c>
      <c r="B1167" t="s">
        <v>8433</v>
      </c>
      <c r="C1167" t="s">
        <v>8864</v>
      </c>
      <c r="G1167" t="str">
        <f t="shared" si="180"/>
        <v>Interface {#IFNAME}({#IFALIAS}): LTE modem RSRQ is low (below {$LTEMODEM.RSRQ.MIN.WARN}db for 5m)</v>
      </c>
      <c r="H1167" t="e">
        <f>INDEX('7.0.17'!G:G,MATCH(G1167,'7.0.17'!F:F,0))</f>
        <v>#N/A</v>
      </c>
      <c r="I1167" t="e">
        <f t="shared" si="178"/>
        <v>#N/A</v>
      </c>
    </row>
    <row r="1168" spans="1:9">
      <c r="A1168" t="s">
        <v>8862</v>
      </c>
      <c r="B1168" t="s">
        <v>8433</v>
      </c>
      <c r="C1168" t="s">
        <v>8865</v>
      </c>
      <c r="G1168" t="str">
        <f t="shared" si="180"/>
        <v>Interface {#IFNAME}({#IFALIAS}): LTE modem RSSI is low (below {$LTEMODEM.RSSI.MIN.WARN}dbm for 5m)</v>
      </c>
      <c r="H1168" t="e">
        <f>INDEX('7.0.17'!G:G,MATCH(G1168,'7.0.17'!F:F,0))</f>
        <v>#N/A</v>
      </c>
      <c r="I1168" t="e">
        <f t="shared" si="178"/>
        <v>#N/A</v>
      </c>
    </row>
    <row r="1169" spans="1:9">
      <c r="A1169" t="s">
        <v>8862</v>
      </c>
      <c r="B1169" t="s">
        <v>8433</v>
      </c>
      <c r="C1169" t="s">
        <v>8866</v>
      </c>
      <c r="G1169" t="str">
        <f t="shared" si="180"/>
        <v>Interface {#IFNAME}({#IFALIAS}): LTE modem SINR is low (below {$LTEMODEM.SINR.MIN.WARN}db for 5m)</v>
      </c>
      <c r="H1169" t="e">
        <f>INDEX('7.0.17'!G:G,MATCH(G1169,'7.0.17'!F:F,0))</f>
        <v>#N/A</v>
      </c>
      <c r="I1169" t="e">
        <f t="shared" si="178"/>
        <v>#N/A</v>
      </c>
    </row>
    <row r="1170" spans="1:9">
      <c r="A1170" t="s">
        <v>8862</v>
      </c>
      <c r="B1170" t="s">
        <v>8433</v>
      </c>
      <c r="C1170" t="s">
        <v>8434</v>
      </c>
      <c r="D1170" t="s">
        <v>8435</v>
      </c>
      <c r="G1170" t="str">
        <f>B1170&amp;":"&amp;C1170&amp;":"&amp;D1170</f>
        <v>Interface {#IFNAME}({#IFALIAS}): High error rate (&gt;{$IF.ERRORS.WARN:{#IFNAME}} for 5m)</v>
      </c>
      <c r="H1170" t="e">
        <f>INDEX('7.0.17'!G:G,MATCH(G1170,'7.0.17'!F:F,0))</f>
        <v>#N/A</v>
      </c>
      <c r="I1170" t="e">
        <f t="shared" si="178"/>
        <v>#N/A</v>
      </c>
    </row>
    <row r="1171" spans="1:9">
      <c r="A1171" t="s">
        <v>8862</v>
      </c>
      <c r="B1171" t="s">
        <v>8433</v>
      </c>
      <c r="C1171" t="s">
        <v>8436</v>
      </c>
      <c r="D1171" t="s">
        <v>8437</v>
      </c>
      <c r="G1171" t="str">
        <f>B1171&amp;":"&amp;C1171&amp;":"&amp;D1171</f>
        <v>Interface {#IFNAME}({#IFALIAS}): High bandwidth usage (&gt;{$IF.UTIL.MAX:{#IFNAME}}%)</v>
      </c>
      <c r="H1171" t="e">
        <f>INDEX('7.0.17'!G:G,MATCH(G1171,'7.0.17'!F:F,0))</f>
        <v>#N/A</v>
      </c>
      <c r="I1171" t="e">
        <f t="shared" si="178"/>
        <v>#N/A</v>
      </c>
    </row>
    <row r="1172" spans="1:9">
      <c r="A1172" t="s">
        <v>8862</v>
      </c>
      <c r="B1172" t="s">
        <v>8737</v>
      </c>
      <c r="C1172" t="s">
        <v>8439</v>
      </c>
      <c r="D1172" t="s">
        <v>8440</v>
      </c>
      <c r="E1172" t="s">
        <v>8598</v>
      </c>
      <c r="G1172" t="str">
        <f t="shared" ref="G1172:G1177" si="181">B1172&amp;":"&amp;C1172&amp;":"&amp;D1172&amp;":"&amp;E1172</f>
        <v>CPU: Temperature is above critical threshold: &gt;{$TEMP_CRIT:"CPU"}</v>
      </c>
      <c r="H1172" t="e">
        <f>INDEX('7.0.17'!G:G,MATCH(G1172,'7.0.17'!F:F,0))</f>
        <v>#N/A</v>
      </c>
      <c r="I1172" t="e">
        <f t="shared" si="178"/>
        <v>#N/A</v>
      </c>
    </row>
    <row r="1173" spans="1:9">
      <c r="A1173" t="s">
        <v>8862</v>
      </c>
      <c r="B1173" t="s">
        <v>8737</v>
      </c>
      <c r="C1173" t="s">
        <v>8442</v>
      </c>
      <c r="D1173" t="s">
        <v>8443</v>
      </c>
      <c r="E1173" t="s">
        <v>8598</v>
      </c>
      <c r="G1173" t="str">
        <f t="shared" si="181"/>
        <v>CPU: Temperature is above warning threshold: &gt;{$TEMP_WARN:"CPU"}</v>
      </c>
      <c r="H1173" t="e">
        <f>INDEX('7.0.17'!G:G,MATCH(G1173,'7.0.17'!F:F,0))</f>
        <v>#N/A</v>
      </c>
      <c r="I1173" t="e">
        <f t="shared" si="178"/>
        <v>#N/A</v>
      </c>
    </row>
    <row r="1174" spans="1:9">
      <c r="A1174" t="s">
        <v>8862</v>
      </c>
      <c r="B1174" t="s">
        <v>8737</v>
      </c>
      <c r="C1174" t="s">
        <v>8444</v>
      </c>
      <c r="D1174" t="s">
        <v>8445</v>
      </c>
      <c r="E1174" t="s">
        <v>8598</v>
      </c>
      <c r="G1174" t="str">
        <f t="shared" si="181"/>
        <v>CPU: Temperature is too low: &lt;{$TEMP_CRIT_LOW:"CPU"}</v>
      </c>
      <c r="H1174" t="e">
        <f>INDEX('7.0.17'!G:G,MATCH(G1174,'7.0.17'!F:F,0))</f>
        <v>#N/A</v>
      </c>
      <c r="I1174" t="e">
        <f t="shared" si="178"/>
        <v>#N/A</v>
      </c>
    </row>
    <row r="1175" spans="1:9">
      <c r="A1175" t="s">
        <v>8862</v>
      </c>
      <c r="B1175" t="s">
        <v>8867</v>
      </c>
      <c r="C1175" t="s">
        <v>8439</v>
      </c>
      <c r="D1175" t="s">
        <v>8440</v>
      </c>
      <c r="E1175" t="s">
        <v>8868</v>
      </c>
      <c r="G1175" t="str">
        <f t="shared" si="181"/>
        <v>Device: Temperature is above critical threshold: &gt;{$TEMP_CRIT:Device}</v>
      </c>
      <c r="H1175" t="e">
        <f>INDEX('7.0.17'!G:G,MATCH(G1175,'7.0.17'!F:F,0))</f>
        <v>#N/A</v>
      </c>
      <c r="I1175" t="e">
        <f t="shared" si="178"/>
        <v>#N/A</v>
      </c>
    </row>
    <row r="1176" spans="1:9">
      <c r="A1176" t="s">
        <v>8862</v>
      </c>
      <c r="B1176" t="s">
        <v>8867</v>
      </c>
      <c r="C1176" t="s">
        <v>8442</v>
      </c>
      <c r="D1176" t="s">
        <v>8443</v>
      </c>
      <c r="E1176" t="s">
        <v>8868</v>
      </c>
      <c r="G1176" t="str">
        <f t="shared" si="181"/>
        <v>Device: Temperature is above warning threshold: &gt;{$TEMP_WARN:Device}</v>
      </c>
      <c r="H1176" t="e">
        <f>INDEX('7.0.17'!G:G,MATCH(G1176,'7.0.17'!F:F,0))</f>
        <v>#N/A</v>
      </c>
      <c r="I1176" t="e">
        <f t="shared" si="178"/>
        <v>#N/A</v>
      </c>
    </row>
    <row r="1177" spans="1:9">
      <c r="A1177" t="s">
        <v>8862</v>
      </c>
      <c r="B1177" t="s">
        <v>8867</v>
      </c>
      <c r="C1177" t="s">
        <v>8444</v>
      </c>
      <c r="D1177" t="s">
        <v>8445</v>
      </c>
      <c r="E1177" t="s">
        <v>8868</v>
      </c>
      <c r="G1177" t="str">
        <f t="shared" si="181"/>
        <v>Device: Temperature is too low: &lt;{$TEMP_CRIT_LOW:Device}</v>
      </c>
      <c r="H1177" t="e">
        <f>INDEX('7.0.17'!G:G,MATCH(G1177,'7.0.17'!F:F,0))</f>
        <v>#N/A</v>
      </c>
      <c r="I1177" t="e">
        <f t="shared" si="178"/>
        <v>#N/A</v>
      </c>
    </row>
    <row r="1178" spans="1:9">
      <c r="A1178" t="s">
        <v>8862</v>
      </c>
      <c r="B1178" t="s">
        <v>8564</v>
      </c>
      <c r="C1178" t="s">
        <v>8565</v>
      </c>
      <c r="G1178" t="str">
        <f t="shared" ref="G1178:G1184" si="182">B1178&amp;":"&amp;C1178</f>
        <v>#{#SNMPINDEX}: High CPU utilization (over {$CPU.UTIL.CRIT}% for 5m)</v>
      </c>
      <c r="H1178" t="e">
        <f>INDEX('7.0.17'!G:G,MATCH(G1178,'7.0.17'!F:F,0))</f>
        <v>#N/A</v>
      </c>
      <c r="I1178" t="e">
        <f t="shared" si="178"/>
        <v>#N/A</v>
      </c>
    </row>
    <row r="1179" spans="1:9">
      <c r="A1179" t="s">
        <v>8862</v>
      </c>
      <c r="B1179" t="s">
        <v>8869</v>
      </c>
      <c r="C1179" t="s">
        <v>8512</v>
      </c>
      <c r="D1179" t="s">
        <v>8870</v>
      </c>
      <c r="G1179" t="str">
        <f>B1179&amp;":"&amp;C1179&amp;":"&amp;D1179</f>
        <v>Disk-{#SNMPINDEX}: Disk space is critically low (used &gt; {$VFS.FS.PUSED.MAX.CRIT:Disk-"{#SNMPINDEX}"}%)</v>
      </c>
      <c r="H1179" t="e">
        <f>INDEX('7.0.17'!G:G,MATCH(G1179,'7.0.17'!F:F,0))</f>
        <v>#N/A</v>
      </c>
      <c r="I1179" t="e">
        <f t="shared" si="178"/>
        <v>#N/A</v>
      </c>
    </row>
    <row r="1180" spans="1:9">
      <c r="A1180" t="s">
        <v>8862</v>
      </c>
      <c r="B1180" t="s">
        <v>8869</v>
      </c>
      <c r="C1180" t="s">
        <v>8513</v>
      </c>
      <c r="D1180" t="s">
        <v>8870</v>
      </c>
      <c r="G1180" t="str">
        <f>B1180&amp;":"&amp;C1180&amp;":"&amp;D1180</f>
        <v>Disk-{#SNMPINDEX}: Disk space is low (used &gt; {$VFS.FS.PUSED.MAX.WARN:Disk-"{#SNMPINDEX}"}%)</v>
      </c>
      <c r="H1180" t="e">
        <f>INDEX('7.0.17'!G:G,MATCH(G1180,'7.0.17'!F:F,0))</f>
        <v>#N/A</v>
      </c>
      <c r="I1180" t="e">
        <f t="shared" si="178"/>
        <v>#N/A</v>
      </c>
    </row>
    <row r="1181" spans="1:9">
      <c r="A1181" t="s">
        <v>8862</v>
      </c>
      <c r="B1181" t="s">
        <v>8433</v>
      </c>
      <c r="C1181" t="s">
        <v>8863</v>
      </c>
      <c r="G1181" t="str">
        <f t="shared" si="182"/>
        <v>Interface {#IFNAME}({#IFALIAS}): LTE modem RSRP is low (below {$LTEMODEM.RSRP.MIN.WARN}dbm for 5m)</v>
      </c>
      <c r="H1181" t="e">
        <f>INDEX('7.0.17'!G:G,MATCH(G1181,'7.0.17'!F:F,0))</f>
        <v>#N/A</v>
      </c>
      <c r="I1181" t="e">
        <f t="shared" si="178"/>
        <v>#N/A</v>
      </c>
    </row>
    <row r="1182" spans="1:9">
      <c r="A1182" t="s">
        <v>8862</v>
      </c>
      <c r="B1182" t="s">
        <v>8433</v>
      </c>
      <c r="C1182" t="s">
        <v>8864</v>
      </c>
      <c r="G1182" t="str">
        <f t="shared" si="182"/>
        <v>Interface {#IFNAME}({#IFALIAS}): LTE modem RSRQ is low (below {$LTEMODEM.RSRQ.MIN.WARN}db for 5m)</v>
      </c>
      <c r="H1182" t="e">
        <f>INDEX('7.0.17'!G:G,MATCH(G1182,'7.0.17'!F:F,0))</f>
        <v>#N/A</v>
      </c>
      <c r="I1182" t="e">
        <f t="shared" si="178"/>
        <v>#N/A</v>
      </c>
    </row>
    <row r="1183" spans="1:9">
      <c r="A1183" t="s">
        <v>8862</v>
      </c>
      <c r="B1183" t="s">
        <v>8433</v>
      </c>
      <c r="C1183" t="s">
        <v>8865</v>
      </c>
      <c r="G1183" t="str">
        <f t="shared" si="182"/>
        <v>Interface {#IFNAME}({#IFALIAS}): LTE modem RSSI is low (below {$LTEMODEM.RSSI.MIN.WARN}dbm for 5m)</v>
      </c>
      <c r="H1183" t="e">
        <f>INDEX('7.0.17'!G:G,MATCH(G1183,'7.0.17'!F:F,0))</f>
        <v>#N/A</v>
      </c>
      <c r="I1183" t="e">
        <f t="shared" si="178"/>
        <v>#N/A</v>
      </c>
    </row>
    <row r="1184" spans="1:9">
      <c r="A1184" t="s">
        <v>8862</v>
      </c>
      <c r="B1184" t="s">
        <v>8433</v>
      </c>
      <c r="C1184" t="s">
        <v>8866</v>
      </c>
      <c r="G1184" t="str">
        <f t="shared" si="182"/>
        <v>Interface {#IFNAME}({#IFALIAS}): LTE modem SINR is low (below {$LTEMODEM.SINR.MIN.WARN}db for 5m)</v>
      </c>
      <c r="H1184" t="e">
        <f>INDEX('7.0.17'!G:G,MATCH(G1184,'7.0.17'!F:F,0))</f>
        <v>#N/A</v>
      </c>
      <c r="I1184" t="e">
        <f t="shared" si="178"/>
        <v>#N/A</v>
      </c>
    </row>
    <row r="1185" spans="1:9">
      <c r="A1185" t="s">
        <v>8862</v>
      </c>
      <c r="B1185" t="s">
        <v>8433</v>
      </c>
      <c r="C1185" t="s">
        <v>8434</v>
      </c>
      <c r="D1185" t="s">
        <v>8435</v>
      </c>
      <c r="G1185" t="str">
        <f>B1185&amp;":"&amp;C1185&amp;":"&amp;D1185</f>
        <v>Interface {#IFNAME}({#IFALIAS}): High error rate (&gt;{$IF.ERRORS.WARN:{#IFNAME}} for 5m)</v>
      </c>
      <c r="H1185" t="e">
        <f>INDEX('7.0.17'!G:G,MATCH(G1185,'7.0.17'!F:F,0))</f>
        <v>#N/A</v>
      </c>
      <c r="I1185" t="e">
        <f t="shared" si="178"/>
        <v>#N/A</v>
      </c>
    </row>
    <row r="1186" spans="1:9">
      <c r="A1186" t="s">
        <v>8862</v>
      </c>
      <c r="B1186" t="s">
        <v>8433</v>
      </c>
      <c r="C1186" t="s">
        <v>8436</v>
      </c>
      <c r="D1186" t="s">
        <v>8437</v>
      </c>
      <c r="G1186" t="str">
        <f>B1186&amp;":"&amp;C1186&amp;":"&amp;D1186</f>
        <v>Interface {#IFNAME}({#IFALIAS}): High bandwidth usage (&gt;{$IF.UTIL.MAX:{#IFNAME}}%)</v>
      </c>
      <c r="H1186" t="e">
        <f>INDEX('7.0.17'!G:G,MATCH(G1186,'7.0.17'!F:F,0))</f>
        <v>#N/A</v>
      </c>
      <c r="I1186" t="e">
        <f t="shared" si="178"/>
        <v>#N/A</v>
      </c>
    </row>
    <row r="1187" spans="1:9">
      <c r="A1187" t="s">
        <v>8862</v>
      </c>
      <c r="B1187" t="s">
        <v>8737</v>
      </c>
      <c r="C1187" t="s">
        <v>8439</v>
      </c>
      <c r="D1187" t="s">
        <v>8440</v>
      </c>
      <c r="E1187" t="s">
        <v>8598</v>
      </c>
      <c r="G1187" t="str">
        <f t="shared" ref="G1187:G1192" si="183">B1187&amp;":"&amp;C1187&amp;":"&amp;D1187&amp;":"&amp;E1187</f>
        <v>CPU: Temperature is above critical threshold: &gt;{$TEMP_CRIT:"CPU"}</v>
      </c>
      <c r="H1187" t="e">
        <f>INDEX('7.0.17'!G:G,MATCH(G1187,'7.0.17'!F:F,0))</f>
        <v>#N/A</v>
      </c>
      <c r="I1187" t="e">
        <f t="shared" si="178"/>
        <v>#N/A</v>
      </c>
    </row>
    <row r="1188" spans="1:9">
      <c r="A1188" t="s">
        <v>8862</v>
      </c>
      <c r="B1188" t="s">
        <v>8737</v>
      </c>
      <c r="C1188" t="s">
        <v>8442</v>
      </c>
      <c r="D1188" t="s">
        <v>8443</v>
      </c>
      <c r="E1188" t="s">
        <v>8598</v>
      </c>
      <c r="G1188" t="str">
        <f t="shared" si="183"/>
        <v>CPU: Temperature is above warning threshold: &gt;{$TEMP_WARN:"CPU"}</v>
      </c>
      <c r="H1188" t="e">
        <f>INDEX('7.0.17'!G:G,MATCH(G1188,'7.0.17'!F:F,0))</f>
        <v>#N/A</v>
      </c>
      <c r="I1188" t="e">
        <f t="shared" si="178"/>
        <v>#N/A</v>
      </c>
    </row>
    <row r="1189" spans="1:9">
      <c r="A1189" t="s">
        <v>8862</v>
      </c>
      <c r="B1189" t="s">
        <v>8737</v>
      </c>
      <c r="C1189" t="s">
        <v>8444</v>
      </c>
      <c r="D1189" t="s">
        <v>8445</v>
      </c>
      <c r="E1189" t="s">
        <v>8598</v>
      </c>
      <c r="G1189" t="str">
        <f t="shared" si="183"/>
        <v>CPU: Temperature is too low: &lt;{$TEMP_CRIT_LOW:"CPU"}</v>
      </c>
      <c r="H1189" t="e">
        <f>INDEX('7.0.17'!G:G,MATCH(G1189,'7.0.17'!F:F,0))</f>
        <v>#N/A</v>
      </c>
      <c r="I1189" t="e">
        <f t="shared" si="178"/>
        <v>#N/A</v>
      </c>
    </row>
    <row r="1190" spans="1:9">
      <c r="A1190" t="s">
        <v>8862</v>
      </c>
      <c r="B1190" t="s">
        <v>8867</v>
      </c>
      <c r="C1190" t="s">
        <v>8439</v>
      </c>
      <c r="D1190" t="s">
        <v>8440</v>
      </c>
      <c r="E1190" t="s">
        <v>8868</v>
      </c>
      <c r="G1190" t="str">
        <f t="shared" si="183"/>
        <v>Device: Temperature is above critical threshold: &gt;{$TEMP_CRIT:Device}</v>
      </c>
      <c r="H1190" t="e">
        <f>INDEX('7.0.17'!G:G,MATCH(G1190,'7.0.17'!F:F,0))</f>
        <v>#N/A</v>
      </c>
      <c r="I1190" t="e">
        <f t="shared" si="178"/>
        <v>#N/A</v>
      </c>
    </row>
    <row r="1191" spans="1:9">
      <c r="A1191" t="s">
        <v>8862</v>
      </c>
      <c r="B1191" t="s">
        <v>8867</v>
      </c>
      <c r="C1191" t="s">
        <v>8442</v>
      </c>
      <c r="D1191" t="s">
        <v>8443</v>
      </c>
      <c r="E1191" t="s">
        <v>8868</v>
      </c>
      <c r="G1191" t="str">
        <f t="shared" si="183"/>
        <v>Device: Temperature is above warning threshold: &gt;{$TEMP_WARN:Device}</v>
      </c>
      <c r="H1191" t="e">
        <f>INDEX('7.0.17'!G:G,MATCH(G1191,'7.0.17'!F:F,0))</f>
        <v>#N/A</v>
      </c>
      <c r="I1191" t="e">
        <f t="shared" si="178"/>
        <v>#N/A</v>
      </c>
    </row>
    <row r="1192" spans="1:9">
      <c r="A1192" t="s">
        <v>8862</v>
      </c>
      <c r="B1192" t="s">
        <v>8867</v>
      </c>
      <c r="C1192" t="s">
        <v>8444</v>
      </c>
      <c r="D1192" t="s">
        <v>8445</v>
      </c>
      <c r="E1192" t="s">
        <v>8868</v>
      </c>
      <c r="G1192" t="str">
        <f t="shared" si="183"/>
        <v>Device: Temperature is too low: &lt;{$TEMP_CRIT_LOW:Device}</v>
      </c>
      <c r="H1192" t="e">
        <f>INDEX('7.0.17'!G:G,MATCH(G1192,'7.0.17'!F:F,0))</f>
        <v>#N/A</v>
      </c>
      <c r="I1192" t="e">
        <f t="shared" si="178"/>
        <v>#N/A</v>
      </c>
    </row>
    <row r="1193" spans="1:9">
      <c r="A1193" t="s">
        <v>8862</v>
      </c>
      <c r="B1193" t="s">
        <v>8564</v>
      </c>
      <c r="C1193" t="s">
        <v>8565</v>
      </c>
      <c r="G1193" t="str">
        <f t="shared" ref="G1193:G1199" si="184">B1193&amp;":"&amp;C1193</f>
        <v>#{#SNMPINDEX}: High CPU utilization (over {$CPU.UTIL.CRIT}% for 5m)</v>
      </c>
      <c r="H1193" t="e">
        <f>INDEX('7.0.17'!G:G,MATCH(G1193,'7.0.17'!F:F,0))</f>
        <v>#N/A</v>
      </c>
      <c r="I1193" t="e">
        <f t="shared" si="178"/>
        <v>#N/A</v>
      </c>
    </row>
    <row r="1194" spans="1:9">
      <c r="A1194" t="s">
        <v>8862</v>
      </c>
      <c r="B1194" t="s">
        <v>8869</v>
      </c>
      <c r="C1194" t="s">
        <v>8512</v>
      </c>
      <c r="D1194" t="s">
        <v>8870</v>
      </c>
      <c r="G1194" t="str">
        <f>B1194&amp;":"&amp;C1194&amp;":"&amp;D1194</f>
        <v>Disk-{#SNMPINDEX}: Disk space is critically low (used &gt; {$VFS.FS.PUSED.MAX.CRIT:Disk-"{#SNMPINDEX}"}%)</v>
      </c>
      <c r="H1194" t="e">
        <f>INDEX('7.0.17'!G:G,MATCH(G1194,'7.0.17'!F:F,0))</f>
        <v>#N/A</v>
      </c>
      <c r="I1194" t="e">
        <f t="shared" si="178"/>
        <v>#N/A</v>
      </c>
    </row>
    <row r="1195" spans="1:9">
      <c r="A1195" t="s">
        <v>8862</v>
      </c>
      <c r="B1195" t="s">
        <v>8869</v>
      </c>
      <c r="C1195" t="s">
        <v>8513</v>
      </c>
      <c r="D1195" t="s">
        <v>8870</v>
      </c>
      <c r="G1195" t="str">
        <f>B1195&amp;":"&amp;C1195&amp;":"&amp;D1195</f>
        <v>Disk-{#SNMPINDEX}: Disk space is low (used &gt; {$VFS.FS.PUSED.MAX.WARN:Disk-"{#SNMPINDEX}"}%)</v>
      </c>
      <c r="H1195" t="e">
        <f>INDEX('7.0.17'!G:G,MATCH(G1195,'7.0.17'!F:F,0))</f>
        <v>#N/A</v>
      </c>
      <c r="I1195" t="e">
        <f t="shared" si="178"/>
        <v>#N/A</v>
      </c>
    </row>
    <row r="1196" spans="1:9">
      <c r="A1196" t="s">
        <v>8862</v>
      </c>
      <c r="B1196" t="s">
        <v>8433</v>
      </c>
      <c r="C1196" t="s">
        <v>8863</v>
      </c>
      <c r="G1196" t="str">
        <f t="shared" si="184"/>
        <v>Interface {#IFNAME}({#IFALIAS}): LTE modem RSRP is low (below {$LTEMODEM.RSRP.MIN.WARN}dbm for 5m)</v>
      </c>
      <c r="H1196" t="e">
        <f>INDEX('7.0.17'!G:G,MATCH(G1196,'7.0.17'!F:F,0))</f>
        <v>#N/A</v>
      </c>
      <c r="I1196" t="e">
        <f t="shared" si="178"/>
        <v>#N/A</v>
      </c>
    </row>
    <row r="1197" spans="1:9">
      <c r="A1197" t="s">
        <v>8862</v>
      </c>
      <c r="B1197" t="s">
        <v>8433</v>
      </c>
      <c r="C1197" t="s">
        <v>8864</v>
      </c>
      <c r="G1197" t="str">
        <f t="shared" si="184"/>
        <v>Interface {#IFNAME}({#IFALIAS}): LTE modem RSRQ is low (below {$LTEMODEM.RSRQ.MIN.WARN}db for 5m)</v>
      </c>
      <c r="H1197" t="e">
        <f>INDEX('7.0.17'!G:G,MATCH(G1197,'7.0.17'!F:F,0))</f>
        <v>#N/A</v>
      </c>
      <c r="I1197" t="e">
        <f t="shared" si="178"/>
        <v>#N/A</v>
      </c>
    </row>
    <row r="1198" spans="1:9">
      <c r="A1198" t="s">
        <v>8862</v>
      </c>
      <c r="B1198" t="s">
        <v>8433</v>
      </c>
      <c r="C1198" t="s">
        <v>8865</v>
      </c>
      <c r="G1198" t="str">
        <f t="shared" si="184"/>
        <v>Interface {#IFNAME}({#IFALIAS}): LTE modem RSSI is low (below {$LTEMODEM.RSSI.MIN.WARN}dbm for 5m)</v>
      </c>
      <c r="H1198" t="e">
        <f>INDEX('7.0.17'!G:G,MATCH(G1198,'7.0.17'!F:F,0))</f>
        <v>#N/A</v>
      </c>
      <c r="I1198" t="e">
        <f t="shared" si="178"/>
        <v>#N/A</v>
      </c>
    </row>
    <row r="1199" spans="1:9">
      <c r="A1199" t="s">
        <v>8862</v>
      </c>
      <c r="B1199" t="s">
        <v>8433</v>
      </c>
      <c r="C1199" t="s">
        <v>8866</v>
      </c>
      <c r="G1199" t="str">
        <f t="shared" si="184"/>
        <v>Interface {#IFNAME}({#IFALIAS}): LTE modem SINR is low (below {$LTEMODEM.SINR.MIN.WARN}db for 5m)</v>
      </c>
      <c r="H1199" t="e">
        <f>INDEX('7.0.17'!G:G,MATCH(G1199,'7.0.17'!F:F,0))</f>
        <v>#N/A</v>
      </c>
      <c r="I1199" t="e">
        <f t="shared" si="178"/>
        <v>#N/A</v>
      </c>
    </row>
    <row r="1200" spans="1:9">
      <c r="A1200" t="s">
        <v>8862</v>
      </c>
      <c r="B1200" t="s">
        <v>8433</v>
      </c>
      <c r="C1200" t="s">
        <v>8434</v>
      </c>
      <c r="D1200" t="s">
        <v>8435</v>
      </c>
      <c r="G1200" t="str">
        <f>B1200&amp;":"&amp;C1200&amp;":"&amp;D1200</f>
        <v>Interface {#IFNAME}({#IFALIAS}): High error rate (&gt;{$IF.ERRORS.WARN:{#IFNAME}} for 5m)</v>
      </c>
      <c r="H1200" t="e">
        <f>INDEX('7.0.17'!G:G,MATCH(G1200,'7.0.17'!F:F,0))</f>
        <v>#N/A</v>
      </c>
      <c r="I1200" t="e">
        <f t="shared" si="178"/>
        <v>#N/A</v>
      </c>
    </row>
    <row r="1201" spans="1:9">
      <c r="A1201" t="s">
        <v>8862</v>
      </c>
      <c r="B1201" t="s">
        <v>8433</v>
      </c>
      <c r="C1201" t="s">
        <v>8436</v>
      </c>
      <c r="D1201" t="s">
        <v>8437</v>
      </c>
      <c r="G1201" t="str">
        <f>B1201&amp;":"&amp;C1201&amp;":"&amp;D1201</f>
        <v>Interface {#IFNAME}({#IFALIAS}): High bandwidth usage (&gt;{$IF.UTIL.MAX:{#IFNAME}}%)</v>
      </c>
      <c r="H1201" t="e">
        <f>INDEX('7.0.17'!G:G,MATCH(G1201,'7.0.17'!F:F,0))</f>
        <v>#N/A</v>
      </c>
      <c r="I1201" t="e">
        <f t="shared" si="178"/>
        <v>#N/A</v>
      </c>
    </row>
    <row r="1202" spans="1:9">
      <c r="A1202" t="s">
        <v>8862</v>
      </c>
      <c r="B1202" t="s">
        <v>8737</v>
      </c>
      <c r="C1202" t="s">
        <v>8439</v>
      </c>
      <c r="D1202" t="s">
        <v>8440</v>
      </c>
      <c r="E1202" t="s">
        <v>8598</v>
      </c>
      <c r="G1202" t="str">
        <f t="shared" ref="G1202:G1207" si="185">B1202&amp;":"&amp;C1202&amp;":"&amp;D1202&amp;":"&amp;E1202</f>
        <v>CPU: Temperature is above critical threshold: &gt;{$TEMP_CRIT:"CPU"}</v>
      </c>
      <c r="H1202" t="e">
        <f>INDEX('7.0.17'!G:G,MATCH(G1202,'7.0.17'!F:F,0))</f>
        <v>#N/A</v>
      </c>
      <c r="I1202" t="e">
        <f t="shared" si="178"/>
        <v>#N/A</v>
      </c>
    </row>
    <row r="1203" spans="1:9">
      <c r="A1203" t="s">
        <v>8862</v>
      </c>
      <c r="B1203" t="s">
        <v>8737</v>
      </c>
      <c r="C1203" t="s">
        <v>8442</v>
      </c>
      <c r="D1203" t="s">
        <v>8443</v>
      </c>
      <c r="E1203" t="s">
        <v>8598</v>
      </c>
      <c r="G1203" t="str">
        <f t="shared" si="185"/>
        <v>CPU: Temperature is above warning threshold: &gt;{$TEMP_WARN:"CPU"}</v>
      </c>
      <c r="H1203" t="e">
        <f>INDEX('7.0.17'!G:G,MATCH(G1203,'7.0.17'!F:F,0))</f>
        <v>#N/A</v>
      </c>
      <c r="I1203" t="e">
        <f t="shared" si="178"/>
        <v>#N/A</v>
      </c>
    </row>
    <row r="1204" spans="1:9">
      <c r="A1204" t="s">
        <v>8862</v>
      </c>
      <c r="B1204" t="s">
        <v>8737</v>
      </c>
      <c r="C1204" t="s">
        <v>8444</v>
      </c>
      <c r="D1204" t="s">
        <v>8445</v>
      </c>
      <c r="E1204" t="s">
        <v>8598</v>
      </c>
      <c r="G1204" t="str">
        <f t="shared" si="185"/>
        <v>CPU: Temperature is too low: &lt;{$TEMP_CRIT_LOW:"CPU"}</v>
      </c>
      <c r="H1204" t="e">
        <f>INDEX('7.0.17'!G:G,MATCH(G1204,'7.0.17'!F:F,0))</f>
        <v>#N/A</v>
      </c>
      <c r="I1204" t="e">
        <f t="shared" si="178"/>
        <v>#N/A</v>
      </c>
    </row>
    <row r="1205" spans="1:9">
      <c r="A1205" t="s">
        <v>8862</v>
      </c>
      <c r="B1205" t="s">
        <v>8867</v>
      </c>
      <c r="C1205" t="s">
        <v>8439</v>
      </c>
      <c r="D1205" t="s">
        <v>8440</v>
      </c>
      <c r="E1205" t="s">
        <v>8868</v>
      </c>
      <c r="G1205" t="str">
        <f t="shared" si="185"/>
        <v>Device: Temperature is above critical threshold: &gt;{$TEMP_CRIT:Device}</v>
      </c>
      <c r="H1205" t="e">
        <f>INDEX('7.0.17'!G:G,MATCH(G1205,'7.0.17'!F:F,0))</f>
        <v>#N/A</v>
      </c>
      <c r="I1205" t="e">
        <f t="shared" si="178"/>
        <v>#N/A</v>
      </c>
    </row>
    <row r="1206" spans="1:9">
      <c r="A1206" t="s">
        <v>8862</v>
      </c>
      <c r="B1206" t="s">
        <v>8867</v>
      </c>
      <c r="C1206" t="s">
        <v>8442</v>
      </c>
      <c r="D1206" t="s">
        <v>8443</v>
      </c>
      <c r="E1206" t="s">
        <v>8868</v>
      </c>
      <c r="G1206" t="str">
        <f t="shared" si="185"/>
        <v>Device: Temperature is above warning threshold: &gt;{$TEMP_WARN:Device}</v>
      </c>
      <c r="H1206" t="e">
        <f>INDEX('7.0.17'!G:G,MATCH(G1206,'7.0.17'!F:F,0))</f>
        <v>#N/A</v>
      </c>
      <c r="I1206" t="e">
        <f t="shared" si="178"/>
        <v>#N/A</v>
      </c>
    </row>
    <row r="1207" spans="1:9">
      <c r="A1207" t="s">
        <v>8862</v>
      </c>
      <c r="B1207" t="s">
        <v>8867</v>
      </c>
      <c r="C1207" t="s">
        <v>8444</v>
      </c>
      <c r="D1207" t="s">
        <v>8445</v>
      </c>
      <c r="E1207" t="s">
        <v>8868</v>
      </c>
      <c r="G1207" t="str">
        <f t="shared" si="185"/>
        <v>Device: Temperature is too low: &lt;{$TEMP_CRIT_LOW:Device}</v>
      </c>
      <c r="H1207" t="e">
        <f>INDEX('7.0.17'!G:G,MATCH(G1207,'7.0.17'!F:F,0))</f>
        <v>#N/A</v>
      </c>
      <c r="I1207" t="e">
        <f t="shared" si="178"/>
        <v>#N/A</v>
      </c>
    </row>
    <row r="1208" spans="1:9">
      <c r="A1208" t="s">
        <v>8862</v>
      </c>
      <c r="B1208" t="s">
        <v>8564</v>
      </c>
      <c r="C1208" t="s">
        <v>8565</v>
      </c>
      <c r="G1208" t="str">
        <f t="shared" ref="G1208:G1214" si="186">B1208&amp;":"&amp;C1208</f>
        <v>#{#SNMPINDEX}: High CPU utilization (over {$CPU.UTIL.CRIT}% for 5m)</v>
      </c>
      <c r="H1208" t="e">
        <f>INDEX('7.0.17'!G:G,MATCH(G1208,'7.0.17'!F:F,0))</f>
        <v>#N/A</v>
      </c>
      <c r="I1208" t="e">
        <f t="shared" si="178"/>
        <v>#N/A</v>
      </c>
    </row>
    <row r="1209" spans="1:9">
      <c r="A1209" t="s">
        <v>8862</v>
      </c>
      <c r="B1209" t="s">
        <v>8869</v>
      </c>
      <c r="C1209" t="s">
        <v>8512</v>
      </c>
      <c r="D1209" t="s">
        <v>8870</v>
      </c>
      <c r="G1209" t="str">
        <f>B1209&amp;":"&amp;C1209&amp;":"&amp;D1209</f>
        <v>Disk-{#SNMPINDEX}: Disk space is critically low (used &gt; {$VFS.FS.PUSED.MAX.CRIT:Disk-"{#SNMPINDEX}"}%)</v>
      </c>
      <c r="H1209" t="e">
        <f>INDEX('7.0.17'!G:G,MATCH(G1209,'7.0.17'!F:F,0))</f>
        <v>#N/A</v>
      </c>
      <c r="I1209" t="e">
        <f t="shared" si="178"/>
        <v>#N/A</v>
      </c>
    </row>
    <row r="1210" spans="1:9">
      <c r="A1210" t="s">
        <v>8862</v>
      </c>
      <c r="B1210" t="s">
        <v>8869</v>
      </c>
      <c r="C1210" t="s">
        <v>8513</v>
      </c>
      <c r="D1210" t="s">
        <v>8870</v>
      </c>
      <c r="G1210" t="str">
        <f>B1210&amp;":"&amp;C1210&amp;":"&amp;D1210</f>
        <v>Disk-{#SNMPINDEX}: Disk space is low (used &gt; {$VFS.FS.PUSED.MAX.WARN:Disk-"{#SNMPINDEX}"}%)</v>
      </c>
      <c r="H1210" t="e">
        <f>INDEX('7.0.17'!G:G,MATCH(G1210,'7.0.17'!F:F,0))</f>
        <v>#N/A</v>
      </c>
      <c r="I1210" t="e">
        <f t="shared" si="178"/>
        <v>#N/A</v>
      </c>
    </row>
    <row r="1211" spans="1:9">
      <c r="A1211" t="s">
        <v>8862</v>
      </c>
      <c r="B1211" t="s">
        <v>8433</v>
      </c>
      <c r="C1211" t="s">
        <v>8863</v>
      </c>
      <c r="G1211" t="str">
        <f t="shared" si="186"/>
        <v>Interface {#IFNAME}({#IFALIAS}): LTE modem RSRP is low (below {$LTEMODEM.RSRP.MIN.WARN}dbm for 5m)</v>
      </c>
      <c r="H1211" t="e">
        <f>INDEX('7.0.17'!G:G,MATCH(G1211,'7.0.17'!F:F,0))</f>
        <v>#N/A</v>
      </c>
      <c r="I1211" t="e">
        <f t="shared" si="178"/>
        <v>#N/A</v>
      </c>
    </row>
    <row r="1212" spans="1:9">
      <c r="A1212" t="s">
        <v>8862</v>
      </c>
      <c r="B1212" t="s">
        <v>8433</v>
      </c>
      <c r="C1212" t="s">
        <v>8864</v>
      </c>
      <c r="G1212" t="str">
        <f t="shared" si="186"/>
        <v>Interface {#IFNAME}({#IFALIAS}): LTE modem RSRQ is low (below {$LTEMODEM.RSRQ.MIN.WARN}db for 5m)</v>
      </c>
      <c r="H1212" t="e">
        <f>INDEX('7.0.17'!G:G,MATCH(G1212,'7.0.17'!F:F,0))</f>
        <v>#N/A</v>
      </c>
      <c r="I1212" t="e">
        <f t="shared" si="178"/>
        <v>#N/A</v>
      </c>
    </row>
    <row r="1213" spans="1:9">
      <c r="A1213" t="s">
        <v>8862</v>
      </c>
      <c r="B1213" t="s">
        <v>8433</v>
      </c>
      <c r="C1213" t="s">
        <v>8865</v>
      </c>
      <c r="G1213" t="str">
        <f t="shared" si="186"/>
        <v>Interface {#IFNAME}({#IFALIAS}): LTE modem RSSI is low (below {$LTEMODEM.RSSI.MIN.WARN}dbm for 5m)</v>
      </c>
      <c r="H1213" t="e">
        <f>INDEX('7.0.17'!G:G,MATCH(G1213,'7.0.17'!F:F,0))</f>
        <v>#N/A</v>
      </c>
      <c r="I1213" t="e">
        <f t="shared" si="178"/>
        <v>#N/A</v>
      </c>
    </row>
    <row r="1214" spans="1:9">
      <c r="A1214" t="s">
        <v>8862</v>
      </c>
      <c r="B1214" t="s">
        <v>8433</v>
      </c>
      <c r="C1214" t="s">
        <v>8866</v>
      </c>
      <c r="G1214" t="str">
        <f t="shared" si="186"/>
        <v>Interface {#IFNAME}({#IFALIAS}): LTE modem SINR is low (below {$LTEMODEM.SINR.MIN.WARN}db for 5m)</v>
      </c>
      <c r="H1214" t="e">
        <f>INDEX('7.0.17'!G:G,MATCH(G1214,'7.0.17'!F:F,0))</f>
        <v>#N/A</v>
      </c>
      <c r="I1214" t="e">
        <f t="shared" si="178"/>
        <v>#N/A</v>
      </c>
    </row>
    <row r="1215" spans="1:9">
      <c r="A1215" t="s">
        <v>8862</v>
      </c>
      <c r="B1215" t="s">
        <v>8433</v>
      </c>
      <c r="C1215" t="s">
        <v>8434</v>
      </c>
      <c r="D1215" t="s">
        <v>8435</v>
      </c>
      <c r="G1215" t="str">
        <f>B1215&amp;":"&amp;C1215&amp;":"&amp;D1215</f>
        <v>Interface {#IFNAME}({#IFALIAS}): High error rate (&gt;{$IF.ERRORS.WARN:{#IFNAME}} for 5m)</v>
      </c>
      <c r="H1215" t="e">
        <f>INDEX('7.0.17'!G:G,MATCH(G1215,'7.0.17'!F:F,0))</f>
        <v>#N/A</v>
      </c>
      <c r="I1215" t="e">
        <f t="shared" si="178"/>
        <v>#N/A</v>
      </c>
    </row>
    <row r="1216" spans="1:9">
      <c r="A1216" t="s">
        <v>8862</v>
      </c>
      <c r="B1216" t="s">
        <v>8433</v>
      </c>
      <c r="C1216" t="s">
        <v>8436</v>
      </c>
      <c r="D1216" t="s">
        <v>8437</v>
      </c>
      <c r="G1216" t="str">
        <f>B1216&amp;":"&amp;C1216&amp;":"&amp;D1216</f>
        <v>Interface {#IFNAME}({#IFALIAS}): High bandwidth usage (&gt;{$IF.UTIL.MAX:{#IFNAME}}%)</v>
      </c>
      <c r="H1216" t="e">
        <f>INDEX('7.0.17'!G:G,MATCH(G1216,'7.0.17'!F:F,0))</f>
        <v>#N/A</v>
      </c>
      <c r="I1216" t="e">
        <f t="shared" si="178"/>
        <v>#N/A</v>
      </c>
    </row>
    <row r="1217" spans="1:9">
      <c r="A1217" t="s">
        <v>8862</v>
      </c>
      <c r="B1217" t="s">
        <v>8737</v>
      </c>
      <c r="C1217" t="s">
        <v>8439</v>
      </c>
      <c r="D1217" t="s">
        <v>8440</v>
      </c>
      <c r="E1217" t="s">
        <v>8598</v>
      </c>
      <c r="G1217" t="str">
        <f t="shared" ref="G1217:G1222" si="187">B1217&amp;":"&amp;C1217&amp;":"&amp;D1217&amp;":"&amp;E1217</f>
        <v>CPU: Temperature is above critical threshold: &gt;{$TEMP_CRIT:"CPU"}</v>
      </c>
      <c r="H1217" t="e">
        <f>INDEX('7.0.17'!G:G,MATCH(G1217,'7.0.17'!F:F,0))</f>
        <v>#N/A</v>
      </c>
      <c r="I1217" t="e">
        <f t="shared" si="178"/>
        <v>#N/A</v>
      </c>
    </row>
    <row r="1218" spans="1:9">
      <c r="A1218" t="s">
        <v>8862</v>
      </c>
      <c r="B1218" t="s">
        <v>8737</v>
      </c>
      <c r="C1218" t="s">
        <v>8442</v>
      </c>
      <c r="D1218" t="s">
        <v>8443</v>
      </c>
      <c r="E1218" t="s">
        <v>8598</v>
      </c>
      <c r="G1218" t="str">
        <f t="shared" si="187"/>
        <v>CPU: Temperature is above warning threshold: &gt;{$TEMP_WARN:"CPU"}</v>
      </c>
      <c r="H1218" t="e">
        <f>INDEX('7.0.17'!G:G,MATCH(G1218,'7.0.17'!F:F,0))</f>
        <v>#N/A</v>
      </c>
      <c r="I1218" t="e">
        <f t="shared" si="178"/>
        <v>#N/A</v>
      </c>
    </row>
    <row r="1219" spans="1:9">
      <c r="A1219" t="s">
        <v>8862</v>
      </c>
      <c r="B1219" t="s">
        <v>8737</v>
      </c>
      <c r="C1219" t="s">
        <v>8444</v>
      </c>
      <c r="D1219" t="s">
        <v>8445</v>
      </c>
      <c r="E1219" t="s">
        <v>8598</v>
      </c>
      <c r="G1219" t="str">
        <f t="shared" si="187"/>
        <v>CPU: Temperature is too low: &lt;{$TEMP_CRIT_LOW:"CPU"}</v>
      </c>
      <c r="H1219" t="e">
        <f>INDEX('7.0.17'!G:G,MATCH(G1219,'7.0.17'!F:F,0))</f>
        <v>#N/A</v>
      </c>
      <c r="I1219" t="e">
        <f t="shared" ref="I1219:I1282" si="188">A1219&amp;": "&amp;H1219</f>
        <v>#N/A</v>
      </c>
    </row>
    <row r="1220" spans="1:9">
      <c r="A1220" t="s">
        <v>8862</v>
      </c>
      <c r="B1220" t="s">
        <v>8867</v>
      </c>
      <c r="C1220" t="s">
        <v>8439</v>
      </c>
      <c r="D1220" t="s">
        <v>8440</v>
      </c>
      <c r="E1220" t="s">
        <v>8868</v>
      </c>
      <c r="G1220" t="str">
        <f t="shared" si="187"/>
        <v>Device: Temperature is above critical threshold: &gt;{$TEMP_CRIT:Device}</v>
      </c>
      <c r="H1220" t="e">
        <f>INDEX('7.0.17'!G:G,MATCH(G1220,'7.0.17'!F:F,0))</f>
        <v>#N/A</v>
      </c>
      <c r="I1220" t="e">
        <f t="shared" si="188"/>
        <v>#N/A</v>
      </c>
    </row>
    <row r="1221" spans="1:9">
      <c r="A1221" t="s">
        <v>8862</v>
      </c>
      <c r="B1221" t="s">
        <v>8867</v>
      </c>
      <c r="C1221" t="s">
        <v>8442</v>
      </c>
      <c r="D1221" t="s">
        <v>8443</v>
      </c>
      <c r="E1221" t="s">
        <v>8868</v>
      </c>
      <c r="G1221" t="str">
        <f t="shared" si="187"/>
        <v>Device: Temperature is above warning threshold: &gt;{$TEMP_WARN:Device}</v>
      </c>
      <c r="H1221" t="e">
        <f>INDEX('7.0.17'!G:G,MATCH(G1221,'7.0.17'!F:F,0))</f>
        <v>#N/A</v>
      </c>
      <c r="I1221" t="e">
        <f t="shared" si="188"/>
        <v>#N/A</v>
      </c>
    </row>
    <row r="1222" spans="1:9">
      <c r="A1222" t="s">
        <v>8862</v>
      </c>
      <c r="B1222" t="s">
        <v>8867</v>
      </c>
      <c r="C1222" t="s">
        <v>8444</v>
      </c>
      <c r="D1222" t="s">
        <v>8445</v>
      </c>
      <c r="E1222" t="s">
        <v>8868</v>
      </c>
      <c r="G1222" t="str">
        <f t="shared" si="187"/>
        <v>Device: Temperature is too low: &lt;{$TEMP_CRIT_LOW:Device}</v>
      </c>
      <c r="H1222" t="e">
        <f>INDEX('7.0.17'!G:G,MATCH(G1222,'7.0.17'!F:F,0))</f>
        <v>#N/A</v>
      </c>
      <c r="I1222" t="e">
        <f t="shared" si="188"/>
        <v>#N/A</v>
      </c>
    </row>
    <row r="1223" spans="1:9">
      <c r="A1223" t="s">
        <v>8862</v>
      </c>
      <c r="B1223" t="s">
        <v>8564</v>
      </c>
      <c r="C1223" t="s">
        <v>8565</v>
      </c>
      <c r="G1223" t="str">
        <f t="shared" ref="G1223:G1229" si="189">B1223&amp;":"&amp;C1223</f>
        <v>#{#SNMPINDEX}: High CPU utilization (over {$CPU.UTIL.CRIT}% for 5m)</v>
      </c>
      <c r="H1223" t="e">
        <f>INDEX('7.0.17'!G:G,MATCH(G1223,'7.0.17'!F:F,0))</f>
        <v>#N/A</v>
      </c>
      <c r="I1223" t="e">
        <f t="shared" si="188"/>
        <v>#N/A</v>
      </c>
    </row>
    <row r="1224" spans="1:9">
      <c r="A1224" t="s">
        <v>8862</v>
      </c>
      <c r="B1224" t="s">
        <v>8869</v>
      </c>
      <c r="C1224" t="s">
        <v>8512</v>
      </c>
      <c r="D1224" t="s">
        <v>8870</v>
      </c>
      <c r="G1224" t="str">
        <f>B1224&amp;":"&amp;C1224&amp;":"&amp;D1224</f>
        <v>Disk-{#SNMPINDEX}: Disk space is critically low (used &gt; {$VFS.FS.PUSED.MAX.CRIT:Disk-"{#SNMPINDEX}"}%)</v>
      </c>
      <c r="H1224" t="e">
        <f>INDEX('7.0.17'!G:G,MATCH(G1224,'7.0.17'!F:F,0))</f>
        <v>#N/A</v>
      </c>
      <c r="I1224" t="e">
        <f t="shared" si="188"/>
        <v>#N/A</v>
      </c>
    </row>
    <row r="1225" spans="1:9">
      <c r="A1225" t="s">
        <v>8862</v>
      </c>
      <c r="B1225" t="s">
        <v>8869</v>
      </c>
      <c r="C1225" t="s">
        <v>8513</v>
      </c>
      <c r="D1225" t="s">
        <v>8870</v>
      </c>
      <c r="G1225" t="str">
        <f>B1225&amp;":"&amp;C1225&amp;":"&amp;D1225</f>
        <v>Disk-{#SNMPINDEX}: Disk space is low (used &gt; {$VFS.FS.PUSED.MAX.WARN:Disk-"{#SNMPINDEX}"}%)</v>
      </c>
      <c r="H1225" t="e">
        <f>INDEX('7.0.17'!G:G,MATCH(G1225,'7.0.17'!F:F,0))</f>
        <v>#N/A</v>
      </c>
      <c r="I1225" t="e">
        <f t="shared" si="188"/>
        <v>#N/A</v>
      </c>
    </row>
    <row r="1226" spans="1:9">
      <c r="A1226" t="s">
        <v>8862</v>
      </c>
      <c r="B1226" t="s">
        <v>8433</v>
      </c>
      <c r="C1226" t="s">
        <v>8863</v>
      </c>
      <c r="G1226" t="str">
        <f t="shared" si="189"/>
        <v>Interface {#IFNAME}({#IFALIAS}): LTE modem RSRP is low (below {$LTEMODEM.RSRP.MIN.WARN}dbm for 5m)</v>
      </c>
      <c r="H1226" t="e">
        <f>INDEX('7.0.17'!G:G,MATCH(G1226,'7.0.17'!F:F,0))</f>
        <v>#N/A</v>
      </c>
      <c r="I1226" t="e">
        <f t="shared" si="188"/>
        <v>#N/A</v>
      </c>
    </row>
    <row r="1227" spans="1:9">
      <c r="A1227" t="s">
        <v>8862</v>
      </c>
      <c r="B1227" t="s">
        <v>8433</v>
      </c>
      <c r="C1227" t="s">
        <v>8864</v>
      </c>
      <c r="G1227" t="str">
        <f t="shared" si="189"/>
        <v>Interface {#IFNAME}({#IFALIAS}): LTE modem RSRQ is low (below {$LTEMODEM.RSRQ.MIN.WARN}db for 5m)</v>
      </c>
      <c r="H1227" t="e">
        <f>INDEX('7.0.17'!G:G,MATCH(G1227,'7.0.17'!F:F,0))</f>
        <v>#N/A</v>
      </c>
      <c r="I1227" t="e">
        <f t="shared" si="188"/>
        <v>#N/A</v>
      </c>
    </row>
    <row r="1228" spans="1:9">
      <c r="A1228" t="s">
        <v>8862</v>
      </c>
      <c r="B1228" t="s">
        <v>8433</v>
      </c>
      <c r="C1228" t="s">
        <v>8865</v>
      </c>
      <c r="G1228" t="str">
        <f t="shared" si="189"/>
        <v>Interface {#IFNAME}({#IFALIAS}): LTE modem RSSI is low (below {$LTEMODEM.RSSI.MIN.WARN}dbm for 5m)</v>
      </c>
      <c r="H1228" t="e">
        <f>INDEX('7.0.17'!G:G,MATCH(G1228,'7.0.17'!F:F,0))</f>
        <v>#N/A</v>
      </c>
      <c r="I1228" t="e">
        <f t="shared" si="188"/>
        <v>#N/A</v>
      </c>
    </row>
    <row r="1229" spans="1:9">
      <c r="A1229" t="s">
        <v>8862</v>
      </c>
      <c r="B1229" t="s">
        <v>8433</v>
      </c>
      <c r="C1229" t="s">
        <v>8866</v>
      </c>
      <c r="G1229" t="str">
        <f t="shared" si="189"/>
        <v>Interface {#IFNAME}({#IFALIAS}): LTE modem SINR is low (below {$LTEMODEM.SINR.MIN.WARN}db for 5m)</v>
      </c>
      <c r="H1229" t="e">
        <f>INDEX('7.0.17'!G:G,MATCH(G1229,'7.0.17'!F:F,0))</f>
        <v>#N/A</v>
      </c>
      <c r="I1229" t="e">
        <f t="shared" si="188"/>
        <v>#N/A</v>
      </c>
    </row>
    <row r="1230" spans="1:9">
      <c r="A1230" t="s">
        <v>8862</v>
      </c>
      <c r="B1230" t="s">
        <v>8433</v>
      </c>
      <c r="C1230" t="s">
        <v>8434</v>
      </c>
      <c r="D1230" t="s">
        <v>8435</v>
      </c>
      <c r="G1230" t="str">
        <f>B1230&amp;":"&amp;C1230&amp;":"&amp;D1230</f>
        <v>Interface {#IFNAME}({#IFALIAS}): High error rate (&gt;{$IF.ERRORS.WARN:{#IFNAME}} for 5m)</v>
      </c>
      <c r="H1230" t="e">
        <f>INDEX('7.0.17'!G:G,MATCH(G1230,'7.0.17'!F:F,0))</f>
        <v>#N/A</v>
      </c>
      <c r="I1230" t="e">
        <f t="shared" si="188"/>
        <v>#N/A</v>
      </c>
    </row>
    <row r="1231" spans="1:9">
      <c r="A1231" t="s">
        <v>8862</v>
      </c>
      <c r="B1231" t="s">
        <v>8433</v>
      </c>
      <c r="C1231" t="s">
        <v>8436</v>
      </c>
      <c r="D1231" t="s">
        <v>8437</v>
      </c>
      <c r="G1231" t="str">
        <f>B1231&amp;":"&amp;C1231&amp;":"&amp;D1231</f>
        <v>Interface {#IFNAME}({#IFALIAS}): High bandwidth usage (&gt;{$IF.UTIL.MAX:{#IFNAME}}%)</v>
      </c>
      <c r="H1231" t="e">
        <f>INDEX('7.0.17'!G:G,MATCH(G1231,'7.0.17'!F:F,0))</f>
        <v>#N/A</v>
      </c>
      <c r="I1231" t="e">
        <f t="shared" si="188"/>
        <v>#N/A</v>
      </c>
    </row>
    <row r="1232" spans="1:9">
      <c r="A1232" t="s">
        <v>8862</v>
      </c>
      <c r="B1232" t="s">
        <v>8737</v>
      </c>
      <c r="C1232" t="s">
        <v>8439</v>
      </c>
      <c r="D1232" t="s">
        <v>8440</v>
      </c>
      <c r="E1232" t="s">
        <v>8598</v>
      </c>
      <c r="G1232" t="str">
        <f t="shared" ref="G1232:G1237" si="190">B1232&amp;":"&amp;C1232&amp;":"&amp;D1232&amp;":"&amp;E1232</f>
        <v>CPU: Temperature is above critical threshold: &gt;{$TEMP_CRIT:"CPU"}</v>
      </c>
      <c r="H1232" t="e">
        <f>INDEX('7.0.17'!G:G,MATCH(G1232,'7.0.17'!F:F,0))</f>
        <v>#N/A</v>
      </c>
      <c r="I1232" t="e">
        <f t="shared" si="188"/>
        <v>#N/A</v>
      </c>
    </row>
    <row r="1233" spans="1:9">
      <c r="A1233" t="s">
        <v>8862</v>
      </c>
      <c r="B1233" t="s">
        <v>8737</v>
      </c>
      <c r="C1233" t="s">
        <v>8442</v>
      </c>
      <c r="D1233" t="s">
        <v>8443</v>
      </c>
      <c r="E1233" t="s">
        <v>8598</v>
      </c>
      <c r="G1233" t="str">
        <f t="shared" si="190"/>
        <v>CPU: Temperature is above warning threshold: &gt;{$TEMP_WARN:"CPU"}</v>
      </c>
      <c r="H1233" t="e">
        <f>INDEX('7.0.17'!G:G,MATCH(G1233,'7.0.17'!F:F,0))</f>
        <v>#N/A</v>
      </c>
      <c r="I1233" t="e">
        <f t="shared" si="188"/>
        <v>#N/A</v>
      </c>
    </row>
    <row r="1234" spans="1:9">
      <c r="A1234" t="s">
        <v>8862</v>
      </c>
      <c r="B1234" t="s">
        <v>8737</v>
      </c>
      <c r="C1234" t="s">
        <v>8444</v>
      </c>
      <c r="D1234" t="s">
        <v>8445</v>
      </c>
      <c r="E1234" t="s">
        <v>8598</v>
      </c>
      <c r="G1234" t="str">
        <f t="shared" si="190"/>
        <v>CPU: Temperature is too low: &lt;{$TEMP_CRIT_LOW:"CPU"}</v>
      </c>
      <c r="H1234" t="e">
        <f>INDEX('7.0.17'!G:G,MATCH(G1234,'7.0.17'!F:F,0))</f>
        <v>#N/A</v>
      </c>
      <c r="I1234" t="e">
        <f t="shared" si="188"/>
        <v>#N/A</v>
      </c>
    </row>
    <row r="1235" spans="1:9">
      <c r="A1235" t="s">
        <v>8862</v>
      </c>
      <c r="B1235" t="s">
        <v>8867</v>
      </c>
      <c r="C1235" t="s">
        <v>8439</v>
      </c>
      <c r="D1235" t="s">
        <v>8440</v>
      </c>
      <c r="E1235" t="s">
        <v>8868</v>
      </c>
      <c r="G1235" t="str">
        <f t="shared" si="190"/>
        <v>Device: Temperature is above critical threshold: &gt;{$TEMP_CRIT:Device}</v>
      </c>
      <c r="H1235" t="e">
        <f>INDEX('7.0.17'!G:G,MATCH(G1235,'7.0.17'!F:F,0))</f>
        <v>#N/A</v>
      </c>
      <c r="I1235" t="e">
        <f t="shared" si="188"/>
        <v>#N/A</v>
      </c>
    </row>
    <row r="1236" spans="1:9">
      <c r="A1236" t="s">
        <v>8862</v>
      </c>
      <c r="B1236" t="s">
        <v>8867</v>
      </c>
      <c r="C1236" t="s">
        <v>8442</v>
      </c>
      <c r="D1236" t="s">
        <v>8443</v>
      </c>
      <c r="E1236" t="s">
        <v>8868</v>
      </c>
      <c r="G1236" t="str">
        <f t="shared" si="190"/>
        <v>Device: Temperature is above warning threshold: &gt;{$TEMP_WARN:Device}</v>
      </c>
      <c r="H1236" t="e">
        <f>INDEX('7.0.17'!G:G,MATCH(G1236,'7.0.17'!F:F,0))</f>
        <v>#N/A</v>
      </c>
      <c r="I1236" t="e">
        <f t="shared" si="188"/>
        <v>#N/A</v>
      </c>
    </row>
    <row r="1237" spans="1:9">
      <c r="A1237" t="s">
        <v>8862</v>
      </c>
      <c r="B1237" t="s">
        <v>8867</v>
      </c>
      <c r="C1237" t="s">
        <v>8444</v>
      </c>
      <c r="D1237" t="s">
        <v>8445</v>
      </c>
      <c r="E1237" t="s">
        <v>8868</v>
      </c>
      <c r="G1237" t="str">
        <f t="shared" si="190"/>
        <v>Device: Temperature is too low: &lt;{$TEMP_CRIT_LOW:Device}</v>
      </c>
      <c r="H1237" t="e">
        <f>INDEX('7.0.17'!G:G,MATCH(G1237,'7.0.17'!F:F,0))</f>
        <v>#N/A</v>
      </c>
      <c r="I1237" t="e">
        <f t="shared" si="188"/>
        <v>#N/A</v>
      </c>
    </row>
    <row r="1238" spans="1:9">
      <c r="A1238" t="s">
        <v>8862</v>
      </c>
      <c r="B1238" t="s">
        <v>8564</v>
      </c>
      <c r="C1238" t="s">
        <v>8565</v>
      </c>
      <c r="G1238" t="str">
        <f t="shared" ref="G1238:G1244" si="191">B1238&amp;":"&amp;C1238</f>
        <v>#{#SNMPINDEX}: High CPU utilization (over {$CPU.UTIL.CRIT}% for 5m)</v>
      </c>
      <c r="H1238" t="e">
        <f>INDEX('7.0.17'!G:G,MATCH(G1238,'7.0.17'!F:F,0))</f>
        <v>#N/A</v>
      </c>
      <c r="I1238" t="e">
        <f t="shared" si="188"/>
        <v>#N/A</v>
      </c>
    </row>
    <row r="1239" spans="1:9">
      <c r="A1239" t="s">
        <v>8862</v>
      </c>
      <c r="B1239" t="s">
        <v>8869</v>
      </c>
      <c r="C1239" t="s">
        <v>8512</v>
      </c>
      <c r="D1239" t="s">
        <v>8870</v>
      </c>
      <c r="G1239" t="str">
        <f>B1239&amp;":"&amp;C1239&amp;":"&amp;D1239</f>
        <v>Disk-{#SNMPINDEX}: Disk space is critically low (used &gt; {$VFS.FS.PUSED.MAX.CRIT:Disk-"{#SNMPINDEX}"}%)</v>
      </c>
      <c r="H1239" t="e">
        <f>INDEX('7.0.17'!G:G,MATCH(G1239,'7.0.17'!F:F,0))</f>
        <v>#N/A</v>
      </c>
      <c r="I1239" t="e">
        <f t="shared" si="188"/>
        <v>#N/A</v>
      </c>
    </row>
    <row r="1240" spans="1:9">
      <c r="A1240" t="s">
        <v>8862</v>
      </c>
      <c r="B1240" t="s">
        <v>8869</v>
      </c>
      <c r="C1240" t="s">
        <v>8513</v>
      </c>
      <c r="D1240" t="s">
        <v>8870</v>
      </c>
      <c r="G1240" t="str">
        <f>B1240&amp;":"&amp;C1240&amp;":"&amp;D1240</f>
        <v>Disk-{#SNMPINDEX}: Disk space is low (used &gt; {$VFS.FS.PUSED.MAX.WARN:Disk-"{#SNMPINDEX}"}%)</v>
      </c>
      <c r="H1240" t="e">
        <f>INDEX('7.0.17'!G:G,MATCH(G1240,'7.0.17'!F:F,0))</f>
        <v>#N/A</v>
      </c>
      <c r="I1240" t="e">
        <f t="shared" si="188"/>
        <v>#N/A</v>
      </c>
    </row>
    <row r="1241" spans="1:9">
      <c r="A1241" t="s">
        <v>8862</v>
      </c>
      <c r="B1241" t="s">
        <v>8433</v>
      </c>
      <c r="C1241" t="s">
        <v>8863</v>
      </c>
      <c r="G1241" t="str">
        <f t="shared" si="191"/>
        <v>Interface {#IFNAME}({#IFALIAS}): LTE modem RSRP is low (below {$LTEMODEM.RSRP.MIN.WARN}dbm for 5m)</v>
      </c>
      <c r="H1241" t="e">
        <f>INDEX('7.0.17'!G:G,MATCH(G1241,'7.0.17'!F:F,0))</f>
        <v>#N/A</v>
      </c>
      <c r="I1241" t="e">
        <f t="shared" si="188"/>
        <v>#N/A</v>
      </c>
    </row>
    <row r="1242" spans="1:9">
      <c r="A1242" t="s">
        <v>8862</v>
      </c>
      <c r="B1242" t="s">
        <v>8433</v>
      </c>
      <c r="C1242" t="s">
        <v>8864</v>
      </c>
      <c r="G1242" t="str">
        <f t="shared" si="191"/>
        <v>Interface {#IFNAME}({#IFALIAS}): LTE modem RSRQ is low (below {$LTEMODEM.RSRQ.MIN.WARN}db for 5m)</v>
      </c>
      <c r="H1242" t="e">
        <f>INDEX('7.0.17'!G:G,MATCH(G1242,'7.0.17'!F:F,0))</f>
        <v>#N/A</v>
      </c>
      <c r="I1242" t="e">
        <f t="shared" si="188"/>
        <v>#N/A</v>
      </c>
    </row>
    <row r="1243" spans="1:9">
      <c r="A1243" t="s">
        <v>8862</v>
      </c>
      <c r="B1243" t="s">
        <v>8433</v>
      </c>
      <c r="C1243" t="s">
        <v>8865</v>
      </c>
      <c r="G1243" t="str">
        <f t="shared" si="191"/>
        <v>Interface {#IFNAME}({#IFALIAS}): LTE modem RSSI is low (below {$LTEMODEM.RSSI.MIN.WARN}dbm for 5m)</v>
      </c>
      <c r="H1243" t="e">
        <f>INDEX('7.0.17'!G:G,MATCH(G1243,'7.0.17'!F:F,0))</f>
        <v>#N/A</v>
      </c>
      <c r="I1243" t="e">
        <f t="shared" si="188"/>
        <v>#N/A</v>
      </c>
    </row>
    <row r="1244" spans="1:9">
      <c r="A1244" t="s">
        <v>8862</v>
      </c>
      <c r="B1244" t="s">
        <v>8433</v>
      </c>
      <c r="C1244" t="s">
        <v>8866</v>
      </c>
      <c r="G1244" t="str">
        <f t="shared" si="191"/>
        <v>Interface {#IFNAME}({#IFALIAS}): LTE modem SINR is low (below {$LTEMODEM.SINR.MIN.WARN}db for 5m)</v>
      </c>
      <c r="H1244" t="e">
        <f>INDEX('7.0.17'!G:G,MATCH(G1244,'7.0.17'!F:F,0))</f>
        <v>#N/A</v>
      </c>
      <c r="I1244" t="e">
        <f t="shared" si="188"/>
        <v>#N/A</v>
      </c>
    </row>
    <row r="1245" spans="1:9">
      <c r="A1245" t="s">
        <v>8862</v>
      </c>
      <c r="B1245" t="s">
        <v>8433</v>
      </c>
      <c r="C1245" t="s">
        <v>8434</v>
      </c>
      <c r="D1245" t="s">
        <v>8435</v>
      </c>
      <c r="G1245" t="str">
        <f>B1245&amp;":"&amp;C1245&amp;":"&amp;D1245</f>
        <v>Interface {#IFNAME}({#IFALIAS}): High error rate (&gt;{$IF.ERRORS.WARN:{#IFNAME}} for 5m)</v>
      </c>
      <c r="H1245" t="e">
        <f>INDEX('7.0.17'!G:G,MATCH(G1245,'7.0.17'!F:F,0))</f>
        <v>#N/A</v>
      </c>
      <c r="I1245" t="e">
        <f t="shared" si="188"/>
        <v>#N/A</v>
      </c>
    </row>
    <row r="1246" spans="1:9">
      <c r="A1246" t="s">
        <v>8862</v>
      </c>
      <c r="B1246" t="s">
        <v>8433</v>
      </c>
      <c r="C1246" t="s">
        <v>8436</v>
      </c>
      <c r="D1246" t="s">
        <v>8437</v>
      </c>
      <c r="G1246" t="str">
        <f>B1246&amp;":"&amp;C1246&amp;":"&amp;D1246</f>
        <v>Interface {#IFNAME}({#IFALIAS}): High bandwidth usage (&gt;{$IF.UTIL.MAX:{#IFNAME}}%)</v>
      </c>
      <c r="H1246" t="e">
        <f>INDEX('7.0.17'!G:G,MATCH(G1246,'7.0.17'!F:F,0))</f>
        <v>#N/A</v>
      </c>
      <c r="I1246" t="e">
        <f t="shared" si="188"/>
        <v>#N/A</v>
      </c>
    </row>
    <row r="1247" spans="1:9">
      <c r="A1247" t="s">
        <v>8862</v>
      </c>
      <c r="B1247" t="s">
        <v>8737</v>
      </c>
      <c r="C1247" t="s">
        <v>8439</v>
      </c>
      <c r="D1247" t="s">
        <v>8440</v>
      </c>
      <c r="E1247" t="s">
        <v>8598</v>
      </c>
      <c r="G1247" t="str">
        <f t="shared" ref="G1247:G1252" si="192">B1247&amp;":"&amp;C1247&amp;":"&amp;D1247&amp;":"&amp;E1247</f>
        <v>CPU: Temperature is above critical threshold: &gt;{$TEMP_CRIT:"CPU"}</v>
      </c>
      <c r="H1247" t="e">
        <f>INDEX('7.0.17'!G:G,MATCH(G1247,'7.0.17'!F:F,0))</f>
        <v>#N/A</v>
      </c>
      <c r="I1247" t="e">
        <f t="shared" si="188"/>
        <v>#N/A</v>
      </c>
    </row>
    <row r="1248" spans="1:9">
      <c r="A1248" t="s">
        <v>8862</v>
      </c>
      <c r="B1248" t="s">
        <v>8737</v>
      </c>
      <c r="C1248" t="s">
        <v>8442</v>
      </c>
      <c r="D1248" t="s">
        <v>8443</v>
      </c>
      <c r="E1248" t="s">
        <v>8598</v>
      </c>
      <c r="G1248" t="str">
        <f t="shared" si="192"/>
        <v>CPU: Temperature is above warning threshold: &gt;{$TEMP_WARN:"CPU"}</v>
      </c>
      <c r="H1248" t="e">
        <f>INDEX('7.0.17'!G:G,MATCH(G1248,'7.0.17'!F:F,0))</f>
        <v>#N/A</v>
      </c>
      <c r="I1248" t="e">
        <f t="shared" si="188"/>
        <v>#N/A</v>
      </c>
    </row>
    <row r="1249" spans="1:9">
      <c r="A1249" t="s">
        <v>8862</v>
      </c>
      <c r="B1249" t="s">
        <v>8737</v>
      </c>
      <c r="C1249" t="s">
        <v>8444</v>
      </c>
      <c r="D1249" t="s">
        <v>8445</v>
      </c>
      <c r="E1249" t="s">
        <v>8598</v>
      </c>
      <c r="G1249" t="str">
        <f t="shared" si="192"/>
        <v>CPU: Temperature is too low: &lt;{$TEMP_CRIT_LOW:"CPU"}</v>
      </c>
      <c r="H1249" t="e">
        <f>INDEX('7.0.17'!G:G,MATCH(G1249,'7.0.17'!F:F,0))</f>
        <v>#N/A</v>
      </c>
      <c r="I1249" t="e">
        <f t="shared" si="188"/>
        <v>#N/A</v>
      </c>
    </row>
    <row r="1250" spans="1:9">
      <c r="A1250" t="s">
        <v>8862</v>
      </c>
      <c r="B1250" t="s">
        <v>8867</v>
      </c>
      <c r="C1250" t="s">
        <v>8439</v>
      </c>
      <c r="D1250" t="s">
        <v>8440</v>
      </c>
      <c r="E1250" t="s">
        <v>8868</v>
      </c>
      <c r="G1250" t="str">
        <f t="shared" si="192"/>
        <v>Device: Temperature is above critical threshold: &gt;{$TEMP_CRIT:Device}</v>
      </c>
      <c r="H1250" t="e">
        <f>INDEX('7.0.17'!G:G,MATCH(G1250,'7.0.17'!F:F,0))</f>
        <v>#N/A</v>
      </c>
      <c r="I1250" t="e">
        <f t="shared" si="188"/>
        <v>#N/A</v>
      </c>
    </row>
    <row r="1251" spans="1:9">
      <c r="A1251" t="s">
        <v>8862</v>
      </c>
      <c r="B1251" t="s">
        <v>8867</v>
      </c>
      <c r="C1251" t="s">
        <v>8442</v>
      </c>
      <c r="D1251" t="s">
        <v>8443</v>
      </c>
      <c r="E1251" t="s">
        <v>8868</v>
      </c>
      <c r="G1251" t="str">
        <f t="shared" si="192"/>
        <v>Device: Temperature is above warning threshold: &gt;{$TEMP_WARN:Device}</v>
      </c>
      <c r="H1251" t="e">
        <f>INDEX('7.0.17'!G:G,MATCH(G1251,'7.0.17'!F:F,0))</f>
        <v>#N/A</v>
      </c>
      <c r="I1251" t="e">
        <f t="shared" si="188"/>
        <v>#N/A</v>
      </c>
    </row>
    <row r="1252" spans="1:9">
      <c r="A1252" t="s">
        <v>8862</v>
      </c>
      <c r="B1252" t="s">
        <v>8867</v>
      </c>
      <c r="C1252" t="s">
        <v>8444</v>
      </c>
      <c r="D1252" t="s">
        <v>8445</v>
      </c>
      <c r="E1252" t="s">
        <v>8868</v>
      </c>
      <c r="G1252" t="str">
        <f t="shared" si="192"/>
        <v>Device: Temperature is too low: &lt;{$TEMP_CRIT_LOW:Device}</v>
      </c>
      <c r="H1252" t="e">
        <f>INDEX('7.0.17'!G:G,MATCH(G1252,'7.0.17'!F:F,0))</f>
        <v>#N/A</v>
      </c>
      <c r="I1252" t="e">
        <f t="shared" si="188"/>
        <v>#N/A</v>
      </c>
    </row>
    <row r="1253" spans="1:9">
      <c r="A1253" t="s">
        <v>8862</v>
      </c>
      <c r="B1253" t="s">
        <v>8564</v>
      </c>
      <c r="C1253" t="s">
        <v>8565</v>
      </c>
      <c r="G1253" t="str">
        <f t="shared" ref="G1253:G1259" si="193">B1253&amp;":"&amp;C1253</f>
        <v>#{#SNMPINDEX}: High CPU utilization (over {$CPU.UTIL.CRIT}% for 5m)</v>
      </c>
      <c r="H1253" t="e">
        <f>INDEX('7.0.17'!G:G,MATCH(G1253,'7.0.17'!F:F,0))</f>
        <v>#N/A</v>
      </c>
      <c r="I1253" t="e">
        <f t="shared" si="188"/>
        <v>#N/A</v>
      </c>
    </row>
    <row r="1254" spans="1:9">
      <c r="A1254" t="s">
        <v>8862</v>
      </c>
      <c r="B1254" t="s">
        <v>8869</v>
      </c>
      <c r="C1254" t="s">
        <v>8512</v>
      </c>
      <c r="D1254" t="s">
        <v>8870</v>
      </c>
      <c r="G1254" t="str">
        <f>B1254&amp;":"&amp;C1254&amp;":"&amp;D1254</f>
        <v>Disk-{#SNMPINDEX}: Disk space is critically low (used &gt; {$VFS.FS.PUSED.MAX.CRIT:Disk-"{#SNMPINDEX}"}%)</v>
      </c>
      <c r="H1254" t="e">
        <f>INDEX('7.0.17'!G:G,MATCH(G1254,'7.0.17'!F:F,0))</f>
        <v>#N/A</v>
      </c>
      <c r="I1254" t="e">
        <f t="shared" si="188"/>
        <v>#N/A</v>
      </c>
    </row>
    <row r="1255" spans="1:9">
      <c r="A1255" t="s">
        <v>8862</v>
      </c>
      <c r="B1255" t="s">
        <v>8869</v>
      </c>
      <c r="C1255" t="s">
        <v>8513</v>
      </c>
      <c r="D1255" t="s">
        <v>8870</v>
      </c>
      <c r="G1255" t="str">
        <f>B1255&amp;":"&amp;C1255&amp;":"&amp;D1255</f>
        <v>Disk-{#SNMPINDEX}: Disk space is low (used &gt; {$VFS.FS.PUSED.MAX.WARN:Disk-"{#SNMPINDEX}"}%)</v>
      </c>
      <c r="H1255" t="e">
        <f>INDEX('7.0.17'!G:G,MATCH(G1255,'7.0.17'!F:F,0))</f>
        <v>#N/A</v>
      </c>
      <c r="I1255" t="e">
        <f t="shared" si="188"/>
        <v>#N/A</v>
      </c>
    </row>
    <row r="1256" spans="1:9">
      <c r="A1256" t="s">
        <v>8862</v>
      </c>
      <c r="B1256" t="s">
        <v>8433</v>
      </c>
      <c r="C1256" t="s">
        <v>8863</v>
      </c>
      <c r="G1256" t="str">
        <f t="shared" si="193"/>
        <v>Interface {#IFNAME}({#IFALIAS}): LTE modem RSRP is low (below {$LTEMODEM.RSRP.MIN.WARN}dbm for 5m)</v>
      </c>
      <c r="H1256" t="e">
        <f>INDEX('7.0.17'!G:G,MATCH(G1256,'7.0.17'!F:F,0))</f>
        <v>#N/A</v>
      </c>
      <c r="I1256" t="e">
        <f t="shared" si="188"/>
        <v>#N/A</v>
      </c>
    </row>
    <row r="1257" spans="1:9">
      <c r="A1257" t="s">
        <v>8862</v>
      </c>
      <c r="B1257" t="s">
        <v>8433</v>
      </c>
      <c r="C1257" t="s">
        <v>8864</v>
      </c>
      <c r="G1257" t="str">
        <f t="shared" si="193"/>
        <v>Interface {#IFNAME}({#IFALIAS}): LTE modem RSRQ is low (below {$LTEMODEM.RSRQ.MIN.WARN}db for 5m)</v>
      </c>
      <c r="H1257" t="e">
        <f>INDEX('7.0.17'!G:G,MATCH(G1257,'7.0.17'!F:F,0))</f>
        <v>#N/A</v>
      </c>
      <c r="I1257" t="e">
        <f t="shared" si="188"/>
        <v>#N/A</v>
      </c>
    </row>
    <row r="1258" spans="1:9">
      <c r="A1258" t="s">
        <v>8862</v>
      </c>
      <c r="B1258" t="s">
        <v>8433</v>
      </c>
      <c r="C1258" t="s">
        <v>8865</v>
      </c>
      <c r="G1258" t="str">
        <f t="shared" si="193"/>
        <v>Interface {#IFNAME}({#IFALIAS}): LTE modem RSSI is low (below {$LTEMODEM.RSSI.MIN.WARN}dbm for 5m)</v>
      </c>
      <c r="H1258" t="e">
        <f>INDEX('7.0.17'!G:G,MATCH(G1258,'7.0.17'!F:F,0))</f>
        <v>#N/A</v>
      </c>
      <c r="I1258" t="e">
        <f t="shared" si="188"/>
        <v>#N/A</v>
      </c>
    </row>
    <row r="1259" spans="1:9">
      <c r="A1259" t="s">
        <v>8862</v>
      </c>
      <c r="B1259" t="s">
        <v>8433</v>
      </c>
      <c r="C1259" t="s">
        <v>8866</v>
      </c>
      <c r="G1259" t="str">
        <f t="shared" si="193"/>
        <v>Interface {#IFNAME}({#IFALIAS}): LTE modem SINR is low (below {$LTEMODEM.SINR.MIN.WARN}db for 5m)</v>
      </c>
      <c r="H1259" t="e">
        <f>INDEX('7.0.17'!G:G,MATCH(G1259,'7.0.17'!F:F,0))</f>
        <v>#N/A</v>
      </c>
      <c r="I1259" t="e">
        <f t="shared" si="188"/>
        <v>#N/A</v>
      </c>
    </row>
    <row r="1260" spans="1:9">
      <c r="A1260" t="s">
        <v>8862</v>
      </c>
      <c r="B1260" t="s">
        <v>8433</v>
      </c>
      <c r="C1260" t="s">
        <v>8434</v>
      </c>
      <c r="D1260" t="s">
        <v>8435</v>
      </c>
      <c r="G1260" t="str">
        <f>B1260&amp;":"&amp;C1260&amp;":"&amp;D1260</f>
        <v>Interface {#IFNAME}({#IFALIAS}): High error rate (&gt;{$IF.ERRORS.WARN:{#IFNAME}} for 5m)</v>
      </c>
      <c r="H1260" t="e">
        <f>INDEX('7.0.17'!G:G,MATCH(G1260,'7.0.17'!F:F,0))</f>
        <v>#N/A</v>
      </c>
      <c r="I1260" t="e">
        <f t="shared" si="188"/>
        <v>#N/A</v>
      </c>
    </row>
    <row r="1261" spans="1:9">
      <c r="A1261" t="s">
        <v>8862</v>
      </c>
      <c r="B1261" t="s">
        <v>8433</v>
      </c>
      <c r="C1261" t="s">
        <v>8436</v>
      </c>
      <c r="D1261" t="s">
        <v>8437</v>
      </c>
      <c r="G1261" t="str">
        <f>B1261&amp;":"&amp;C1261&amp;":"&amp;D1261</f>
        <v>Interface {#IFNAME}({#IFALIAS}): High bandwidth usage (&gt;{$IF.UTIL.MAX:{#IFNAME}}%)</v>
      </c>
      <c r="H1261" t="e">
        <f>INDEX('7.0.17'!G:G,MATCH(G1261,'7.0.17'!F:F,0))</f>
        <v>#N/A</v>
      </c>
      <c r="I1261" t="e">
        <f t="shared" si="188"/>
        <v>#N/A</v>
      </c>
    </row>
    <row r="1262" spans="1:9">
      <c r="A1262" t="s">
        <v>8862</v>
      </c>
      <c r="B1262" t="s">
        <v>8737</v>
      </c>
      <c r="C1262" t="s">
        <v>8439</v>
      </c>
      <c r="D1262" t="s">
        <v>8440</v>
      </c>
      <c r="E1262" t="s">
        <v>8598</v>
      </c>
      <c r="G1262" t="str">
        <f t="shared" ref="G1262:G1267" si="194">B1262&amp;":"&amp;C1262&amp;":"&amp;D1262&amp;":"&amp;E1262</f>
        <v>CPU: Temperature is above critical threshold: &gt;{$TEMP_CRIT:"CPU"}</v>
      </c>
      <c r="H1262" t="e">
        <f>INDEX('7.0.17'!G:G,MATCH(G1262,'7.0.17'!F:F,0))</f>
        <v>#N/A</v>
      </c>
      <c r="I1262" t="e">
        <f t="shared" si="188"/>
        <v>#N/A</v>
      </c>
    </row>
    <row r="1263" spans="1:9">
      <c r="A1263" t="s">
        <v>8862</v>
      </c>
      <c r="B1263" t="s">
        <v>8737</v>
      </c>
      <c r="C1263" t="s">
        <v>8442</v>
      </c>
      <c r="D1263" t="s">
        <v>8443</v>
      </c>
      <c r="E1263" t="s">
        <v>8598</v>
      </c>
      <c r="G1263" t="str">
        <f t="shared" si="194"/>
        <v>CPU: Temperature is above warning threshold: &gt;{$TEMP_WARN:"CPU"}</v>
      </c>
      <c r="H1263" t="e">
        <f>INDEX('7.0.17'!G:G,MATCH(G1263,'7.0.17'!F:F,0))</f>
        <v>#N/A</v>
      </c>
      <c r="I1263" t="e">
        <f t="shared" si="188"/>
        <v>#N/A</v>
      </c>
    </row>
    <row r="1264" spans="1:9">
      <c r="A1264" t="s">
        <v>8862</v>
      </c>
      <c r="B1264" t="s">
        <v>8737</v>
      </c>
      <c r="C1264" t="s">
        <v>8444</v>
      </c>
      <c r="D1264" t="s">
        <v>8445</v>
      </c>
      <c r="E1264" t="s">
        <v>8598</v>
      </c>
      <c r="G1264" t="str">
        <f t="shared" si="194"/>
        <v>CPU: Temperature is too low: &lt;{$TEMP_CRIT_LOW:"CPU"}</v>
      </c>
      <c r="H1264" t="e">
        <f>INDEX('7.0.17'!G:G,MATCH(G1264,'7.0.17'!F:F,0))</f>
        <v>#N/A</v>
      </c>
      <c r="I1264" t="e">
        <f t="shared" si="188"/>
        <v>#N/A</v>
      </c>
    </row>
    <row r="1265" spans="1:9">
      <c r="A1265" t="s">
        <v>8862</v>
      </c>
      <c r="B1265" t="s">
        <v>8867</v>
      </c>
      <c r="C1265" t="s">
        <v>8439</v>
      </c>
      <c r="D1265" t="s">
        <v>8440</v>
      </c>
      <c r="E1265" t="s">
        <v>8868</v>
      </c>
      <c r="G1265" t="str">
        <f t="shared" si="194"/>
        <v>Device: Temperature is above critical threshold: &gt;{$TEMP_CRIT:Device}</v>
      </c>
      <c r="H1265" t="e">
        <f>INDEX('7.0.17'!G:G,MATCH(G1265,'7.0.17'!F:F,0))</f>
        <v>#N/A</v>
      </c>
      <c r="I1265" t="e">
        <f t="shared" si="188"/>
        <v>#N/A</v>
      </c>
    </row>
    <row r="1266" spans="1:9">
      <c r="A1266" t="s">
        <v>8862</v>
      </c>
      <c r="B1266" t="s">
        <v>8867</v>
      </c>
      <c r="C1266" t="s">
        <v>8442</v>
      </c>
      <c r="D1266" t="s">
        <v>8443</v>
      </c>
      <c r="E1266" t="s">
        <v>8868</v>
      </c>
      <c r="G1266" t="str">
        <f t="shared" si="194"/>
        <v>Device: Temperature is above warning threshold: &gt;{$TEMP_WARN:Device}</v>
      </c>
      <c r="H1266" t="e">
        <f>INDEX('7.0.17'!G:G,MATCH(G1266,'7.0.17'!F:F,0))</f>
        <v>#N/A</v>
      </c>
      <c r="I1266" t="e">
        <f t="shared" si="188"/>
        <v>#N/A</v>
      </c>
    </row>
    <row r="1267" spans="1:9">
      <c r="A1267" t="s">
        <v>8862</v>
      </c>
      <c r="B1267" t="s">
        <v>8867</v>
      </c>
      <c r="C1267" t="s">
        <v>8444</v>
      </c>
      <c r="D1267" t="s">
        <v>8445</v>
      </c>
      <c r="E1267" t="s">
        <v>8868</v>
      </c>
      <c r="G1267" t="str">
        <f t="shared" si="194"/>
        <v>Device: Temperature is too low: &lt;{$TEMP_CRIT_LOW:Device}</v>
      </c>
      <c r="H1267" t="e">
        <f>INDEX('7.0.17'!G:G,MATCH(G1267,'7.0.17'!F:F,0))</f>
        <v>#N/A</v>
      </c>
      <c r="I1267" t="e">
        <f t="shared" si="188"/>
        <v>#N/A</v>
      </c>
    </row>
    <row r="1268" spans="1:9">
      <c r="A1268" t="s">
        <v>8862</v>
      </c>
      <c r="B1268" t="s">
        <v>8564</v>
      </c>
      <c r="C1268" t="s">
        <v>8565</v>
      </c>
      <c r="G1268" t="str">
        <f t="shared" ref="G1268:G1274" si="195">B1268&amp;":"&amp;C1268</f>
        <v>#{#SNMPINDEX}: High CPU utilization (over {$CPU.UTIL.CRIT}% for 5m)</v>
      </c>
      <c r="H1268" t="e">
        <f>INDEX('7.0.17'!G:G,MATCH(G1268,'7.0.17'!F:F,0))</f>
        <v>#N/A</v>
      </c>
      <c r="I1268" t="e">
        <f t="shared" si="188"/>
        <v>#N/A</v>
      </c>
    </row>
    <row r="1269" spans="1:9">
      <c r="A1269" t="s">
        <v>8862</v>
      </c>
      <c r="B1269" t="s">
        <v>8869</v>
      </c>
      <c r="C1269" t="s">
        <v>8512</v>
      </c>
      <c r="D1269" t="s">
        <v>8870</v>
      </c>
      <c r="G1269" t="str">
        <f>B1269&amp;":"&amp;C1269&amp;":"&amp;D1269</f>
        <v>Disk-{#SNMPINDEX}: Disk space is critically low (used &gt; {$VFS.FS.PUSED.MAX.CRIT:Disk-"{#SNMPINDEX}"}%)</v>
      </c>
      <c r="H1269" t="e">
        <f>INDEX('7.0.17'!G:G,MATCH(G1269,'7.0.17'!F:F,0))</f>
        <v>#N/A</v>
      </c>
      <c r="I1269" t="e">
        <f t="shared" si="188"/>
        <v>#N/A</v>
      </c>
    </row>
    <row r="1270" spans="1:9">
      <c r="A1270" t="s">
        <v>8862</v>
      </c>
      <c r="B1270" t="s">
        <v>8869</v>
      </c>
      <c r="C1270" t="s">
        <v>8513</v>
      </c>
      <c r="D1270" t="s">
        <v>8870</v>
      </c>
      <c r="G1270" t="str">
        <f>B1270&amp;":"&amp;C1270&amp;":"&amp;D1270</f>
        <v>Disk-{#SNMPINDEX}: Disk space is low (used &gt; {$VFS.FS.PUSED.MAX.WARN:Disk-"{#SNMPINDEX}"}%)</v>
      </c>
      <c r="H1270" t="e">
        <f>INDEX('7.0.17'!G:G,MATCH(G1270,'7.0.17'!F:F,0))</f>
        <v>#N/A</v>
      </c>
      <c r="I1270" t="e">
        <f t="shared" si="188"/>
        <v>#N/A</v>
      </c>
    </row>
    <row r="1271" spans="1:9">
      <c r="A1271" t="s">
        <v>8862</v>
      </c>
      <c r="B1271" t="s">
        <v>8433</v>
      </c>
      <c r="C1271" t="s">
        <v>8863</v>
      </c>
      <c r="G1271" t="str">
        <f t="shared" si="195"/>
        <v>Interface {#IFNAME}({#IFALIAS}): LTE modem RSRP is low (below {$LTEMODEM.RSRP.MIN.WARN}dbm for 5m)</v>
      </c>
      <c r="H1271" t="e">
        <f>INDEX('7.0.17'!G:G,MATCH(G1271,'7.0.17'!F:F,0))</f>
        <v>#N/A</v>
      </c>
      <c r="I1271" t="e">
        <f t="shared" si="188"/>
        <v>#N/A</v>
      </c>
    </row>
    <row r="1272" spans="1:9">
      <c r="A1272" t="s">
        <v>8862</v>
      </c>
      <c r="B1272" t="s">
        <v>8433</v>
      </c>
      <c r="C1272" t="s">
        <v>8864</v>
      </c>
      <c r="G1272" t="str">
        <f t="shared" si="195"/>
        <v>Interface {#IFNAME}({#IFALIAS}): LTE modem RSRQ is low (below {$LTEMODEM.RSRQ.MIN.WARN}db for 5m)</v>
      </c>
      <c r="H1272" t="e">
        <f>INDEX('7.0.17'!G:G,MATCH(G1272,'7.0.17'!F:F,0))</f>
        <v>#N/A</v>
      </c>
      <c r="I1272" t="e">
        <f t="shared" si="188"/>
        <v>#N/A</v>
      </c>
    </row>
    <row r="1273" spans="1:9">
      <c r="A1273" t="s">
        <v>8862</v>
      </c>
      <c r="B1273" t="s">
        <v>8433</v>
      </c>
      <c r="C1273" t="s">
        <v>8865</v>
      </c>
      <c r="G1273" t="str">
        <f t="shared" si="195"/>
        <v>Interface {#IFNAME}({#IFALIAS}): LTE modem RSSI is low (below {$LTEMODEM.RSSI.MIN.WARN}dbm for 5m)</v>
      </c>
      <c r="H1273" t="e">
        <f>INDEX('7.0.17'!G:G,MATCH(G1273,'7.0.17'!F:F,0))</f>
        <v>#N/A</v>
      </c>
      <c r="I1273" t="e">
        <f t="shared" si="188"/>
        <v>#N/A</v>
      </c>
    </row>
    <row r="1274" spans="1:9">
      <c r="A1274" t="s">
        <v>8862</v>
      </c>
      <c r="B1274" t="s">
        <v>8433</v>
      </c>
      <c r="C1274" t="s">
        <v>8866</v>
      </c>
      <c r="G1274" t="str">
        <f t="shared" si="195"/>
        <v>Interface {#IFNAME}({#IFALIAS}): LTE modem SINR is low (below {$LTEMODEM.SINR.MIN.WARN}db for 5m)</v>
      </c>
      <c r="H1274" t="e">
        <f>INDEX('7.0.17'!G:G,MATCH(G1274,'7.0.17'!F:F,0))</f>
        <v>#N/A</v>
      </c>
      <c r="I1274" t="e">
        <f t="shared" si="188"/>
        <v>#N/A</v>
      </c>
    </row>
    <row r="1275" spans="1:9">
      <c r="A1275" t="s">
        <v>8862</v>
      </c>
      <c r="B1275" t="s">
        <v>8433</v>
      </c>
      <c r="C1275" t="s">
        <v>8434</v>
      </c>
      <c r="D1275" t="s">
        <v>8435</v>
      </c>
      <c r="G1275" t="str">
        <f>B1275&amp;":"&amp;C1275&amp;":"&amp;D1275</f>
        <v>Interface {#IFNAME}({#IFALIAS}): High error rate (&gt;{$IF.ERRORS.WARN:{#IFNAME}} for 5m)</v>
      </c>
      <c r="H1275" t="e">
        <f>INDEX('7.0.17'!G:G,MATCH(G1275,'7.0.17'!F:F,0))</f>
        <v>#N/A</v>
      </c>
      <c r="I1275" t="e">
        <f t="shared" si="188"/>
        <v>#N/A</v>
      </c>
    </row>
    <row r="1276" spans="1:9">
      <c r="A1276" t="s">
        <v>8862</v>
      </c>
      <c r="B1276" t="s">
        <v>8433</v>
      </c>
      <c r="C1276" t="s">
        <v>8436</v>
      </c>
      <c r="D1276" t="s">
        <v>8437</v>
      </c>
      <c r="G1276" t="str">
        <f>B1276&amp;":"&amp;C1276&amp;":"&amp;D1276</f>
        <v>Interface {#IFNAME}({#IFALIAS}): High bandwidth usage (&gt;{$IF.UTIL.MAX:{#IFNAME}}%)</v>
      </c>
      <c r="H1276" t="e">
        <f>INDEX('7.0.17'!G:G,MATCH(G1276,'7.0.17'!F:F,0))</f>
        <v>#N/A</v>
      </c>
      <c r="I1276" t="e">
        <f t="shared" si="188"/>
        <v>#N/A</v>
      </c>
    </row>
    <row r="1277" spans="1:9">
      <c r="A1277" t="s">
        <v>8862</v>
      </c>
      <c r="B1277" t="s">
        <v>8737</v>
      </c>
      <c r="C1277" t="s">
        <v>8439</v>
      </c>
      <c r="D1277" t="s">
        <v>8440</v>
      </c>
      <c r="E1277" t="s">
        <v>8598</v>
      </c>
      <c r="G1277" t="str">
        <f t="shared" ref="G1277:G1282" si="196">B1277&amp;":"&amp;C1277&amp;":"&amp;D1277&amp;":"&amp;E1277</f>
        <v>CPU: Temperature is above critical threshold: &gt;{$TEMP_CRIT:"CPU"}</v>
      </c>
      <c r="H1277" t="e">
        <f>INDEX('7.0.17'!G:G,MATCH(G1277,'7.0.17'!F:F,0))</f>
        <v>#N/A</v>
      </c>
      <c r="I1277" t="e">
        <f t="shared" si="188"/>
        <v>#N/A</v>
      </c>
    </row>
    <row r="1278" spans="1:9">
      <c r="A1278" t="s">
        <v>8862</v>
      </c>
      <c r="B1278" t="s">
        <v>8737</v>
      </c>
      <c r="C1278" t="s">
        <v>8442</v>
      </c>
      <c r="D1278" t="s">
        <v>8443</v>
      </c>
      <c r="E1278" t="s">
        <v>8598</v>
      </c>
      <c r="G1278" t="str">
        <f t="shared" si="196"/>
        <v>CPU: Temperature is above warning threshold: &gt;{$TEMP_WARN:"CPU"}</v>
      </c>
      <c r="H1278" t="e">
        <f>INDEX('7.0.17'!G:G,MATCH(G1278,'7.0.17'!F:F,0))</f>
        <v>#N/A</v>
      </c>
      <c r="I1278" t="e">
        <f t="shared" si="188"/>
        <v>#N/A</v>
      </c>
    </row>
    <row r="1279" spans="1:9">
      <c r="A1279" t="s">
        <v>8862</v>
      </c>
      <c r="B1279" t="s">
        <v>8737</v>
      </c>
      <c r="C1279" t="s">
        <v>8444</v>
      </c>
      <c r="D1279" t="s">
        <v>8445</v>
      </c>
      <c r="E1279" t="s">
        <v>8598</v>
      </c>
      <c r="G1279" t="str">
        <f t="shared" si="196"/>
        <v>CPU: Temperature is too low: &lt;{$TEMP_CRIT_LOW:"CPU"}</v>
      </c>
      <c r="H1279" t="e">
        <f>INDEX('7.0.17'!G:G,MATCH(G1279,'7.0.17'!F:F,0))</f>
        <v>#N/A</v>
      </c>
      <c r="I1279" t="e">
        <f t="shared" si="188"/>
        <v>#N/A</v>
      </c>
    </row>
    <row r="1280" spans="1:9">
      <c r="A1280" t="s">
        <v>8862</v>
      </c>
      <c r="B1280" t="s">
        <v>8867</v>
      </c>
      <c r="C1280" t="s">
        <v>8439</v>
      </c>
      <c r="D1280" t="s">
        <v>8440</v>
      </c>
      <c r="E1280" t="s">
        <v>8868</v>
      </c>
      <c r="G1280" t="str">
        <f t="shared" si="196"/>
        <v>Device: Temperature is above critical threshold: &gt;{$TEMP_CRIT:Device}</v>
      </c>
      <c r="H1280" t="e">
        <f>INDEX('7.0.17'!G:G,MATCH(G1280,'7.0.17'!F:F,0))</f>
        <v>#N/A</v>
      </c>
      <c r="I1280" t="e">
        <f t="shared" si="188"/>
        <v>#N/A</v>
      </c>
    </row>
    <row r="1281" spans="1:9">
      <c r="A1281" t="s">
        <v>8862</v>
      </c>
      <c r="B1281" t="s">
        <v>8867</v>
      </c>
      <c r="C1281" t="s">
        <v>8442</v>
      </c>
      <c r="D1281" t="s">
        <v>8443</v>
      </c>
      <c r="E1281" t="s">
        <v>8868</v>
      </c>
      <c r="G1281" t="str">
        <f t="shared" si="196"/>
        <v>Device: Temperature is above warning threshold: &gt;{$TEMP_WARN:Device}</v>
      </c>
      <c r="H1281" t="e">
        <f>INDEX('7.0.17'!G:G,MATCH(G1281,'7.0.17'!F:F,0))</f>
        <v>#N/A</v>
      </c>
      <c r="I1281" t="e">
        <f t="shared" si="188"/>
        <v>#N/A</v>
      </c>
    </row>
    <row r="1282" spans="1:9">
      <c r="A1282" t="s">
        <v>8862</v>
      </c>
      <c r="B1282" t="s">
        <v>8867</v>
      </c>
      <c r="C1282" t="s">
        <v>8444</v>
      </c>
      <c r="D1282" t="s">
        <v>8445</v>
      </c>
      <c r="E1282" t="s">
        <v>8868</v>
      </c>
      <c r="G1282" t="str">
        <f t="shared" si="196"/>
        <v>Device: Temperature is too low: &lt;{$TEMP_CRIT_LOW:Device}</v>
      </c>
      <c r="H1282" t="e">
        <f>INDEX('7.0.17'!G:G,MATCH(G1282,'7.0.17'!F:F,0))</f>
        <v>#N/A</v>
      </c>
      <c r="I1282" t="e">
        <f t="shared" si="188"/>
        <v>#N/A</v>
      </c>
    </row>
    <row r="1283" spans="1:9">
      <c r="A1283" t="s">
        <v>8862</v>
      </c>
      <c r="B1283" t="s">
        <v>8564</v>
      </c>
      <c r="C1283" t="s">
        <v>8565</v>
      </c>
      <c r="G1283" t="str">
        <f t="shared" ref="G1283:G1289" si="197">B1283&amp;":"&amp;C1283</f>
        <v>#{#SNMPINDEX}: High CPU utilization (over {$CPU.UTIL.CRIT}% for 5m)</v>
      </c>
      <c r="H1283" t="e">
        <f>INDEX('7.0.17'!G:G,MATCH(G1283,'7.0.17'!F:F,0))</f>
        <v>#N/A</v>
      </c>
      <c r="I1283" t="e">
        <f t="shared" ref="I1283:I1346" si="198">A1283&amp;": "&amp;H1283</f>
        <v>#N/A</v>
      </c>
    </row>
    <row r="1284" spans="1:9">
      <c r="A1284" t="s">
        <v>8862</v>
      </c>
      <c r="B1284" t="s">
        <v>8869</v>
      </c>
      <c r="C1284" t="s">
        <v>8512</v>
      </c>
      <c r="D1284" t="s">
        <v>8870</v>
      </c>
      <c r="G1284" t="str">
        <f>B1284&amp;":"&amp;C1284&amp;":"&amp;D1284</f>
        <v>Disk-{#SNMPINDEX}: Disk space is critically low (used &gt; {$VFS.FS.PUSED.MAX.CRIT:Disk-"{#SNMPINDEX}"}%)</v>
      </c>
      <c r="H1284" t="e">
        <f>INDEX('7.0.17'!G:G,MATCH(G1284,'7.0.17'!F:F,0))</f>
        <v>#N/A</v>
      </c>
      <c r="I1284" t="e">
        <f t="shared" si="198"/>
        <v>#N/A</v>
      </c>
    </row>
    <row r="1285" spans="1:9">
      <c r="A1285" t="s">
        <v>8862</v>
      </c>
      <c r="B1285" t="s">
        <v>8869</v>
      </c>
      <c r="C1285" t="s">
        <v>8513</v>
      </c>
      <c r="D1285" t="s">
        <v>8870</v>
      </c>
      <c r="G1285" t="str">
        <f>B1285&amp;":"&amp;C1285&amp;":"&amp;D1285</f>
        <v>Disk-{#SNMPINDEX}: Disk space is low (used &gt; {$VFS.FS.PUSED.MAX.WARN:Disk-"{#SNMPINDEX}"}%)</v>
      </c>
      <c r="H1285" t="e">
        <f>INDEX('7.0.17'!G:G,MATCH(G1285,'7.0.17'!F:F,0))</f>
        <v>#N/A</v>
      </c>
      <c r="I1285" t="e">
        <f t="shared" si="198"/>
        <v>#N/A</v>
      </c>
    </row>
    <row r="1286" spans="1:9">
      <c r="A1286" t="s">
        <v>8862</v>
      </c>
      <c r="B1286" t="s">
        <v>8433</v>
      </c>
      <c r="C1286" t="s">
        <v>8863</v>
      </c>
      <c r="G1286" t="str">
        <f t="shared" si="197"/>
        <v>Interface {#IFNAME}({#IFALIAS}): LTE modem RSRP is low (below {$LTEMODEM.RSRP.MIN.WARN}dbm for 5m)</v>
      </c>
      <c r="H1286" t="e">
        <f>INDEX('7.0.17'!G:G,MATCH(G1286,'7.0.17'!F:F,0))</f>
        <v>#N/A</v>
      </c>
      <c r="I1286" t="e">
        <f t="shared" si="198"/>
        <v>#N/A</v>
      </c>
    </row>
    <row r="1287" spans="1:9">
      <c r="A1287" t="s">
        <v>8862</v>
      </c>
      <c r="B1287" t="s">
        <v>8433</v>
      </c>
      <c r="C1287" t="s">
        <v>8864</v>
      </c>
      <c r="G1287" t="str">
        <f t="shared" si="197"/>
        <v>Interface {#IFNAME}({#IFALIAS}): LTE modem RSRQ is low (below {$LTEMODEM.RSRQ.MIN.WARN}db for 5m)</v>
      </c>
      <c r="H1287" t="e">
        <f>INDEX('7.0.17'!G:G,MATCH(G1287,'7.0.17'!F:F,0))</f>
        <v>#N/A</v>
      </c>
      <c r="I1287" t="e">
        <f t="shared" si="198"/>
        <v>#N/A</v>
      </c>
    </row>
    <row r="1288" spans="1:9">
      <c r="A1288" t="s">
        <v>8862</v>
      </c>
      <c r="B1288" t="s">
        <v>8433</v>
      </c>
      <c r="C1288" t="s">
        <v>8865</v>
      </c>
      <c r="G1288" t="str">
        <f t="shared" si="197"/>
        <v>Interface {#IFNAME}({#IFALIAS}): LTE modem RSSI is low (below {$LTEMODEM.RSSI.MIN.WARN}dbm for 5m)</v>
      </c>
      <c r="H1288" t="e">
        <f>INDEX('7.0.17'!G:G,MATCH(G1288,'7.0.17'!F:F,0))</f>
        <v>#N/A</v>
      </c>
      <c r="I1288" t="e">
        <f t="shared" si="198"/>
        <v>#N/A</v>
      </c>
    </row>
    <row r="1289" spans="1:9">
      <c r="A1289" t="s">
        <v>8862</v>
      </c>
      <c r="B1289" t="s">
        <v>8433</v>
      </c>
      <c r="C1289" t="s">
        <v>8866</v>
      </c>
      <c r="G1289" t="str">
        <f t="shared" si="197"/>
        <v>Interface {#IFNAME}({#IFALIAS}): LTE modem SINR is low (below {$LTEMODEM.SINR.MIN.WARN}db for 5m)</v>
      </c>
      <c r="H1289" t="e">
        <f>INDEX('7.0.17'!G:G,MATCH(G1289,'7.0.17'!F:F,0))</f>
        <v>#N/A</v>
      </c>
      <c r="I1289" t="e">
        <f t="shared" si="198"/>
        <v>#N/A</v>
      </c>
    </row>
    <row r="1290" spans="1:9">
      <c r="A1290" t="s">
        <v>8862</v>
      </c>
      <c r="B1290" t="s">
        <v>8433</v>
      </c>
      <c r="C1290" t="s">
        <v>8434</v>
      </c>
      <c r="D1290" t="s">
        <v>8435</v>
      </c>
      <c r="G1290" t="str">
        <f>B1290&amp;":"&amp;C1290&amp;":"&amp;D1290</f>
        <v>Interface {#IFNAME}({#IFALIAS}): High error rate (&gt;{$IF.ERRORS.WARN:{#IFNAME}} for 5m)</v>
      </c>
      <c r="H1290" t="e">
        <f>INDEX('7.0.17'!G:G,MATCH(G1290,'7.0.17'!F:F,0))</f>
        <v>#N/A</v>
      </c>
      <c r="I1290" t="e">
        <f t="shared" si="198"/>
        <v>#N/A</v>
      </c>
    </row>
    <row r="1291" spans="1:9">
      <c r="A1291" t="s">
        <v>8862</v>
      </c>
      <c r="B1291" t="s">
        <v>8433</v>
      </c>
      <c r="C1291" t="s">
        <v>8436</v>
      </c>
      <c r="D1291" t="s">
        <v>8437</v>
      </c>
      <c r="G1291" t="str">
        <f>B1291&amp;":"&amp;C1291&amp;":"&amp;D1291</f>
        <v>Interface {#IFNAME}({#IFALIAS}): High bandwidth usage (&gt;{$IF.UTIL.MAX:{#IFNAME}}%)</v>
      </c>
      <c r="H1291" t="e">
        <f>INDEX('7.0.17'!G:G,MATCH(G1291,'7.0.17'!F:F,0))</f>
        <v>#N/A</v>
      </c>
      <c r="I1291" t="e">
        <f t="shared" si="198"/>
        <v>#N/A</v>
      </c>
    </row>
    <row r="1292" spans="1:9">
      <c r="A1292" t="s">
        <v>8862</v>
      </c>
      <c r="B1292" t="s">
        <v>8737</v>
      </c>
      <c r="C1292" t="s">
        <v>8439</v>
      </c>
      <c r="D1292" t="s">
        <v>8440</v>
      </c>
      <c r="E1292" t="s">
        <v>8598</v>
      </c>
      <c r="G1292" t="str">
        <f t="shared" ref="G1292:G1297" si="199">B1292&amp;":"&amp;C1292&amp;":"&amp;D1292&amp;":"&amp;E1292</f>
        <v>CPU: Temperature is above critical threshold: &gt;{$TEMP_CRIT:"CPU"}</v>
      </c>
      <c r="H1292" t="e">
        <f>INDEX('7.0.17'!G:G,MATCH(G1292,'7.0.17'!F:F,0))</f>
        <v>#N/A</v>
      </c>
      <c r="I1292" t="e">
        <f t="shared" si="198"/>
        <v>#N/A</v>
      </c>
    </row>
    <row r="1293" spans="1:9">
      <c r="A1293" t="s">
        <v>8862</v>
      </c>
      <c r="B1293" t="s">
        <v>8737</v>
      </c>
      <c r="C1293" t="s">
        <v>8442</v>
      </c>
      <c r="D1293" t="s">
        <v>8443</v>
      </c>
      <c r="E1293" t="s">
        <v>8598</v>
      </c>
      <c r="G1293" t="str">
        <f t="shared" si="199"/>
        <v>CPU: Temperature is above warning threshold: &gt;{$TEMP_WARN:"CPU"}</v>
      </c>
      <c r="H1293" t="e">
        <f>INDEX('7.0.17'!G:G,MATCH(G1293,'7.0.17'!F:F,0))</f>
        <v>#N/A</v>
      </c>
      <c r="I1293" t="e">
        <f t="shared" si="198"/>
        <v>#N/A</v>
      </c>
    </row>
    <row r="1294" spans="1:9">
      <c r="A1294" t="s">
        <v>8862</v>
      </c>
      <c r="B1294" t="s">
        <v>8737</v>
      </c>
      <c r="C1294" t="s">
        <v>8444</v>
      </c>
      <c r="D1294" t="s">
        <v>8445</v>
      </c>
      <c r="E1294" t="s">
        <v>8598</v>
      </c>
      <c r="G1294" t="str">
        <f t="shared" si="199"/>
        <v>CPU: Temperature is too low: &lt;{$TEMP_CRIT_LOW:"CPU"}</v>
      </c>
      <c r="H1294" t="e">
        <f>INDEX('7.0.17'!G:G,MATCH(G1294,'7.0.17'!F:F,0))</f>
        <v>#N/A</v>
      </c>
      <c r="I1294" t="e">
        <f t="shared" si="198"/>
        <v>#N/A</v>
      </c>
    </row>
    <row r="1295" spans="1:9">
      <c r="A1295" t="s">
        <v>8862</v>
      </c>
      <c r="B1295" t="s">
        <v>8867</v>
      </c>
      <c r="C1295" t="s">
        <v>8439</v>
      </c>
      <c r="D1295" t="s">
        <v>8440</v>
      </c>
      <c r="E1295" t="s">
        <v>8868</v>
      </c>
      <c r="G1295" t="str">
        <f t="shared" si="199"/>
        <v>Device: Temperature is above critical threshold: &gt;{$TEMP_CRIT:Device}</v>
      </c>
      <c r="H1295" t="e">
        <f>INDEX('7.0.17'!G:G,MATCH(G1295,'7.0.17'!F:F,0))</f>
        <v>#N/A</v>
      </c>
      <c r="I1295" t="e">
        <f t="shared" si="198"/>
        <v>#N/A</v>
      </c>
    </row>
    <row r="1296" spans="1:9">
      <c r="A1296" t="s">
        <v>8862</v>
      </c>
      <c r="B1296" t="s">
        <v>8867</v>
      </c>
      <c r="C1296" t="s">
        <v>8442</v>
      </c>
      <c r="D1296" t="s">
        <v>8443</v>
      </c>
      <c r="E1296" t="s">
        <v>8868</v>
      </c>
      <c r="G1296" t="str">
        <f t="shared" si="199"/>
        <v>Device: Temperature is above warning threshold: &gt;{$TEMP_WARN:Device}</v>
      </c>
      <c r="H1296" t="e">
        <f>INDEX('7.0.17'!G:G,MATCH(G1296,'7.0.17'!F:F,0))</f>
        <v>#N/A</v>
      </c>
      <c r="I1296" t="e">
        <f t="shared" si="198"/>
        <v>#N/A</v>
      </c>
    </row>
    <row r="1297" spans="1:9">
      <c r="A1297" t="s">
        <v>8862</v>
      </c>
      <c r="B1297" t="s">
        <v>8867</v>
      </c>
      <c r="C1297" t="s">
        <v>8444</v>
      </c>
      <c r="D1297" t="s">
        <v>8445</v>
      </c>
      <c r="E1297" t="s">
        <v>8868</v>
      </c>
      <c r="G1297" t="str">
        <f t="shared" si="199"/>
        <v>Device: Temperature is too low: &lt;{$TEMP_CRIT_LOW:Device}</v>
      </c>
      <c r="H1297" t="e">
        <f>INDEX('7.0.17'!G:G,MATCH(G1297,'7.0.17'!F:F,0))</f>
        <v>#N/A</v>
      </c>
      <c r="I1297" t="e">
        <f t="shared" si="198"/>
        <v>#N/A</v>
      </c>
    </row>
    <row r="1298" spans="1:9">
      <c r="A1298" t="s">
        <v>8862</v>
      </c>
      <c r="B1298" t="s">
        <v>8564</v>
      </c>
      <c r="C1298" t="s">
        <v>8565</v>
      </c>
      <c r="G1298" t="str">
        <f t="shared" ref="G1298:G1304" si="200">B1298&amp;":"&amp;C1298</f>
        <v>#{#SNMPINDEX}: High CPU utilization (over {$CPU.UTIL.CRIT}% for 5m)</v>
      </c>
      <c r="H1298" t="e">
        <f>INDEX('7.0.17'!G:G,MATCH(G1298,'7.0.17'!F:F,0))</f>
        <v>#N/A</v>
      </c>
      <c r="I1298" t="e">
        <f t="shared" si="198"/>
        <v>#N/A</v>
      </c>
    </row>
    <row r="1299" spans="1:9">
      <c r="A1299" t="s">
        <v>8862</v>
      </c>
      <c r="B1299" t="s">
        <v>8869</v>
      </c>
      <c r="C1299" t="s">
        <v>8512</v>
      </c>
      <c r="D1299" t="s">
        <v>8870</v>
      </c>
      <c r="G1299" t="str">
        <f>B1299&amp;":"&amp;C1299&amp;":"&amp;D1299</f>
        <v>Disk-{#SNMPINDEX}: Disk space is critically low (used &gt; {$VFS.FS.PUSED.MAX.CRIT:Disk-"{#SNMPINDEX}"}%)</v>
      </c>
      <c r="H1299" t="e">
        <f>INDEX('7.0.17'!G:G,MATCH(G1299,'7.0.17'!F:F,0))</f>
        <v>#N/A</v>
      </c>
      <c r="I1299" t="e">
        <f t="shared" si="198"/>
        <v>#N/A</v>
      </c>
    </row>
    <row r="1300" spans="1:9">
      <c r="A1300" t="s">
        <v>8862</v>
      </c>
      <c r="B1300" t="s">
        <v>8869</v>
      </c>
      <c r="C1300" t="s">
        <v>8513</v>
      </c>
      <c r="D1300" t="s">
        <v>8870</v>
      </c>
      <c r="G1300" t="str">
        <f>B1300&amp;":"&amp;C1300&amp;":"&amp;D1300</f>
        <v>Disk-{#SNMPINDEX}: Disk space is low (used &gt; {$VFS.FS.PUSED.MAX.WARN:Disk-"{#SNMPINDEX}"}%)</v>
      </c>
      <c r="H1300" t="e">
        <f>INDEX('7.0.17'!G:G,MATCH(G1300,'7.0.17'!F:F,0))</f>
        <v>#N/A</v>
      </c>
      <c r="I1300" t="e">
        <f t="shared" si="198"/>
        <v>#N/A</v>
      </c>
    </row>
    <row r="1301" spans="1:9">
      <c r="A1301" t="s">
        <v>8862</v>
      </c>
      <c r="B1301" t="s">
        <v>8433</v>
      </c>
      <c r="C1301" t="s">
        <v>8863</v>
      </c>
      <c r="G1301" t="str">
        <f t="shared" si="200"/>
        <v>Interface {#IFNAME}({#IFALIAS}): LTE modem RSRP is low (below {$LTEMODEM.RSRP.MIN.WARN}dbm for 5m)</v>
      </c>
      <c r="H1301" t="e">
        <f>INDEX('7.0.17'!G:G,MATCH(G1301,'7.0.17'!F:F,0))</f>
        <v>#N/A</v>
      </c>
      <c r="I1301" t="e">
        <f t="shared" si="198"/>
        <v>#N/A</v>
      </c>
    </row>
    <row r="1302" spans="1:9">
      <c r="A1302" t="s">
        <v>8862</v>
      </c>
      <c r="B1302" t="s">
        <v>8433</v>
      </c>
      <c r="C1302" t="s">
        <v>8864</v>
      </c>
      <c r="G1302" t="str">
        <f t="shared" si="200"/>
        <v>Interface {#IFNAME}({#IFALIAS}): LTE modem RSRQ is low (below {$LTEMODEM.RSRQ.MIN.WARN}db for 5m)</v>
      </c>
      <c r="H1302" t="e">
        <f>INDEX('7.0.17'!G:G,MATCH(G1302,'7.0.17'!F:F,0))</f>
        <v>#N/A</v>
      </c>
      <c r="I1302" t="e">
        <f t="shared" si="198"/>
        <v>#N/A</v>
      </c>
    </row>
    <row r="1303" spans="1:9">
      <c r="A1303" t="s">
        <v>8862</v>
      </c>
      <c r="B1303" t="s">
        <v>8433</v>
      </c>
      <c r="C1303" t="s">
        <v>8865</v>
      </c>
      <c r="G1303" t="str">
        <f t="shared" si="200"/>
        <v>Interface {#IFNAME}({#IFALIAS}): LTE modem RSSI is low (below {$LTEMODEM.RSSI.MIN.WARN}dbm for 5m)</v>
      </c>
      <c r="H1303" t="e">
        <f>INDEX('7.0.17'!G:G,MATCH(G1303,'7.0.17'!F:F,0))</f>
        <v>#N/A</v>
      </c>
      <c r="I1303" t="e">
        <f t="shared" si="198"/>
        <v>#N/A</v>
      </c>
    </row>
    <row r="1304" spans="1:9">
      <c r="A1304" t="s">
        <v>8862</v>
      </c>
      <c r="B1304" t="s">
        <v>8433</v>
      </c>
      <c r="C1304" t="s">
        <v>8866</v>
      </c>
      <c r="G1304" t="str">
        <f t="shared" si="200"/>
        <v>Interface {#IFNAME}({#IFALIAS}): LTE modem SINR is low (below {$LTEMODEM.SINR.MIN.WARN}db for 5m)</v>
      </c>
      <c r="H1304" t="e">
        <f>INDEX('7.0.17'!G:G,MATCH(G1304,'7.0.17'!F:F,0))</f>
        <v>#N/A</v>
      </c>
      <c r="I1304" t="e">
        <f t="shared" si="198"/>
        <v>#N/A</v>
      </c>
    </row>
    <row r="1305" spans="1:9">
      <c r="A1305" t="s">
        <v>8862</v>
      </c>
      <c r="B1305" t="s">
        <v>8433</v>
      </c>
      <c r="C1305" t="s">
        <v>8434</v>
      </c>
      <c r="D1305" t="s">
        <v>8435</v>
      </c>
      <c r="G1305" t="str">
        <f>B1305&amp;":"&amp;C1305&amp;":"&amp;D1305</f>
        <v>Interface {#IFNAME}({#IFALIAS}): High error rate (&gt;{$IF.ERRORS.WARN:{#IFNAME}} for 5m)</v>
      </c>
      <c r="H1305" t="e">
        <f>INDEX('7.0.17'!G:G,MATCH(G1305,'7.0.17'!F:F,0))</f>
        <v>#N/A</v>
      </c>
      <c r="I1305" t="e">
        <f t="shared" si="198"/>
        <v>#N/A</v>
      </c>
    </row>
    <row r="1306" spans="1:9">
      <c r="A1306" t="s">
        <v>8862</v>
      </c>
      <c r="B1306" t="s">
        <v>8433</v>
      </c>
      <c r="C1306" t="s">
        <v>8436</v>
      </c>
      <c r="D1306" t="s">
        <v>8437</v>
      </c>
      <c r="G1306" t="str">
        <f>B1306&amp;":"&amp;C1306&amp;":"&amp;D1306</f>
        <v>Interface {#IFNAME}({#IFALIAS}): High bandwidth usage (&gt;{$IF.UTIL.MAX:{#IFNAME}}%)</v>
      </c>
      <c r="H1306" t="e">
        <f>INDEX('7.0.17'!G:G,MATCH(G1306,'7.0.17'!F:F,0))</f>
        <v>#N/A</v>
      </c>
      <c r="I1306" t="e">
        <f t="shared" si="198"/>
        <v>#N/A</v>
      </c>
    </row>
    <row r="1307" spans="1:9">
      <c r="A1307" t="s">
        <v>8862</v>
      </c>
      <c r="B1307" t="s">
        <v>8737</v>
      </c>
      <c r="C1307" t="s">
        <v>8439</v>
      </c>
      <c r="D1307" t="s">
        <v>8440</v>
      </c>
      <c r="E1307" t="s">
        <v>8598</v>
      </c>
      <c r="G1307" t="str">
        <f t="shared" ref="G1307:G1312" si="201">B1307&amp;":"&amp;C1307&amp;":"&amp;D1307&amp;":"&amp;E1307</f>
        <v>CPU: Temperature is above critical threshold: &gt;{$TEMP_CRIT:"CPU"}</v>
      </c>
      <c r="H1307" t="e">
        <f>INDEX('7.0.17'!G:G,MATCH(G1307,'7.0.17'!F:F,0))</f>
        <v>#N/A</v>
      </c>
      <c r="I1307" t="e">
        <f t="shared" si="198"/>
        <v>#N/A</v>
      </c>
    </row>
    <row r="1308" spans="1:9">
      <c r="A1308" t="s">
        <v>8862</v>
      </c>
      <c r="B1308" t="s">
        <v>8737</v>
      </c>
      <c r="C1308" t="s">
        <v>8442</v>
      </c>
      <c r="D1308" t="s">
        <v>8443</v>
      </c>
      <c r="E1308" t="s">
        <v>8598</v>
      </c>
      <c r="G1308" t="str">
        <f t="shared" si="201"/>
        <v>CPU: Temperature is above warning threshold: &gt;{$TEMP_WARN:"CPU"}</v>
      </c>
      <c r="H1308" t="e">
        <f>INDEX('7.0.17'!G:G,MATCH(G1308,'7.0.17'!F:F,0))</f>
        <v>#N/A</v>
      </c>
      <c r="I1308" t="e">
        <f t="shared" si="198"/>
        <v>#N/A</v>
      </c>
    </row>
    <row r="1309" spans="1:9">
      <c r="A1309" t="s">
        <v>8862</v>
      </c>
      <c r="B1309" t="s">
        <v>8737</v>
      </c>
      <c r="C1309" t="s">
        <v>8444</v>
      </c>
      <c r="D1309" t="s">
        <v>8445</v>
      </c>
      <c r="E1309" t="s">
        <v>8598</v>
      </c>
      <c r="G1309" t="str">
        <f t="shared" si="201"/>
        <v>CPU: Temperature is too low: &lt;{$TEMP_CRIT_LOW:"CPU"}</v>
      </c>
      <c r="H1309" t="e">
        <f>INDEX('7.0.17'!G:G,MATCH(G1309,'7.0.17'!F:F,0))</f>
        <v>#N/A</v>
      </c>
      <c r="I1309" t="e">
        <f t="shared" si="198"/>
        <v>#N/A</v>
      </c>
    </row>
    <row r="1310" spans="1:9">
      <c r="A1310" t="s">
        <v>8862</v>
      </c>
      <c r="B1310" t="s">
        <v>8867</v>
      </c>
      <c r="C1310" t="s">
        <v>8439</v>
      </c>
      <c r="D1310" t="s">
        <v>8440</v>
      </c>
      <c r="E1310" t="s">
        <v>8868</v>
      </c>
      <c r="G1310" t="str">
        <f t="shared" si="201"/>
        <v>Device: Temperature is above critical threshold: &gt;{$TEMP_CRIT:Device}</v>
      </c>
      <c r="H1310" t="e">
        <f>INDEX('7.0.17'!G:G,MATCH(G1310,'7.0.17'!F:F,0))</f>
        <v>#N/A</v>
      </c>
      <c r="I1310" t="e">
        <f t="shared" si="198"/>
        <v>#N/A</v>
      </c>
    </row>
    <row r="1311" spans="1:9">
      <c r="A1311" t="s">
        <v>8862</v>
      </c>
      <c r="B1311" t="s">
        <v>8867</v>
      </c>
      <c r="C1311" t="s">
        <v>8442</v>
      </c>
      <c r="D1311" t="s">
        <v>8443</v>
      </c>
      <c r="E1311" t="s">
        <v>8868</v>
      </c>
      <c r="G1311" t="str">
        <f t="shared" si="201"/>
        <v>Device: Temperature is above warning threshold: &gt;{$TEMP_WARN:Device}</v>
      </c>
      <c r="H1311" t="e">
        <f>INDEX('7.0.17'!G:G,MATCH(G1311,'7.0.17'!F:F,0))</f>
        <v>#N/A</v>
      </c>
      <c r="I1311" t="e">
        <f t="shared" si="198"/>
        <v>#N/A</v>
      </c>
    </row>
    <row r="1312" spans="1:9">
      <c r="A1312" t="s">
        <v>8862</v>
      </c>
      <c r="B1312" t="s">
        <v>8867</v>
      </c>
      <c r="C1312" t="s">
        <v>8444</v>
      </c>
      <c r="D1312" t="s">
        <v>8445</v>
      </c>
      <c r="E1312" t="s">
        <v>8868</v>
      </c>
      <c r="G1312" t="str">
        <f t="shared" si="201"/>
        <v>Device: Temperature is too low: &lt;{$TEMP_CRIT_LOW:Device}</v>
      </c>
      <c r="H1312" t="e">
        <f>INDEX('7.0.17'!G:G,MATCH(G1312,'7.0.17'!F:F,0))</f>
        <v>#N/A</v>
      </c>
      <c r="I1312" t="e">
        <f t="shared" si="198"/>
        <v>#N/A</v>
      </c>
    </row>
    <row r="1313" spans="1:9">
      <c r="A1313" t="s">
        <v>8862</v>
      </c>
      <c r="B1313" t="s">
        <v>8564</v>
      </c>
      <c r="C1313" t="s">
        <v>8565</v>
      </c>
      <c r="G1313" t="str">
        <f t="shared" ref="G1313:G1319" si="202">B1313&amp;":"&amp;C1313</f>
        <v>#{#SNMPINDEX}: High CPU utilization (over {$CPU.UTIL.CRIT}% for 5m)</v>
      </c>
      <c r="H1313" t="e">
        <f>INDEX('7.0.17'!G:G,MATCH(G1313,'7.0.17'!F:F,0))</f>
        <v>#N/A</v>
      </c>
      <c r="I1313" t="e">
        <f t="shared" si="198"/>
        <v>#N/A</v>
      </c>
    </row>
    <row r="1314" spans="1:9">
      <c r="A1314" t="s">
        <v>8862</v>
      </c>
      <c r="B1314" t="s">
        <v>8869</v>
      </c>
      <c r="C1314" t="s">
        <v>8512</v>
      </c>
      <c r="D1314" t="s">
        <v>8870</v>
      </c>
      <c r="G1314" t="str">
        <f>B1314&amp;":"&amp;C1314&amp;":"&amp;D1314</f>
        <v>Disk-{#SNMPINDEX}: Disk space is critically low (used &gt; {$VFS.FS.PUSED.MAX.CRIT:Disk-"{#SNMPINDEX}"}%)</v>
      </c>
      <c r="H1314" t="e">
        <f>INDEX('7.0.17'!G:G,MATCH(G1314,'7.0.17'!F:F,0))</f>
        <v>#N/A</v>
      </c>
      <c r="I1314" t="e">
        <f t="shared" si="198"/>
        <v>#N/A</v>
      </c>
    </row>
    <row r="1315" spans="1:9">
      <c r="A1315" t="s">
        <v>8862</v>
      </c>
      <c r="B1315" t="s">
        <v>8869</v>
      </c>
      <c r="C1315" t="s">
        <v>8513</v>
      </c>
      <c r="D1315" t="s">
        <v>8870</v>
      </c>
      <c r="G1315" t="str">
        <f>B1315&amp;":"&amp;C1315&amp;":"&amp;D1315</f>
        <v>Disk-{#SNMPINDEX}: Disk space is low (used &gt; {$VFS.FS.PUSED.MAX.WARN:Disk-"{#SNMPINDEX}"}%)</v>
      </c>
      <c r="H1315" t="e">
        <f>INDEX('7.0.17'!G:G,MATCH(G1315,'7.0.17'!F:F,0))</f>
        <v>#N/A</v>
      </c>
      <c r="I1315" t="e">
        <f t="shared" si="198"/>
        <v>#N/A</v>
      </c>
    </row>
    <row r="1316" spans="1:9">
      <c r="A1316" t="s">
        <v>8862</v>
      </c>
      <c r="B1316" t="s">
        <v>8433</v>
      </c>
      <c r="C1316" t="s">
        <v>8863</v>
      </c>
      <c r="G1316" t="str">
        <f t="shared" si="202"/>
        <v>Interface {#IFNAME}({#IFALIAS}): LTE modem RSRP is low (below {$LTEMODEM.RSRP.MIN.WARN}dbm for 5m)</v>
      </c>
      <c r="H1316" t="e">
        <f>INDEX('7.0.17'!G:G,MATCH(G1316,'7.0.17'!F:F,0))</f>
        <v>#N/A</v>
      </c>
      <c r="I1316" t="e">
        <f t="shared" si="198"/>
        <v>#N/A</v>
      </c>
    </row>
    <row r="1317" spans="1:9">
      <c r="A1317" t="s">
        <v>8862</v>
      </c>
      <c r="B1317" t="s">
        <v>8433</v>
      </c>
      <c r="C1317" t="s">
        <v>8864</v>
      </c>
      <c r="G1317" t="str">
        <f t="shared" si="202"/>
        <v>Interface {#IFNAME}({#IFALIAS}): LTE modem RSRQ is low (below {$LTEMODEM.RSRQ.MIN.WARN}db for 5m)</v>
      </c>
      <c r="H1317" t="e">
        <f>INDEX('7.0.17'!G:G,MATCH(G1317,'7.0.17'!F:F,0))</f>
        <v>#N/A</v>
      </c>
      <c r="I1317" t="e">
        <f t="shared" si="198"/>
        <v>#N/A</v>
      </c>
    </row>
    <row r="1318" spans="1:9">
      <c r="A1318" t="s">
        <v>8862</v>
      </c>
      <c r="B1318" t="s">
        <v>8433</v>
      </c>
      <c r="C1318" t="s">
        <v>8865</v>
      </c>
      <c r="G1318" t="str">
        <f t="shared" si="202"/>
        <v>Interface {#IFNAME}({#IFALIAS}): LTE modem RSSI is low (below {$LTEMODEM.RSSI.MIN.WARN}dbm for 5m)</v>
      </c>
      <c r="H1318" t="e">
        <f>INDEX('7.0.17'!G:G,MATCH(G1318,'7.0.17'!F:F,0))</f>
        <v>#N/A</v>
      </c>
      <c r="I1318" t="e">
        <f t="shared" si="198"/>
        <v>#N/A</v>
      </c>
    </row>
    <row r="1319" spans="1:9">
      <c r="A1319" t="s">
        <v>8862</v>
      </c>
      <c r="B1319" t="s">
        <v>8433</v>
      </c>
      <c r="C1319" t="s">
        <v>8866</v>
      </c>
      <c r="G1319" t="str">
        <f t="shared" si="202"/>
        <v>Interface {#IFNAME}({#IFALIAS}): LTE modem SINR is low (below {$LTEMODEM.SINR.MIN.WARN}db for 5m)</v>
      </c>
      <c r="H1319" t="e">
        <f>INDEX('7.0.17'!G:G,MATCH(G1319,'7.0.17'!F:F,0))</f>
        <v>#N/A</v>
      </c>
      <c r="I1319" t="e">
        <f t="shared" si="198"/>
        <v>#N/A</v>
      </c>
    </row>
    <row r="1320" spans="1:9">
      <c r="A1320" t="s">
        <v>8862</v>
      </c>
      <c r="B1320" t="s">
        <v>8433</v>
      </c>
      <c r="C1320" t="s">
        <v>8434</v>
      </c>
      <c r="D1320" t="s">
        <v>8435</v>
      </c>
      <c r="G1320" t="str">
        <f>B1320&amp;":"&amp;C1320&amp;":"&amp;D1320</f>
        <v>Interface {#IFNAME}({#IFALIAS}): High error rate (&gt;{$IF.ERRORS.WARN:{#IFNAME}} for 5m)</v>
      </c>
      <c r="H1320" t="e">
        <f>INDEX('7.0.17'!G:G,MATCH(G1320,'7.0.17'!F:F,0))</f>
        <v>#N/A</v>
      </c>
      <c r="I1320" t="e">
        <f t="shared" si="198"/>
        <v>#N/A</v>
      </c>
    </row>
    <row r="1321" spans="1:9">
      <c r="A1321" t="s">
        <v>8862</v>
      </c>
      <c r="B1321" t="s">
        <v>8433</v>
      </c>
      <c r="C1321" t="s">
        <v>8436</v>
      </c>
      <c r="D1321" t="s">
        <v>8437</v>
      </c>
      <c r="G1321" t="str">
        <f>B1321&amp;":"&amp;C1321&amp;":"&amp;D1321</f>
        <v>Interface {#IFNAME}({#IFALIAS}): High bandwidth usage (&gt;{$IF.UTIL.MAX:{#IFNAME}}%)</v>
      </c>
      <c r="H1321" t="e">
        <f>INDEX('7.0.17'!G:G,MATCH(G1321,'7.0.17'!F:F,0))</f>
        <v>#N/A</v>
      </c>
      <c r="I1321" t="e">
        <f t="shared" si="198"/>
        <v>#N/A</v>
      </c>
    </row>
    <row r="1322" spans="1:9">
      <c r="A1322" t="s">
        <v>8862</v>
      </c>
      <c r="B1322" t="s">
        <v>8737</v>
      </c>
      <c r="C1322" t="s">
        <v>8439</v>
      </c>
      <c r="D1322" t="s">
        <v>8440</v>
      </c>
      <c r="E1322" t="s">
        <v>8598</v>
      </c>
      <c r="G1322" t="str">
        <f t="shared" ref="G1322:G1327" si="203">B1322&amp;":"&amp;C1322&amp;":"&amp;D1322&amp;":"&amp;E1322</f>
        <v>CPU: Temperature is above critical threshold: &gt;{$TEMP_CRIT:"CPU"}</v>
      </c>
      <c r="H1322" t="e">
        <f>INDEX('7.0.17'!G:G,MATCH(G1322,'7.0.17'!F:F,0))</f>
        <v>#N/A</v>
      </c>
      <c r="I1322" t="e">
        <f t="shared" si="198"/>
        <v>#N/A</v>
      </c>
    </row>
    <row r="1323" spans="1:9">
      <c r="A1323" t="s">
        <v>8862</v>
      </c>
      <c r="B1323" t="s">
        <v>8737</v>
      </c>
      <c r="C1323" t="s">
        <v>8442</v>
      </c>
      <c r="D1323" t="s">
        <v>8443</v>
      </c>
      <c r="E1323" t="s">
        <v>8598</v>
      </c>
      <c r="G1323" t="str">
        <f t="shared" si="203"/>
        <v>CPU: Temperature is above warning threshold: &gt;{$TEMP_WARN:"CPU"}</v>
      </c>
      <c r="H1323" t="e">
        <f>INDEX('7.0.17'!G:G,MATCH(G1323,'7.0.17'!F:F,0))</f>
        <v>#N/A</v>
      </c>
      <c r="I1323" t="e">
        <f t="shared" si="198"/>
        <v>#N/A</v>
      </c>
    </row>
    <row r="1324" spans="1:9">
      <c r="A1324" t="s">
        <v>8862</v>
      </c>
      <c r="B1324" t="s">
        <v>8737</v>
      </c>
      <c r="C1324" t="s">
        <v>8444</v>
      </c>
      <c r="D1324" t="s">
        <v>8445</v>
      </c>
      <c r="E1324" t="s">
        <v>8598</v>
      </c>
      <c r="G1324" t="str">
        <f t="shared" si="203"/>
        <v>CPU: Temperature is too low: &lt;{$TEMP_CRIT_LOW:"CPU"}</v>
      </c>
      <c r="H1324" t="e">
        <f>INDEX('7.0.17'!G:G,MATCH(G1324,'7.0.17'!F:F,0))</f>
        <v>#N/A</v>
      </c>
      <c r="I1324" t="e">
        <f t="shared" si="198"/>
        <v>#N/A</v>
      </c>
    </row>
    <row r="1325" spans="1:9">
      <c r="A1325" t="s">
        <v>8862</v>
      </c>
      <c r="B1325" t="s">
        <v>8867</v>
      </c>
      <c r="C1325" t="s">
        <v>8439</v>
      </c>
      <c r="D1325" t="s">
        <v>8440</v>
      </c>
      <c r="E1325" t="s">
        <v>8868</v>
      </c>
      <c r="G1325" t="str">
        <f t="shared" si="203"/>
        <v>Device: Temperature is above critical threshold: &gt;{$TEMP_CRIT:Device}</v>
      </c>
      <c r="H1325" t="e">
        <f>INDEX('7.0.17'!G:G,MATCH(G1325,'7.0.17'!F:F,0))</f>
        <v>#N/A</v>
      </c>
      <c r="I1325" t="e">
        <f t="shared" si="198"/>
        <v>#N/A</v>
      </c>
    </row>
    <row r="1326" spans="1:9">
      <c r="A1326" t="s">
        <v>8862</v>
      </c>
      <c r="B1326" t="s">
        <v>8867</v>
      </c>
      <c r="C1326" t="s">
        <v>8442</v>
      </c>
      <c r="D1326" t="s">
        <v>8443</v>
      </c>
      <c r="E1326" t="s">
        <v>8868</v>
      </c>
      <c r="G1326" t="str">
        <f t="shared" si="203"/>
        <v>Device: Temperature is above warning threshold: &gt;{$TEMP_WARN:Device}</v>
      </c>
      <c r="H1326" t="e">
        <f>INDEX('7.0.17'!G:G,MATCH(G1326,'7.0.17'!F:F,0))</f>
        <v>#N/A</v>
      </c>
      <c r="I1326" t="e">
        <f t="shared" si="198"/>
        <v>#N/A</v>
      </c>
    </row>
    <row r="1327" spans="1:9">
      <c r="A1327" t="s">
        <v>8862</v>
      </c>
      <c r="B1327" t="s">
        <v>8867</v>
      </c>
      <c r="C1327" t="s">
        <v>8444</v>
      </c>
      <c r="D1327" t="s">
        <v>8445</v>
      </c>
      <c r="E1327" t="s">
        <v>8868</v>
      </c>
      <c r="G1327" t="str">
        <f t="shared" si="203"/>
        <v>Device: Temperature is too low: &lt;{$TEMP_CRIT_LOW:Device}</v>
      </c>
      <c r="H1327" t="e">
        <f>INDEX('7.0.17'!G:G,MATCH(G1327,'7.0.17'!F:F,0))</f>
        <v>#N/A</v>
      </c>
      <c r="I1327" t="e">
        <f t="shared" si="198"/>
        <v>#N/A</v>
      </c>
    </row>
    <row r="1328" spans="1:9">
      <c r="A1328" t="s">
        <v>8862</v>
      </c>
      <c r="B1328" t="s">
        <v>8564</v>
      </c>
      <c r="C1328" t="s">
        <v>8565</v>
      </c>
      <c r="G1328" t="str">
        <f t="shared" ref="G1328:G1334" si="204">B1328&amp;":"&amp;C1328</f>
        <v>#{#SNMPINDEX}: High CPU utilization (over {$CPU.UTIL.CRIT}% for 5m)</v>
      </c>
      <c r="H1328" t="e">
        <f>INDEX('7.0.17'!G:G,MATCH(G1328,'7.0.17'!F:F,0))</f>
        <v>#N/A</v>
      </c>
      <c r="I1328" t="e">
        <f t="shared" si="198"/>
        <v>#N/A</v>
      </c>
    </row>
    <row r="1329" spans="1:9">
      <c r="A1329" t="s">
        <v>8862</v>
      </c>
      <c r="B1329" t="s">
        <v>8869</v>
      </c>
      <c r="C1329" t="s">
        <v>8512</v>
      </c>
      <c r="D1329" t="s">
        <v>8870</v>
      </c>
      <c r="G1329" t="str">
        <f>B1329&amp;":"&amp;C1329&amp;":"&amp;D1329</f>
        <v>Disk-{#SNMPINDEX}: Disk space is critically low (used &gt; {$VFS.FS.PUSED.MAX.CRIT:Disk-"{#SNMPINDEX}"}%)</v>
      </c>
      <c r="H1329" t="e">
        <f>INDEX('7.0.17'!G:G,MATCH(G1329,'7.0.17'!F:F,0))</f>
        <v>#N/A</v>
      </c>
      <c r="I1329" t="e">
        <f t="shared" si="198"/>
        <v>#N/A</v>
      </c>
    </row>
    <row r="1330" spans="1:9">
      <c r="A1330" t="s">
        <v>8862</v>
      </c>
      <c r="B1330" t="s">
        <v>8869</v>
      </c>
      <c r="C1330" t="s">
        <v>8513</v>
      </c>
      <c r="D1330" t="s">
        <v>8870</v>
      </c>
      <c r="G1330" t="str">
        <f>B1330&amp;":"&amp;C1330&amp;":"&amp;D1330</f>
        <v>Disk-{#SNMPINDEX}: Disk space is low (used &gt; {$VFS.FS.PUSED.MAX.WARN:Disk-"{#SNMPINDEX}"}%)</v>
      </c>
      <c r="H1330" t="e">
        <f>INDEX('7.0.17'!G:G,MATCH(G1330,'7.0.17'!F:F,0))</f>
        <v>#N/A</v>
      </c>
      <c r="I1330" t="e">
        <f t="shared" si="198"/>
        <v>#N/A</v>
      </c>
    </row>
    <row r="1331" spans="1:9">
      <c r="A1331" t="s">
        <v>8862</v>
      </c>
      <c r="B1331" t="s">
        <v>8433</v>
      </c>
      <c r="C1331" t="s">
        <v>8863</v>
      </c>
      <c r="G1331" t="str">
        <f t="shared" si="204"/>
        <v>Interface {#IFNAME}({#IFALIAS}): LTE modem RSRP is low (below {$LTEMODEM.RSRP.MIN.WARN}dbm for 5m)</v>
      </c>
      <c r="H1331" t="e">
        <f>INDEX('7.0.17'!G:G,MATCH(G1331,'7.0.17'!F:F,0))</f>
        <v>#N/A</v>
      </c>
      <c r="I1331" t="e">
        <f t="shared" si="198"/>
        <v>#N/A</v>
      </c>
    </row>
    <row r="1332" spans="1:9">
      <c r="A1332" t="s">
        <v>8862</v>
      </c>
      <c r="B1332" t="s">
        <v>8433</v>
      </c>
      <c r="C1332" t="s">
        <v>8864</v>
      </c>
      <c r="G1332" t="str">
        <f t="shared" si="204"/>
        <v>Interface {#IFNAME}({#IFALIAS}): LTE modem RSRQ is low (below {$LTEMODEM.RSRQ.MIN.WARN}db for 5m)</v>
      </c>
      <c r="H1332" t="e">
        <f>INDEX('7.0.17'!G:G,MATCH(G1332,'7.0.17'!F:F,0))</f>
        <v>#N/A</v>
      </c>
      <c r="I1332" t="e">
        <f t="shared" si="198"/>
        <v>#N/A</v>
      </c>
    </row>
    <row r="1333" spans="1:9">
      <c r="A1333" t="s">
        <v>8862</v>
      </c>
      <c r="B1333" t="s">
        <v>8433</v>
      </c>
      <c r="C1333" t="s">
        <v>8865</v>
      </c>
      <c r="G1333" t="str">
        <f t="shared" si="204"/>
        <v>Interface {#IFNAME}({#IFALIAS}): LTE modem RSSI is low (below {$LTEMODEM.RSSI.MIN.WARN}dbm for 5m)</v>
      </c>
      <c r="H1333" t="e">
        <f>INDEX('7.0.17'!G:G,MATCH(G1333,'7.0.17'!F:F,0))</f>
        <v>#N/A</v>
      </c>
      <c r="I1333" t="e">
        <f t="shared" si="198"/>
        <v>#N/A</v>
      </c>
    </row>
    <row r="1334" spans="1:9">
      <c r="A1334" t="s">
        <v>8862</v>
      </c>
      <c r="B1334" t="s">
        <v>8433</v>
      </c>
      <c r="C1334" t="s">
        <v>8866</v>
      </c>
      <c r="G1334" t="str">
        <f t="shared" si="204"/>
        <v>Interface {#IFNAME}({#IFALIAS}): LTE modem SINR is low (below {$LTEMODEM.SINR.MIN.WARN}db for 5m)</v>
      </c>
      <c r="H1334" t="e">
        <f>INDEX('7.0.17'!G:G,MATCH(G1334,'7.0.17'!F:F,0))</f>
        <v>#N/A</v>
      </c>
      <c r="I1334" t="e">
        <f t="shared" si="198"/>
        <v>#N/A</v>
      </c>
    </row>
    <row r="1335" spans="1:9">
      <c r="A1335" t="s">
        <v>8862</v>
      </c>
      <c r="B1335" t="s">
        <v>8433</v>
      </c>
      <c r="C1335" t="s">
        <v>8434</v>
      </c>
      <c r="D1335" t="s">
        <v>8435</v>
      </c>
      <c r="G1335" t="str">
        <f>B1335&amp;":"&amp;C1335&amp;":"&amp;D1335</f>
        <v>Interface {#IFNAME}({#IFALIAS}): High error rate (&gt;{$IF.ERRORS.WARN:{#IFNAME}} for 5m)</v>
      </c>
      <c r="H1335" t="e">
        <f>INDEX('7.0.17'!G:G,MATCH(G1335,'7.0.17'!F:F,0))</f>
        <v>#N/A</v>
      </c>
      <c r="I1335" t="e">
        <f t="shared" si="198"/>
        <v>#N/A</v>
      </c>
    </row>
    <row r="1336" spans="1:9">
      <c r="A1336" t="s">
        <v>8862</v>
      </c>
      <c r="B1336" t="s">
        <v>8433</v>
      </c>
      <c r="C1336" t="s">
        <v>8436</v>
      </c>
      <c r="D1336" t="s">
        <v>8437</v>
      </c>
      <c r="G1336" t="str">
        <f>B1336&amp;":"&amp;C1336&amp;":"&amp;D1336</f>
        <v>Interface {#IFNAME}({#IFALIAS}): High bandwidth usage (&gt;{$IF.UTIL.MAX:{#IFNAME}}%)</v>
      </c>
      <c r="H1336" t="e">
        <f>INDEX('7.0.17'!G:G,MATCH(G1336,'7.0.17'!F:F,0))</f>
        <v>#N/A</v>
      </c>
      <c r="I1336" t="e">
        <f t="shared" si="198"/>
        <v>#N/A</v>
      </c>
    </row>
    <row r="1337" spans="1:9">
      <c r="A1337" t="s">
        <v>8862</v>
      </c>
      <c r="B1337" t="s">
        <v>8737</v>
      </c>
      <c r="C1337" t="s">
        <v>8439</v>
      </c>
      <c r="D1337" t="s">
        <v>8440</v>
      </c>
      <c r="E1337" t="s">
        <v>8598</v>
      </c>
      <c r="G1337" t="str">
        <f t="shared" ref="G1337:G1342" si="205">B1337&amp;":"&amp;C1337&amp;":"&amp;D1337&amp;":"&amp;E1337</f>
        <v>CPU: Temperature is above critical threshold: &gt;{$TEMP_CRIT:"CPU"}</v>
      </c>
      <c r="H1337" t="e">
        <f>INDEX('7.0.17'!G:G,MATCH(G1337,'7.0.17'!F:F,0))</f>
        <v>#N/A</v>
      </c>
      <c r="I1337" t="e">
        <f t="shared" si="198"/>
        <v>#N/A</v>
      </c>
    </row>
    <row r="1338" spans="1:9">
      <c r="A1338" t="s">
        <v>8862</v>
      </c>
      <c r="B1338" t="s">
        <v>8737</v>
      </c>
      <c r="C1338" t="s">
        <v>8442</v>
      </c>
      <c r="D1338" t="s">
        <v>8443</v>
      </c>
      <c r="E1338" t="s">
        <v>8598</v>
      </c>
      <c r="G1338" t="str">
        <f t="shared" si="205"/>
        <v>CPU: Temperature is above warning threshold: &gt;{$TEMP_WARN:"CPU"}</v>
      </c>
      <c r="H1338" t="e">
        <f>INDEX('7.0.17'!G:G,MATCH(G1338,'7.0.17'!F:F,0))</f>
        <v>#N/A</v>
      </c>
      <c r="I1338" t="e">
        <f t="shared" si="198"/>
        <v>#N/A</v>
      </c>
    </row>
    <row r="1339" spans="1:9">
      <c r="A1339" t="s">
        <v>8862</v>
      </c>
      <c r="B1339" t="s">
        <v>8737</v>
      </c>
      <c r="C1339" t="s">
        <v>8444</v>
      </c>
      <c r="D1339" t="s">
        <v>8445</v>
      </c>
      <c r="E1339" t="s">
        <v>8598</v>
      </c>
      <c r="G1339" t="str">
        <f t="shared" si="205"/>
        <v>CPU: Temperature is too low: &lt;{$TEMP_CRIT_LOW:"CPU"}</v>
      </c>
      <c r="H1339" t="e">
        <f>INDEX('7.0.17'!G:G,MATCH(G1339,'7.0.17'!F:F,0))</f>
        <v>#N/A</v>
      </c>
      <c r="I1339" t="e">
        <f t="shared" si="198"/>
        <v>#N/A</v>
      </c>
    </row>
    <row r="1340" spans="1:9">
      <c r="A1340" t="s">
        <v>8862</v>
      </c>
      <c r="B1340" t="s">
        <v>8867</v>
      </c>
      <c r="C1340" t="s">
        <v>8439</v>
      </c>
      <c r="D1340" t="s">
        <v>8440</v>
      </c>
      <c r="E1340" t="s">
        <v>8868</v>
      </c>
      <c r="G1340" t="str">
        <f t="shared" si="205"/>
        <v>Device: Temperature is above critical threshold: &gt;{$TEMP_CRIT:Device}</v>
      </c>
      <c r="H1340" t="e">
        <f>INDEX('7.0.17'!G:G,MATCH(G1340,'7.0.17'!F:F,0))</f>
        <v>#N/A</v>
      </c>
      <c r="I1340" t="e">
        <f t="shared" si="198"/>
        <v>#N/A</v>
      </c>
    </row>
    <row r="1341" spans="1:9">
      <c r="A1341" t="s">
        <v>8862</v>
      </c>
      <c r="B1341" t="s">
        <v>8867</v>
      </c>
      <c r="C1341" t="s">
        <v>8442</v>
      </c>
      <c r="D1341" t="s">
        <v>8443</v>
      </c>
      <c r="E1341" t="s">
        <v>8868</v>
      </c>
      <c r="G1341" t="str">
        <f t="shared" si="205"/>
        <v>Device: Temperature is above warning threshold: &gt;{$TEMP_WARN:Device}</v>
      </c>
      <c r="H1341" t="e">
        <f>INDEX('7.0.17'!G:G,MATCH(G1341,'7.0.17'!F:F,0))</f>
        <v>#N/A</v>
      </c>
      <c r="I1341" t="e">
        <f t="shared" si="198"/>
        <v>#N/A</v>
      </c>
    </row>
    <row r="1342" spans="1:9">
      <c r="A1342" t="s">
        <v>8862</v>
      </c>
      <c r="B1342" t="s">
        <v>8867</v>
      </c>
      <c r="C1342" t="s">
        <v>8444</v>
      </c>
      <c r="D1342" t="s">
        <v>8445</v>
      </c>
      <c r="E1342" t="s">
        <v>8868</v>
      </c>
      <c r="G1342" t="str">
        <f t="shared" si="205"/>
        <v>Device: Temperature is too low: &lt;{$TEMP_CRIT_LOW:Device}</v>
      </c>
      <c r="H1342" t="e">
        <f>INDEX('7.0.17'!G:G,MATCH(G1342,'7.0.17'!F:F,0))</f>
        <v>#N/A</v>
      </c>
      <c r="I1342" t="e">
        <f t="shared" si="198"/>
        <v>#N/A</v>
      </c>
    </row>
    <row r="1343" spans="1:9">
      <c r="A1343" t="s">
        <v>8862</v>
      </c>
      <c r="B1343" t="s">
        <v>8564</v>
      </c>
      <c r="C1343" t="s">
        <v>8565</v>
      </c>
      <c r="G1343" t="str">
        <f t="shared" ref="G1343:G1349" si="206">B1343&amp;":"&amp;C1343</f>
        <v>#{#SNMPINDEX}: High CPU utilization (over {$CPU.UTIL.CRIT}% for 5m)</v>
      </c>
      <c r="H1343" t="e">
        <f>INDEX('7.0.17'!G:G,MATCH(G1343,'7.0.17'!F:F,0))</f>
        <v>#N/A</v>
      </c>
      <c r="I1343" t="e">
        <f t="shared" si="198"/>
        <v>#N/A</v>
      </c>
    </row>
    <row r="1344" spans="1:9">
      <c r="A1344" t="s">
        <v>8862</v>
      </c>
      <c r="B1344" t="s">
        <v>8869</v>
      </c>
      <c r="C1344" t="s">
        <v>8512</v>
      </c>
      <c r="D1344" t="s">
        <v>8870</v>
      </c>
      <c r="G1344" t="str">
        <f>B1344&amp;":"&amp;C1344&amp;":"&amp;D1344</f>
        <v>Disk-{#SNMPINDEX}: Disk space is critically low (used &gt; {$VFS.FS.PUSED.MAX.CRIT:Disk-"{#SNMPINDEX}"}%)</v>
      </c>
      <c r="H1344" t="e">
        <f>INDEX('7.0.17'!G:G,MATCH(G1344,'7.0.17'!F:F,0))</f>
        <v>#N/A</v>
      </c>
      <c r="I1344" t="e">
        <f t="shared" si="198"/>
        <v>#N/A</v>
      </c>
    </row>
    <row r="1345" spans="1:9">
      <c r="A1345" t="s">
        <v>8862</v>
      </c>
      <c r="B1345" t="s">
        <v>8869</v>
      </c>
      <c r="C1345" t="s">
        <v>8513</v>
      </c>
      <c r="D1345" t="s">
        <v>8870</v>
      </c>
      <c r="G1345" t="str">
        <f>B1345&amp;":"&amp;C1345&amp;":"&amp;D1345</f>
        <v>Disk-{#SNMPINDEX}: Disk space is low (used &gt; {$VFS.FS.PUSED.MAX.WARN:Disk-"{#SNMPINDEX}"}%)</v>
      </c>
      <c r="H1345" t="e">
        <f>INDEX('7.0.17'!G:G,MATCH(G1345,'7.0.17'!F:F,0))</f>
        <v>#N/A</v>
      </c>
      <c r="I1345" t="e">
        <f t="shared" si="198"/>
        <v>#N/A</v>
      </c>
    </row>
    <row r="1346" spans="1:9">
      <c r="A1346" t="s">
        <v>8862</v>
      </c>
      <c r="B1346" t="s">
        <v>8433</v>
      </c>
      <c r="C1346" t="s">
        <v>8863</v>
      </c>
      <c r="G1346" t="str">
        <f t="shared" si="206"/>
        <v>Interface {#IFNAME}({#IFALIAS}): LTE modem RSRP is low (below {$LTEMODEM.RSRP.MIN.WARN}dbm for 5m)</v>
      </c>
      <c r="H1346" t="e">
        <f>INDEX('7.0.17'!G:G,MATCH(G1346,'7.0.17'!F:F,0))</f>
        <v>#N/A</v>
      </c>
      <c r="I1346" t="e">
        <f t="shared" si="198"/>
        <v>#N/A</v>
      </c>
    </row>
    <row r="1347" spans="1:9">
      <c r="A1347" t="s">
        <v>8862</v>
      </c>
      <c r="B1347" t="s">
        <v>8433</v>
      </c>
      <c r="C1347" t="s">
        <v>8864</v>
      </c>
      <c r="G1347" t="str">
        <f t="shared" si="206"/>
        <v>Interface {#IFNAME}({#IFALIAS}): LTE modem RSRQ is low (below {$LTEMODEM.RSRQ.MIN.WARN}db for 5m)</v>
      </c>
      <c r="H1347" t="e">
        <f>INDEX('7.0.17'!G:G,MATCH(G1347,'7.0.17'!F:F,0))</f>
        <v>#N/A</v>
      </c>
      <c r="I1347" t="e">
        <f t="shared" ref="I1347:I1410" si="207">A1347&amp;": "&amp;H1347</f>
        <v>#N/A</v>
      </c>
    </row>
    <row r="1348" spans="1:9">
      <c r="A1348" t="s">
        <v>8862</v>
      </c>
      <c r="B1348" t="s">
        <v>8433</v>
      </c>
      <c r="C1348" t="s">
        <v>8865</v>
      </c>
      <c r="G1348" t="str">
        <f t="shared" si="206"/>
        <v>Interface {#IFNAME}({#IFALIAS}): LTE modem RSSI is low (below {$LTEMODEM.RSSI.MIN.WARN}dbm for 5m)</v>
      </c>
      <c r="H1348" t="e">
        <f>INDEX('7.0.17'!G:G,MATCH(G1348,'7.0.17'!F:F,0))</f>
        <v>#N/A</v>
      </c>
      <c r="I1348" t="e">
        <f t="shared" si="207"/>
        <v>#N/A</v>
      </c>
    </row>
    <row r="1349" spans="1:9">
      <c r="A1349" t="s">
        <v>8862</v>
      </c>
      <c r="B1349" t="s">
        <v>8433</v>
      </c>
      <c r="C1349" t="s">
        <v>8866</v>
      </c>
      <c r="G1349" t="str">
        <f t="shared" si="206"/>
        <v>Interface {#IFNAME}({#IFALIAS}): LTE modem SINR is low (below {$LTEMODEM.SINR.MIN.WARN}db for 5m)</v>
      </c>
      <c r="H1349" t="e">
        <f>INDEX('7.0.17'!G:G,MATCH(G1349,'7.0.17'!F:F,0))</f>
        <v>#N/A</v>
      </c>
      <c r="I1349" t="e">
        <f t="shared" si="207"/>
        <v>#N/A</v>
      </c>
    </row>
    <row r="1350" spans="1:9">
      <c r="A1350" t="s">
        <v>8862</v>
      </c>
      <c r="B1350" t="s">
        <v>8433</v>
      </c>
      <c r="C1350" t="s">
        <v>8434</v>
      </c>
      <c r="D1350" t="s">
        <v>8435</v>
      </c>
      <c r="G1350" t="str">
        <f>B1350&amp;":"&amp;C1350&amp;":"&amp;D1350</f>
        <v>Interface {#IFNAME}({#IFALIAS}): High error rate (&gt;{$IF.ERRORS.WARN:{#IFNAME}} for 5m)</v>
      </c>
      <c r="H1350" t="e">
        <f>INDEX('7.0.17'!G:G,MATCH(G1350,'7.0.17'!F:F,0))</f>
        <v>#N/A</v>
      </c>
      <c r="I1350" t="e">
        <f t="shared" si="207"/>
        <v>#N/A</v>
      </c>
    </row>
    <row r="1351" spans="1:9">
      <c r="A1351" t="s">
        <v>8862</v>
      </c>
      <c r="B1351" t="s">
        <v>8433</v>
      </c>
      <c r="C1351" t="s">
        <v>8436</v>
      </c>
      <c r="D1351" t="s">
        <v>8437</v>
      </c>
      <c r="G1351" t="str">
        <f>B1351&amp;":"&amp;C1351&amp;":"&amp;D1351</f>
        <v>Interface {#IFNAME}({#IFALIAS}): High bandwidth usage (&gt;{$IF.UTIL.MAX:{#IFNAME}}%)</v>
      </c>
      <c r="H1351" t="e">
        <f>INDEX('7.0.17'!G:G,MATCH(G1351,'7.0.17'!F:F,0))</f>
        <v>#N/A</v>
      </c>
      <c r="I1351" t="e">
        <f t="shared" si="207"/>
        <v>#N/A</v>
      </c>
    </row>
    <row r="1352" spans="1:9">
      <c r="A1352" t="s">
        <v>8862</v>
      </c>
      <c r="B1352" t="s">
        <v>8737</v>
      </c>
      <c r="C1352" t="s">
        <v>8439</v>
      </c>
      <c r="D1352" t="s">
        <v>8440</v>
      </c>
      <c r="E1352" t="s">
        <v>8598</v>
      </c>
      <c r="G1352" t="str">
        <f t="shared" ref="G1352:G1357" si="208">B1352&amp;":"&amp;C1352&amp;":"&amp;D1352&amp;":"&amp;E1352</f>
        <v>CPU: Temperature is above critical threshold: &gt;{$TEMP_CRIT:"CPU"}</v>
      </c>
      <c r="H1352" t="e">
        <f>INDEX('7.0.17'!G:G,MATCH(G1352,'7.0.17'!F:F,0))</f>
        <v>#N/A</v>
      </c>
      <c r="I1352" t="e">
        <f t="shared" si="207"/>
        <v>#N/A</v>
      </c>
    </row>
    <row r="1353" spans="1:9">
      <c r="A1353" t="s">
        <v>8862</v>
      </c>
      <c r="B1353" t="s">
        <v>8737</v>
      </c>
      <c r="C1353" t="s">
        <v>8442</v>
      </c>
      <c r="D1353" t="s">
        <v>8443</v>
      </c>
      <c r="E1353" t="s">
        <v>8598</v>
      </c>
      <c r="G1353" t="str">
        <f t="shared" si="208"/>
        <v>CPU: Temperature is above warning threshold: &gt;{$TEMP_WARN:"CPU"}</v>
      </c>
      <c r="H1353" t="e">
        <f>INDEX('7.0.17'!G:G,MATCH(G1353,'7.0.17'!F:F,0))</f>
        <v>#N/A</v>
      </c>
      <c r="I1353" t="e">
        <f t="shared" si="207"/>
        <v>#N/A</v>
      </c>
    </row>
    <row r="1354" spans="1:9">
      <c r="A1354" t="s">
        <v>8862</v>
      </c>
      <c r="B1354" t="s">
        <v>8737</v>
      </c>
      <c r="C1354" t="s">
        <v>8444</v>
      </c>
      <c r="D1354" t="s">
        <v>8445</v>
      </c>
      <c r="E1354" t="s">
        <v>8598</v>
      </c>
      <c r="G1354" t="str">
        <f t="shared" si="208"/>
        <v>CPU: Temperature is too low: &lt;{$TEMP_CRIT_LOW:"CPU"}</v>
      </c>
      <c r="H1354" t="e">
        <f>INDEX('7.0.17'!G:G,MATCH(G1354,'7.0.17'!F:F,0))</f>
        <v>#N/A</v>
      </c>
      <c r="I1354" t="e">
        <f t="shared" si="207"/>
        <v>#N/A</v>
      </c>
    </row>
    <row r="1355" spans="1:9">
      <c r="A1355" t="s">
        <v>8862</v>
      </c>
      <c r="B1355" t="s">
        <v>8867</v>
      </c>
      <c r="C1355" t="s">
        <v>8439</v>
      </c>
      <c r="D1355" t="s">
        <v>8440</v>
      </c>
      <c r="E1355" t="s">
        <v>8868</v>
      </c>
      <c r="G1355" t="str">
        <f t="shared" si="208"/>
        <v>Device: Temperature is above critical threshold: &gt;{$TEMP_CRIT:Device}</v>
      </c>
      <c r="H1355" t="e">
        <f>INDEX('7.0.17'!G:G,MATCH(G1355,'7.0.17'!F:F,0))</f>
        <v>#N/A</v>
      </c>
      <c r="I1355" t="e">
        <f t="shared" si="207"/>
        <v>#N/A</v>
      </c>
    </row>
    <row r="1356" spans="1:9">
      <c r="A1356" t="s">
        <v>8862</v>
      </c>
      <c r="B1356" t="s">
        <v>8867</v>
      </c>
      <c r="C1356" t="s">
        <v>8442</v>
      </c>
      <c r="D1356" t="s">
        <v>8443</v>
      </c>
      <c r="E1356" t="s">
        <v>8868</v>
      </c>
      <c r="G1356" t="str">
        <f t="shared" si="208"/>
        <v>Device: Temperature is above warning threshold: &gt;{$TEMP_WARN:Device}</v>
      </c>
      <c r="H1356" t="e">
        <f>INDEX('7.0.17'!G:G,MATCH(G1356,'7.0.17'!F:F,0))</f>
        <v>#N/A</v>
      </c>
      <c r="I1356" t="e">
        <f t="shared" si="207"/>
        <v>#N/A</v>
      </c>
    </row>
    <row r="1357" spans="1:9">
      <c r="A1357" t="s">
        <v>8862</v>
      </c>
      <c r="B1357" t="s">
        <v>8867</v>
      </c>
      <c r="C1357" t="s">
        <v>8444</v>
      </c>
      <c r="D1357" t="s">
        <v>8445</v>
      </c>
      <c r="E1357" t="s">
        <v>8868</v>
      </c>
      <c r="G1357" t="str">
        <f t="shared" si="208"/>
        <v>Device: Temperature is too low: &lt;{$TEMP_CRIT_LOW:Device}</v>
      </c>
      <c r="H1357" t="e">
        <f>INDEX('7.0.17'!G:G,MATCH(G1357,'7.0.17'!F:F,0))</f>
        <v>#N/A</v>
      </c>
      <c r="I1357" t="e">
        <f t="shared" si="207"/>
        <v>#N/A</v>
      </c>
    </row>
    <row r="1358" spans="1:9">
      <c r="A1358" t="s">
        <v>8862</v>
      </c>
      <c r="B1358" t="s">
        <v>8564</v>
      </c>
      <c r="C1358" t="s">
        <v>8565</v>
      </c>
      <c r="G1358" t="str">
        <f t="shared" ref="G1358:G1364" si="209">B1358&amp;":"&amp;C1358</f>
        <v>#{#SNMPINDEX}: High CPU utilization (over {$CPU.UTIL.CRIT}% for 5m)</v>
      </c>
      <c r="H1358" t="e">
        <f>INDEX('7.0.17'!G:G,MATCH(G1358,'7.0.17'!F:F,0))</f>
        <v>#N/A</v>
      </c>
      <c r="I1358" t="e">
        <f t="shared" si="207"/>
        <v>#N/A</v>
      </c>
    </row>
    <row r="1359" spans="1:9">
      <c r="A1359" t="s">
        <v>8862</v>
      </c>
      <c r="B1359" t="s">
        <v>8869</v>
      </c>
      <c r="C1359" t="s">
        <v>8512</v>
      </c>
      <c r="D1359" t="s">
        <v>8870</v>
      </c>
      <c r="G1359" t="str">
        <f>B1359&amp;":"&amp;C1359&amp;":"&amp;D1359</f>
        <v>Disk-{#SNMPINDEX}: Disk space is critically low (used &gt; {$VFS.FS.PUSED.MAX.CRIT:Disk-"{#SNMPINDEX}"}%)</v>
      </c>
      <c r="H1359" t="e">
        <f>INDEX('7.0.17'!G:G,MATCH(G1359,'7.0.17'!F:F,0))</f>
        <v>#N/A</v>
      </c>
      <c r="I1359" t="e">
        <f t="shared" si="207"/>
        <v>#N/A</v>
      </c>
    </row>
    <row r="1360" spans="1:9">
      <c r="A1360" t="s">
        <v>8862</v>
      </c>
      <c r="B1360" t="s">
        <v>8869</v>
      </c>
      <c r="C1360" t="s">
        <v>8513</v>
      </c>
      <c r="D1360" t="s">
        <v>8870</v>
      </c>
      <c r="G1360" t="str">
        <f>B1360&amp;":"&amp;C1360&amp;":"&amp;D1360</f>
        <v>Disk-{#SNMPINDEX}: Disk space is low (used &gt; {$VFS.FS.PUSED.MAX.WARN:Disk-"{#SNMPINDEX}"}%)</v>
      </c>
      <c r="H1360" t="e">
        <f>INDEX('7.0.17'!G:G,MATCH(G1360,'7.0.17'!F:F,0))</f>
        <v>#N/A</v>
      </c>
      <c r="I1360" t="e">
        <f t="shared" si="207"/>
        <v>#N/A</v>
      </c>
    </row>
    <row r="1361" spans="1:9">
      <c r="A1361" t="s">
        <v>8862</v>
      </c>
      <c r="B1361" t="s">
        <v>8433</v>
      </c>
      <c r="C1361" t="s">
        <v>8863</v>
      </c>
      <c r="G1361" t="str">
        <f t="shared" si="209"/>
        <v>Interface {#IFNAME}({#IFALIAS}): LTE modem RSRP is low (below {$LTEMODEM.RSRP.MIN.WARN}dbm for 5m)</v>
      </c>
      <c r="H1361" t="e">
        <f>INDEX('7.0.17'!G:G,MATCH(G1361,'7.0.17'!F:F,0))</f>
        <v>#N/A</v>
      </c>
      <c r="I1361" t="e">
        <f t="shared" si="207"/>
        <v>#N/A</v>
      </c>
    </row>
    <row r="1362" spans="1:9">
      <c r="A1362" t="s">
        <v>8862</v>
      </c>
      <c r="B1362" t="s">
        <v>8433</v>
      </c>
      <c r="C1362" t="s">
        <v>8864</v>
      </c>
      <c r="G1362" t="str">
        <f t="shared" si="209"/>
        <v>Interface {#IFNAME}({#IFALIAS}): LTE modem RSRQ is low (below {$LTEMODEM.RSRQ.MIN.WARN}db for 5m)</v>
      </c>
      <c r="H1362" t="e">
        <f>INDEX('7.0.17'!G:G,MATCH(G1362,'7.0.17'!F:F,0))</f>
        <v>#N/A</v>
      </c>
      <c r="I1362" t="e">
        <f t="shared" si="207"/>
        <v>#N/A</v>
      </c>
    </row>
    <row r="1363" spans="1:9">
      <c r="A1363" t="s">
        <v>8862</v>
      </c>
      <c r="B1363" t="s">
        <v>8433</v>
      </c>
      <c r="C1363" t="s">
        <v>8865</v>
      </c>
      <c r="G1363" t="str">
        <f t="shared" si="209"/>
        <v>Interface {#IFNAME}({#IFALIAS}): LTE modem RSSI is low (below {$LTEMODEM.RSSI.MIN.WARN}dbm for 5m)</v>
      </c>
      <c r="H1363" t="e">
        <f>INDEX('7.0.17'!G:G,MATCH(G1363,'7.0.17'!F:F,0))</f>
        <v>#N/A</v>
      </c>
      <c r="I1363" t="e">
        <f t="shared" si="207"/>
        <v>#N/A</v>
      </c>
    </row>
    <row r="1364" spans="1:9">
      <c r="A1364" t="s">
        <v>8862</v>
      </c>
      <c r="B1364" t="s">
        <v>8433</v>
      </c>
      <c r="C1364" t="s">
        <v>8866</v>
      </c>
      <c r="G1364" t="str">
        <f t="shared" si="209"/>
        <v>Interface {#IFNAME}({#IFALIAS}): LTE modem SINR is low (below {$LTEMODEM.SINR.MIN.WARN}db for 5m)</v>
      </c>
      <c r="H1364" t="e">
        <f>INDEX('7.0.17'!G:G,MATCH(G1364,'7.0.17'!F:F,0))</f>
        <v>#N/A</v>
      </c>
      <c r="I1364" t="e">
        <f t="shared" si="207"/>
        <v>#N/A</v>
      </c>
    </row>
    <row r="1365" spans="1:9">
      <c r="A1365" t="s">
        <v>8862</v>
      </c>
      <c r="B1365" t="s">
        <v>8433</v>
      </c>
      <c r="C1365" t="s">
        <v>8434</v>
      </c>
      <c r="D1365" t="s">
        <v>8435</v>
      </c>
      <c r="G1365" t="str">
        <f>B1365&amp;":"&amp;C1365&amp;":"&amp;D1365</f>
        <v>Interface {#IFNAME}({#IFALIAS}): High error rate (&gt;{$IF.ERRORS.WARN:{#IFNAME}} for 5m)</v>
      </c>
      <c r="H1365" t="e">
        <f>INDEX('7.0.17'!G:G,MATCH(G1365,'7.0.17'!F:F,0))</f>
        <v>#N/A</v>
      </c>
      <c r="I1365" t="e">
        <f t="shared" si="207"/>
        <v>#N/A</v>
      </c>
    </row>
    <row r="1366" spans="1:9">
      <c r="A1366" t="s">
        <v>8862</v>
      </c>
      <c r="B1366" t="s">
        <v>8433</v>
      </c>
      <c r="C1366" t="s">
        <v>8436</v>
      </c>
      <c r="D1366" t="s">
        <v>8437</v>
      </c>
      <c r="G1366" t="str">
        <f>B1366&amp;":"&amp;C1366&amp;":"&amp;D1366</f>
        <v>Interface {#IFNAME}({#IFALIAS}): High bandwidth usage (&gt;{$IF.UTIL.MAX:{#IFNAME}}%)</v>
      </c>
      <c r="H1366" t="e">
        <f>INDEX('7.0.17'!G:G,MATCH(G1366,'7.0.17'!F:F,0))</f>
        <v>#N/A</v>
      </c>
      <c r="I1366" t="e">
        <f t="shared" si="207"/>
        <v>#N/A</v>
      </c>
    </row>
    <row r="1367" spans="1:9">
      <c r="A1367" t="s">
        <v>8862</v>
      </c>
      <c r="B1367" t="s">
        <v>8737</v>
      </c>
      <c r="C1367" t="s">
        <v>8439</v>
      </c>
      <c r="D1367" t="s">
        <v>8440</v>
      </c>
      <c r="E1367" t="s">
        <v>8598</v>
      </c>
      <c r="G1367" t="str">
        <f t="shared" ref="G1367:G1372" si="210">B1367&amp;":"&amp;C1367&amp;":"&amp;D1367&amp;":"&amp;E1367</f>
        <v>CPU: Temperature is above critical threshold: &gt;{$TEMP_CRIT:"CPU"}</v>
      </c>
      <c r="H1367" t="e">
        <f>INDEX('7.0.17'!G:G,MATCH(G1367,'7.0.17'!F:F,0))</f>
        <v>#N/A</v>
      </c>
      <c r="I1367" t="e">
        <f t="shared" si="207"/>
        <v>#N/A</v>
      </c>
    </row>
    <row r="1368" spans="1:9">
      <c r="A1368" t="s">
        <v>8862</v>
      </c>
      <c r="B1368" t="s">
        <v>8737</v>
      </c>
      <c r="C1368" t="s">
        <v>8442</v>
      </c>
      <c r="D1368" t="s">
        <v>8443</v>
      </c>
      <c r="E1368" t="s">
        <v>8598</v>
      </c>
      <c r="G1368" t="str">
        <f t="shared" si="210"/>
        <v>CPU: Temperature is above warning threshold: &gt;{$TEMP_WARN:"CPU"}</v>
      </c>
      <c r="H1368" t="e">
        <f>INDEX('7.0.17'!G:G,MATCH(G1368,'7.0.17'!F:F,0))</f>
        <v>#N/A</v>
      </c>
      <c r="I1368" t="e">
        <f t="shared" si="207"/>
        <v>#N/A</v>
      </c>
    </row>
    <row r="1369" spans="1:9">
      <c r="A1369" t="s">
        <v>8862</v>
      </c>
      <c r="B1369" t="s">
        <v>8737</v>
      </c>
      <c r="C1369" t="s">
        <v>8444</v>
      </c>
      <c r="D1369" t="s">
        <v>8445</v>
      </c>
      <c r="E1369" t="s">
        <v>8598</v>
      </c>
      <c r="G1369" t="str">
        <f t="shared" si="210"/>
        <v>CPU: Temperature is too low: &lt;{$TEMP_CRIT_LOW:"CPU"}</v>
      </c>
      <c r="H1369" t="e">
        <f>INDEX('7.0.17'!G:G,MATCH(G1369,'7.0.17'!F:F,0))</f>
        <v>#N/A</v>
      </c>
      <c r="I1369" t="e">
        <f t="shared" si="207"/>
        <v>#N/A</v>
      </c>
    </row>
    <row r="1370" spans="1:9">
      <c r="A1370" t="s">
        <v>8862</v>
      </c>
      <c r="B1370" t="s">
        <v>8867</v>
      </c>
      <c r="C1370" t="s">
        <v>8439</v>
      </c>
      <c r="D1370" t="s">
        <v>8440</v>
      </c>
      <c r="E1370" t="s">
        <v>8868</v>
      </c>
      <c r="G1370" t="str">
        <f t="shared" si="210"/>
        <v>Device: Temperature is above critical threshold: &gt;{$TEMP_CRIT:Device}</v>
      </c>
      <c r="H1370" t="e">
        <f>INDEX('7.0.17'!G:G,MATCH(G1370,'7.0.17'!F:F,0))</f>
        <v>#N/A</v>
      </c>
      <c r="I1370" t="e">
        <f t="shared" si="207"/>
        <v>#N/A</v>
      </c>
    </row>
    <row r="1371" spans="1:9">
      <c r="A1371" t="s">
        <v>8862</v>
      </c>
      <c r="B1371" t="s">
        <v>8867</v>
      </c>
      <c r="C1371" t="s">
        <v>8442</v>
      </c>
      <c r="D1371" t="s">
        <v>8443</v>
      </c>
      <c r="E1371" t="s">
        <v>8868</v>
      </c>
      <c r="G1371" t="str">
        <f t="shared" si="210"/>
        <v>Device: Temperature is above warning threshold: &gt;{$TEMP_WARN:Device}</v>
      </c>
      <c r="H1371" t="e">
        <f>INDEX('7.0.17'!G:G,MATCH(G1371,'7.0.17'!F:F,0))</f>
        <v>#N/A</v>
      </c>
      <c r="I1371" t="e">
        <f t="shared" si="207"/>
        <v>#N/A</v>
      </c>
    </row>
    <row r="1372" spans="1:9">
      <c r="A1372" t="s">
        <v>8862</v>
      </c>
      <c r="B1372" t="s">
        <v>8867</v>
      </c>
      <c r="C1372" t="s">
        <v>8444</v>
      </c>
      <c r="D1372" t="s">
        <v>8445</v>
      </c>
      <c r="E1372" t="s">
        <v>8868</v>
      </c>
      <c r="G1372" t="str">
        <f t="shared" si="210"/>
        <v>Device: Temperature is too low: &lt;{$TEMP_CRIT_LOW:Device}</v>
      </c>
      <c r="H1372" t="e">
        <f>INDEX('7.0.17'!G:G,MATCH(G1372,'7.0.17'!F:F,0))</f>
        <v>#N/A</v>
      </c>
      <c r="I1372" t="e">
        <f t="shared" si="207"/>
        <v>#N/A</v>
      </c>
    </row>
    <row r="1373" spans="1:9">
      <c r="A1373" t="s">
        <v>8862</v>
      </c>
      <c r="B1373" t="s">
        <v>8564</v>
      </c>
      <c r="C1373" t="s">
        <v>8565</v>
      </c>
      <c r="G1373" t="str">
        <f t="shared" ref="G1373:G1379" si="211">B1373&amp;":"&amp;C1373</f>
        <v>#{#SNMPINDEX}: High CPU utilization (over {$CPU.UTIL.CRIT}% for 5m)</v>
      </c>
      <c r="H1373" t="e">
        <f>INDEX('7.0.17'!G:G,MATCH(G1373,'7.0.17'!F:F,0))</f>
        <v>#N/A</v>
      </c>
      <c r="I1373" t="e">
        <f t="shared" si="207"/>
        <v>#N/A</v>
      </c>
    </row>
    <row r="1374" spans="1:9">
      <c r="A1374" t="s">
        <v>8862</v>
      </c>
      <c r="B1374" t="s">
        <v>8869</v>
      </c>
      <c r="C1374" t="s">
        <v>8512</v>
      </c>
      <c r="D1374" t="s">
        <v>8870</v>
      </c>
      <c r="G1374" t="str">
        <f>B1374&amp;":"&amp;C1374&amp;":"&amp;D1374</f>
        <v>Disk-{#SNMPINDEX}: Disk space is critically low (used &gt; {$VFS.FS.PUSED.MAX.CRIT:Disk-"{#SNMPINDEX}"}%)</v>
      </c>
      <c r="H1374" t="e">
        <f>INDEX('7.0.17'!G:G,MATCH(G1374,'7.0.17'!F:F,0))</f>
        <v>#N/A</v>
      </c>
      <c r="I1374" t="e">
        <f t="shared" si="207"/>
        <v>#N/A</v>
      </c>
    </row>
    <row r="1375" spans="1:9">
      <c r="A1375" t="s">
        <v>8862</v>
      </c>
      <c r="B1375" t="s">
        <v>8869</v>
      </c>
      <c r="C1375" t="s">
        <v>8513</v>
      </c>
      <c r="D1375" t="s">
        <v>8870</v>
      </c>
      <c r="G1375" t="str">
        <f>B1375&amp;":"&amp;C1375&amp;":"&amp;D1375</f>
        <v>Disk-{#SNMPINDEX}: Disk space is low (used &gt; {$VFS.FS.PUSED.MAX.WARN:Disk-"{#SNMPINDEX}"}%)</v>
      </c>
      <c r="H1375" t="e">
        <f>INDEX('7.0.17'!G:G,MATCH(G1375,'7.0.17'!F:F,0))</f>
        <v>#N/A</v>
      </c>
      <c r="I1375" t="e">
        <f t="shared" si="207"/>
        <v>#N/A</v>
      </c>
    </row>
    <row r="1376" spans="1:9">
      <c r="A1376" t="s">
        <v>8862</v>
      </c>
      <c r="B1376" t="s">
        <v>8433</v>
      </c>
      <c r="C1376" t="s">
        <v>8863</v>
      </c>
      <c r="G1376" t="str">
        <f t="shared" si="211"/>
        <v>Interface {#IFNAME}({#IFALIAS}): LTE modem RSRP is low (below {$LTEMODEM.RSRP.MIN.WARN}dbm for 5m)</v>
      </c>
      <c r="H1376" t="e">
        <f>INDEX('7.0.17'!G:G,MATCH(G1376,'7.0.17'!F:F,0))</f>
        <v>#N/A</v>
      </c>
      <c r="I1376" t="e">
        <f t="shared" si="207"/>
        <v>#N/A</v>
      </c>
    </row>
    <row r="1377" spans="1:9">
      <c r="A1377" t="s">
        <v>8862</v>
      </c>
      <c r="B1377" t="s">
        <v>8433</v>
      </c>
      <c r="C1377" t="s">
        <v>8864</v>
      </c>
      <c r="G1377" t="str">
        <f t="shared" si="211"/>
        <v>Interface {#IFNAME}({#IFALIAS}): LTE modem RSRQ is low (below {$LTEMODEM.RSRQ.MIN.WARN}db for 5m)</v>
      </c>
      <c r="H1377" t="e">
        <f>INDEX('7.0.17'!G:G,MATCH(G1377,'7.0.17'!F:F,0))</f>
        <v>#N/A</v>
      </c>
      <c r="I1377" t="e">
        <f t="shared" si="207"/>
        <v>#N/A</v>
      </c>
    </row>
    <row r="1378" spans="1:9">
      <c r="A1378" t="s">
        <v>8862</v>
      </c>
      <c r="B1378" t="s">
        <v>8433</v>
      </c>
      <c r="C1378" t="s">
        <v>8865</v>
      </c>
      <c r="G1378" t="str">
        <f t="shared" si="211"/>
        <v>Interface {#IFNAME}({#IFALIAS}): LTE modem RSSI is low (below {$LTEMODEM.RSSI.MIN.WARN}dbm for 5m)</v>
      </c>
      <c r="H1378" t="e">
        <f>INDEX('7.0.17'!G:G,MATCH(G1378,'7.0.17'!F:F,0))</f>
        <v>#N/A</v>
      </c>
      <c r="I1378" t="e">
        <f t="shared" si="207"/>
        <v>#N/A</v>
      </c>
    </row>
    <row r="1379" spans="1:9">
      <c r="A1379" t="s">
        <v>8862</v>
      </c>
      <c r="B1379" t="s">
        <v>8433</v>
      </c>
      <c r="C1379" t="s">
        <v>8866</v>
      </c>
      <c r="G1379" t="str">
        <f t="shared" si="211"/>
        <v>Interface {#IFNAME}({#IFALIAS}): LTE modem SINR is low (below {$LTEMODEM.SINR.MIN.WARN}db for 5m)</v>
      </c>
      <c r="H1379" t="e">
        <f>INDEX('7.0.17'!G:G,MATCH(G1379,'7.0.17'!F:F,0))</f>
        <v>#N/A</v>
      </c>
      <c r="I1379" t="e">
        <f t="shared" si="207"/>
        <v>#N/A</v>
      </c>
    </row>
    <row r="1380" spans="1:9">
      <c r="A1380" t="s">
        <v>8862</v>
      </c>
      <c r="B1380" t="s">
        <v>8433</v>
      </c>
      <c r="C1380" t="s">
        <v>8434</v>
      </c>
      <c r="D1380" t="s">
        <v>8435</v>
      </c>
      <c r="G1380" t="str">
        <f>B1380&amp;":"&amp;C1380&amp;":"&amp;D1380</f>
        <v>Interface {#IFNAME}({#IFALIAS}): High error rate (&gt;{$IF.ERRORS.WARN:{#IFNAME}} for 5m)</v>
      </c>
      <c r="H1380" t="e">
        <f>INDEX('7.0.17'!G:G,MATCH(G1380,'7.0.17'!F:F,0))</f>
        <v>#N/A</v>
      </c>
      <c r="I1380" t="e">
        <f t="shared" si="207"/>
        <v>#N/A</v>
      </c>
    </row>
    <row r="1381" spans="1:9">
      <c r="A1381" t="s">
        <v>8862</v>
      </c>
      <c r="B1381" t="s">
        <v>8433</v>
      </c>
      <c r="C1381" t="s">
        <v>8436</v>
      </c>
      <c r="D1381" t="s">
        <v>8437</v>
      </c>
      <c r="G1381" t="str">
        <f>B1381&amp;":"&amp;C1381&amp;":"&amp;D1381</f>
        <v>Interface {#IFNAME}({#IFALIAS}): High bandwidth usage (&gt;{$IF.UTIL.MAX:{#IFNAME}}%)</v>
      </c>
      <c r="H1381" t="e">
        <f>INDEX('7.0.17'!G:G,MATCH(G1381,'7.0.17'!F:F,0))</f>
        <v>#N/A</v>
      </c>
      <c r="I1381" t="e">
        <f t="shared" si="207"/>
        <v>#N/A</v>
      </c>
    </row>
    <row r="1382" spans="1:9">
      <c r="A1382" t="s">
        <v>8862</v>
      </c>
      <c r="B1382" t="s">
        <v>8737</v>
      </c>
      <c r="C1382" t="s">
        <v>8442</v>
      </c>
      <c r="D1382" t="s">
        <v>8443</v>
      </c>
      <c r="E1382" t="s">
        <v>8598</v>
      </c>
      <c r="G1382" t="str">
        <f t="shared" ref="G1382:G1387" si="212">B1382&amp;":"&amp;C1382&amp;":"&amp;D1382&amp;":"&amp;E1382</f>
        <v>CPU: Temperature is above warning threshold: &gt;{$TEMP_WARN:"CPU"}</v>
      </c>
      <c r="H1382" t="e">
        <f>INDEX('7.0.17'!G:G,MATCH(G1382,'7.0.17'!F:F,0))</f>
        <v>#N/A</v>
      </c>
      <c r="I1382" t="e">
        <f t="shared" si="207"/>
        <v>#N/A</v>
      </c>
    </row>
    <row r="1383" spans="1:9">
      <c r="A1383" t="s">
        <v>8862</v>
      </c>
      <c r="B1383" t="s">
        <v>8737</v>
      </c>
      <c r="C1383" t="s">
        <v>8439</v>
      </c>
      <c r="D1383" t="s">
        <v>8440</v>
      </c>
      <c r="E1383" t="s">
        <v>8598</v>
      </c>
      <c r="G1383" t="str">
        <f t="shared" si="212"/>
        <v>CPU: Temperature is above critical threshold: &gt;{$TEMP_CRIT:"CPU"}</v>
      </c>
      <c r="H1383" t="e">
        <f>INDEX('7.0.17'!G:G,MATCH(G1383,'7.0.17'!F:F,0))</f>
        <v>#N/A</v>
      </c>
      <c r="I1383" t="e">
        <f t="shared" si="207"/>
        <v>#N/A</v>
      </c>
    </row>
    <row r="1384" spans="1:9">
      <c r="A1384" t="s">
        <v>8862</v>
      </c>
      <c r="B1384" t="s">
        <v>8737</v>
      </c>
      <c r="C1384" t="s">
        <v>8444</v>
      </c>
      <c r="D1384" t="s">
        <v>8445</v>
      </c>
      <c r="E1384" t="s">
        <v>8598</v>
      </c>
      <c r="G1384" t="str">
        <f t="shared" si="212"/>
        <v>CPU: Temperature is too low: &lt;{$TEMP_CRIT_LOW:"CPU"}</v>
      </c>
      <c r="H1384" t="e">
        <f>INDEX('7.0.17'!G:G,MATCH(G1384,'7.0.17'!F:F,0))</f>
        <v>#N/A</v>
      </c>
      <c r="I1384" t="e">
        <f t="shared" si="207"/>
        <v>#N/A</v>
      </c>
    </row>
    <row r="1385" spans="1:9">
      <c r="A1385" t="s">
        <v>8862</v>
      </c>
      <c r="B1385" t="s">
        <v>8867</v>
      </c>
      <c r="C1385" t="s">
        <v>8442</v>
      </c>
      <c r="D1385" t="s">
        <v>8443</v>
      </c>
      <c r="E1385" t="s">
        <v>8868</v>
      </c>
      <c r="G1385" t="str">
        <f t="shared" si="212"/>
        <v>Device: Temperature is above warning threshold: &gt;{$TEMP_WARN:Device}</v>
      </c>
      <c r="H1385" t="e">
        <f>INDEX('7.0.17'!G:G,MATCH(G1385,'7.0.17'!F:F,0))</f>
        <v>#N/A</v>
      </c>
      <c r="I1385" t="e">
        <f t="shared" si="207"/>
        <v>#N/A</v>
      </c>
    </row>
    <row r="1386" spans="1:9">
      <c r="A1386" t="s">
        <v>8862</v>
      </c>
      <c r="B1386" t="s">
        <v>8867</v>
      </c>
      <c r="C1386" t="s">
        <v>8439</v>
      </c>
      <c r="D1386" t="s">
        <v>8440</v>
      </c>
      <c r="E1386" t="s">
        <v>8868</v>
      </c>
      <c r="G1386" t="str">
        <f t="shared" si="212"/>
        <v>Device: Temperature is above critical threshold: &gt;{$TEMP_CRIT:Device}</v>
      </c>
      <c r="H1386" t="e">
        <f>INDEX('7.0.17'!G:G,MATCH(G1386,'7.0.17'!F:F,0))</f>
        <v>#N/A</v>
      </c>
      <c r="I1386" t="e">
        <f t="shared" si="207"/>
        <v>#N/A</v>
      </c>
    </row>
    <row r="1387" spans="1:9">
      <c r="A1387" t="s">
        <v>8862</v>
      </c>
      <c r="B1387" t="s">
        <v>8867</v>
      </c>
      <c r="C1387" t="s">
        <v>8444</v>
      </c>
      <c r="D1387" t="s">
        <v>8445</v>
      </c>
      <c r="E1387" t="s">
        <v>8868</v>
      </c>
      <c r="G1387" t="str">
        <f t="shared" si="212"/>
        <v>Device: Temperature is too low: &lt;{$TEMP_CRIT_LOW:Device}</v>
      </c>
      <c r="H1387" t="e">
        <f>INDEX('7.0.17'!G:G,MATCH(G1387,'7.0.17'!F:F,0))</f>
        <v>#N/A</v>
      </c>
      <c r="I1387" t="e">
        <f t="shared" si="207"/>
        <v>#N/A</v>
      </c>
    </row>
    <row r="1388" spans="1:9">
      <c r="A1388" t="s">
        <v>8862</v>
      </c>
      <c r="B1388" t="s">
        <v>8564</v>
      </c>
      <c r="C1388" t="s">
        <v>8565</v>
      </c>
      <c r="G1388" t="str">
        <f>B1388&amp;":"&amp;C1388</f>
        <v>#{#SNMPINDEX}: High CPU utilization (over {$CPU.UTIL.CRIT}% for 5m)</v>
      </c>
      <c r="H1388" t="e">
        <f>INDEX('7.0.17'!G:G,MATCH(G1388,'7.0.17'!F:F,0))</f>
        <v>#N/A</v>
      </c>
      <c r="I1388" t="e">
        <f t="shared" si="207"/>
        <v>#N/A</v>
      </c>
    </row>
    <row r="1389" spans="1:9">
      <c r="A1389" t="s">
        <v>8862</v>
      </c>
      <c r="B1389" t="s">
        <v>8869</v>
      </c>
      <c r="C1389" t="s">
        <v>8512</v>
      </c>
      <c r="D1389" t="s">
        <v>8870</v>
      </c>
      <c r="G1389" t="str">
        <f>B1389&amp;":"&amp;C1389&amp;":"&amp;D1389</f>
        <v>Disk-{#SNMPINDEX}: Disk space is critically low (used &gt; {$VFS.FS.PUSED.MAX.CRIT:Disk-"{#SNMPINDEX}"}%)</v>
      </c>
      <c r="H1389" t="e">
        <f>INDEX('7.0.17'!G:G,MATCH(G1389,'7.0.17'!F:F,0))</f>
        <v>#N/A</v>
      </c>
      <c r="I1389" t="e">
        <f t="shared" si="207"/>
        <v>#N/A</v>
      </c>
    </row>
    <row r="1390" spans="1:9">
      <c r="A1390" t="s">
        <v>8862</v>
      </c>
      <c r="B1390" t="s">
        <v>8869</v>
      </c>
      <c r="C1390" t="s">
        <v>8513</v>
      </c>
      <c r="D1390" t="s">
        <v>8870</v>
      </c>
      <c r="G1390" t="str">
        <f>B1390&amp;":"&amp;C1390&amp;":"&amp;D1390</f>
        <v>Disk-{#SNMPINDEX}: Disk space is low (used &gt; {$VFS.FS.PUSED.MAX.WARN:Disk-"{#SNMPINDEX}"}%)</v>
      </c>
      <c r="H1390" t="e">
        <f>INDEX('7.0.17'!G:G,MATCH(G1390,'7.0.17'!F:F,0))</f>
        <v>#N/A</v>
      </c>
      <c r="I1390" t="e">
        <f t="shared" si="207"/>
        <v>#N/A</v>
      </c>
    </row>
    <row r="1391" spans="1:9">
      <c r="A1391" t="s">
        <v>8871</v>
      </c>
      <c r="B1391" t="s">
        <v>8872</v>
      </c>
      <c r="G1391" t="str">
        <f t="shared" ref="G1391:G1394" si="213">B1391</f>
        <v>Replication lag with primary is too high (over {$MONGODB.REPL.LAG.MAX.WARN} in 5m)</v>
      </c>
      <c r="H1391" t="e">
        <f>INDEX('7.0.17'!G:G,MATCH(G1391,'7.0.17'!F:F,0))</f>
        <v>#N/A</v>
      </c>
      <c r="I1391" t="e">
        <f t="shared" si="207"/>
        <v>#N/A</v>
      </c>
    </row>
    <row r="1392" spans="1:9">
      <c r="A1392" t="s">
        <v>8871</v>
      </c>
      <c r="B1392" t="s">
        <v>8873</v>
      </c>
      <c r="C1392" t="s">
        <v>8461</v>
      </c>
      <c r="G1392" t="str">
        <f t="shared" ref="G1392:G1422" si="214">B1392&amp;":"&amp;C1392</f>
        <v>Node in ReplicaSet changed the state (new state: {ITEM.VALUE})</v>
      </c>
      <c r="H1392" t="e">
        <f>INDEX('7.0.17'!G:G,MATCH(G1392,'7.0.17'!F:F,0))</f>
        <v>#N/A</v>
      </c>
      <c r="I1392" t="e">
        <f t="shared" si="207"/>
        <v>#N/A</v>
      </c>
    </row>
    <row r="1393" spans="1:9">
      <c r="A1393" t="s">
        <v>8871</v>
      </c>
      <c r="B1393" t="s">
        <v>8874</v>
      </c>
      <c r="G1393" t="str">
        <f t="shared" si="213"/>
        <v>Available WiredTiger read tickets less than {$MONGODB.WIRED_TIGER.TICKETS.AVAILABLE.MIN.WARN}</v>
      </c>
      <c r="H1393" t="e">
        <f>INDEX('7.0.17'!G:G,MATCH(G1393,'7.0.17'!F:F,0))</f>
        <v>#N/A</v>
      </c>
      <c r="I1393" t="e">
        <f t="shared" si="207"/>
        <v>#N/A</v>
      </c>
    </row>
    <row r="1394" spans="1:9">
      <c r="A1394" t="s">
        <v>8871</v>
      </c>
      <c r="B1394" t="s">
        <v>8875</v>
      </c>
      <c r="G1394" t="str">
        <f t="shared" si="213"/>
        <v>Available WiredTiger write tickets less than {$MONGODB.WIRED_TIGER.TICKETS.AVAILABLE.MIN.WARN}</v>
      </c>
      <c r="H1394" t="e">
        <f>INDEX('7.0.17'!G:G,MATCH(G1394,'7.0.17'!F:F,0))</f>
        <v>#N/A</v>
      </c>
      <c r="I1394" t="e">
        <f t="shared" si="207"/>
        <v>#N/A</v>
      </c>
    </row>
    <row r="1395" spans="1:9">
      <c r="A1395" t="s">
        <v>8876</v>
      </c>
      <c r="B1395" t="s">
        <v>8877</v>
      </c>
      <c r="C1395" t="s">
        <v>8878</v>
      </c>
      <c r="G1395" t="str">
        <f t="shared" si="214"/>
        <v>Battery: Critically low battery voltage (below {#VOLTAGE.MIN.CRIT}V for 5m)</v>
      </c>
      <c r="H1395" t="e">
        <f>INDEX('7.0.17'!G:G,MATCH(G1395,'7.0.17'!F:F,0))</f>
        <v>#N/A</v>
      </c>
      <c r="I1395" t="e">
        <f t="shared" si="207"/>
        <v>#N/A</v>
      </c>
    </row>
    <row r="1396" spans="1:9">
      <c r="A1396" t="s">
        <v>8876</v>
      </c>
      <c r="B1396" t="s">
        <v>8877</v>
      </c>
      <c r="C1396" t="s">
        <v>8879</v>
      </c>
      <c r="G1396" t="str">
        <f t="shared" si="214"/>
        <v>Battery: Low battery voltage (below {#VOLTAGE.MIN.WARN}V for 5m)</v>
      </c>
      <c r="H1396" t="e">
        <f>INDEX('7.0.17'!G:G,MATCH(G1396,'7.0.17'!F:F,0))</f>
        <v>#N/A</v>
      </c>
      <c r="I1396" t="e">
        <f t="shared" si="207"/>
        <v>#N/A</v>
      </c>
    </row>
    <row r="1397" spans="1:9">
      <c r="A1397" t="s">
        <v>8876</v>
      </c>
      <c r="B1397" t="s">
        <v>8877</v>
      </c>
      <c r="C1397" t="s">
        <v>8880</v>
      </c>
      <c r="G1397" t="str">
        <f t="shared" si="214"/>
        <v>Battery: Critically high battery voltage (over {#VOLTAGE.MAX.CRIT}V for 5m)</v>
      </c>
      <c r="H1397" t="e">
        <f>INDEX('7.0.17'!G:G,MATCH(G1397,'7.0.17'!F:F,0))</f>
        <v>#N/A</v>
      </c>
      <c r="I1397" t="e">
        <f t="shared" si="207"/>
        <v>#N/A</v>
      </c>
    </row>
    <row r="1398" spans="1:9">
      <c r="A1398" t="s">
        <v>8876</v>
      </c>
      <c r="B1398" t="s">
        <v>8877</v>
      </c>
      <c r="C1398" t="s">
        <v>8881</v>
      </c>
      <c r="G1398" t="str">
        <f t="shared" si="214"/>
        <v>Battery: High battery voltage (over {#VOLTAGE.MAX.WARN}V for 5m)</v>
      </c>
      <c r="H1398" t="e">
        <f>INDEX('7.0.17'!G:G,MATCH(G1398,'7.0.17'!F:F,0))</f>
        <v>#N/A</v>
      </c>
      <c r="I1398" t="e">
        <f t="shared" si="207"/>
        <v>#N/A</v>
      </c>
    </row>
    <row r="1399" spans="1:9">
      <c r="A1399" t="s">
        <v>8882</v>
      </c>
      <c r="B1399" t="s">
        <v>8877</v>
      </c>
      <c r="C1399" t="s">
        <v>8878</v>
      </c>
      <c r="G1399" t="str">
        <f t="shared" si="214"/>
        <v>Battery: Critically low battery voltage (below {#VOLTAGE.MIN.CRIT}V for 5m)</v>
      </c>
      <c r="H1399" t="e">
        <f>INDEX('7.0.17'!G:G,MATCH(G1399,'7.0.17'!F:F,0))</f>
        <v>#N/A</v>
      </c>
      <c r="I1399" t="e">
        <f t="shared" si="207"/>
        <v>#N/A</v>
      </c>
    </row>
    <row r="1400" spans="1:9">
      <c r="A1400" t="s">
        <v>8882</v>
      </c>
      <c r="B1400" t="s">
        <v>8877</v>
      </c>
      <c r="C1400" t="s">
        <v>8879</v>
      </c>
      <c r="G1400" t="str">
        <f t="shared" si="214"/>
        <v>Battery: Low battery voltage (below {#VOLTAGE.MIN.WARN}V for 5m)</v>
      </c>
      <c r="H1400" t="e">
        <f>INDEX('7.0.17'!G:G,MATCH(G1400,'7.0.17'!F:F,0))</f>
        <v>#N/A</v>
      </c>
      <c r="I1400" t="e">
        <f t="shared" si="207"/>
        <v>#N/A</v>
      </c>
    </row>
    <row r="1401" spans="1:9">
      <c r="A1401" t="s">
        <v>8882</v>
      </c>
      <c r="B1401" t="s">
        <v>8877</v>
      </c>
      <c r="C1401" t="s">
        <v>8880</v>
      </c>
      <c r="G1401" t="str">
        <f t="shared" si="214"/>
        <v>Battery: Critically high battery voltage (over {#VOLTAGE.MAX.CRIT}V for 5m)</v>
      </c>
      <c r="H1401" t="e">
        <f>INDEX('7.0.17'!G:G,MATCH(G1401,'7.0.17'!F:F,0))</f>
        <v>#N/A</v>
      </c>
      <c r="I1401" t="e">
        <f t="shared" si="207"/>
        <v>#N/A</v>
      </c>
    </row>
    <row r="1402" spans="1:9">
      <c r="A1402" t="s">
        <v>8882</v>
      </c>
      <c r="B1402" t="s">
        <v>8877</v>
      </c>
      <c r="C1402" t="s">
        <v>8881</v>
      </c>
      <c r="G1402" t="str">
        <f t="shared" si="214"/>
        <v>Battery: High battery voltage (over {#VOLTAGE.MAX.WARN}V for 5m)</v>
      </c>
      <c r="H1402" t="e">
        <f>INDEX('7.0.17'!G:G,MATCH(G1402,'7.0.17'!F:F,0))</f>
        <v>#N/A</v>
      </c>
      <c r="I1402" t="e">
        <f t="shared" si="207"/>
        <v>#N/A</v>
      </c>
    </row>
    <row r="1403" spans="1:9">
      <c r="A1403" t="s">
        <v>8883</v>
      </c>
      <c r="B1403" t="s">
        <v>8877</v>
      </c>
      <c r="C1403" t="s">
        <v>8878</v>
      </c>
      <c r="G1403" t="str">
        <f t="shared" si="214"/>
        <v>Battery: Critically low battery voltage (below {#VOLTAGE.MIN.CRIT}V for 5m)</v>
      </c>
      <c r="H1403" t="e">
        <f>INDEX('7.0.17'!G:G,MATCH(G1403,'7.0.17'!F:F,0))</f>
        <v>#N/A</v>
      </c>
      <c r="I1403" t="e">
        <f t="shared" si="207"/>
        <v>#N/A</v>
      </c>
    </row>
    <row r="1404" spans="1:9">
      <c r="A1404" t="s">
        <v>8883</v>
      </c>
      <c r="B1404" t="s">
        <v>8877</v>
      </c>
      <c r="C1404" t="s">
        <v>8879</v>
      </c>
      <c r="G1404" t="str">
        <f t="shared" si="214"/>
        <v>Battery: Low battery voltage (below {#VOLTAGE.MIN.WARN}V for 5m)</v>
      </c>
      <c r="H1404" t="e">
        <f>INDEX('7.0.17'!G:G,MATCH(G1404,'7.0.17'!F:F,0))</f>
        <v>#N/A</v>
      </c>
      <c r="I1404" t="e">
        <f t="shared" si="207"/>
        <v>#N/A</v>
      </c>
    </row>
    <row r="1405" spans="1:9">
      <c r="A1405" t="s">
        <v>8883</v>
      </c>
      <c r="B1405" t="s">
        <v>8877</v>
      </c>
      <c r="C1405" t="s">
        <v>8880</v>
      </c>
      <c r="G1405" t="str">
        <f t="shared" si="214"/>
        <v>Battery: Critically high battery voltage (over {#VOLTAGE.MAX.CRIT}V for 5m)</v>
      </c>
      <c r="H1405" t="e">
        <f>INDEX('7.0.17'!G:G,MATCH(G1405,'7.0.17'!F:F,0))</f>
        <v>#N/A</v>
      </c>
      <c r="I1405" t="e">
        <f t="shared" si="207"/>
        <v>#N/A</v>
      </c>
    </row>
    <row r="1406" spans="1:9">
      <c r="A1406" t="s">
        <v>8883</v>
      </c>
      <c r="B1406" t="s">
        <v>8877</v>
      </c>
      <c r="C1406" t="s">
        <v>8881</v>
      </c>
      <c r="G1406" t="str">
        <f t="shared" si="214"/>
        <v>Battery: High battery voltage (over {#VOLTAGE.MAX.WARN}V for 5m)</v>
      </c>
      <c r="H1406" t="e">
        <f>INDEX('7.0.17'!G:G,MATCH(G1406,'7.0.17'!F:F,0))</f>
        <v>#N/A</v>
      </c>
      <c r="I1406" t="e">
        <f t="shared" si="207"/>
        <v>#N/A</v>
      </c>
    </row>
    <row r="1407" spans="1:9">
      <c r="A1407" t="s">
        <v>8884</v>
      </c>
      <c r="B1407" t="s">
        <v>8877</v>
      </c>
      <c r="C1407" t="s">
        <v>8878</v>
      </c>
      <c r="G1407" t="str">
        <f t="shared" si="214"/>
        <v>Battery: Critically low battery voltage (below {#VOLTAGE.MIN.CRIT}V for 5m)</v>
      </c>
      <c r="H1407" t="e">
        <f>INDEX('7.0.17'!G:G,MATCH(G1407,'7.0.17'!F:F,0))</f>
        <v>#N/A</v>
      </c>
      <c r="I1407" t="e">
        <f t="shared" si="207"/>
        <v>#N/A</v>
      </c>
    </row>
    <row r="1408" spans="1:9">
      <c r="A1408" t="s">
        <v>8884</v>
      </c>
      <c r="B1408" t="s">
        <v>8877</v>
      </c>
      <c r="C1408" t="s">
        <v>8879</v>
      </c>
      <c r="G1408" t="str">
        <f t="shared" si="214"/>
        <v>Battery: Low battery voltage (below {#VOLTAGE.MIN.WARN}V for 5m)</v>
      </c>
      <c r="H1408" t="e">
        <f>INDEX('7.0.17'!G:G,MATCH(G1408,'7.0.17'!F:F,0))</f>
        <v>#N/A</v>
      </c>
      <c r="I1408" t="e">
        <f t="shared" si="207"/>
        <v>#N/A</v>
      </c>
    </row>
    <row r="1409" spans="1:9">
      <c r="A1409" t="s">
        <v>8884</v>
      </c>
      <c r="B1409" t="s">
        <v>8877</v>
      </c>
      <c r="C1409" t="s">
        <v>8880</v>
      </c>
      <c r="G1409" t="str">
        <f t="shared" si="214"/>
        <v>Battery: Critically high battery voltage (over {#VOLTAGE.MAX.CRIT}V for 5m)</v>
      </c>
      <c r="H1409" t="e">
        <f>INDEX('7.0.17'!G:G,MATCH(G1409,'7.0.17'!F:F,0))</f>
        <v>#N/A</v>
      </c>
      <c r="I1409" t="e">
        <f t="shared" si="207"/>
        <v>#N/A</v>
      </c>
    </row>
    <row r="1410" spans="1:9">
      <c r="A1410" t="s">
        <v>8884</v>
      </c>
      <c r="B1410" t="s">
        <v>8877</v>
      </c>
      <c r="C1410" t="s">
        <v>8881</v>
      </c>
      <c r="G1410" t="str">
        <f t="shared" si="214"/>
        <v>Battery: High battery voltage (over {#VOLTAGE.MAX.WARN}V for 5m)</v>
      </c>
      <c r="H1410" t="e">
        <f>INDEX('7.0.17'!G:G,MATCH(G1410,'7.0.17'!F:F,0))</f>
        <v>#N/A</v>
      </c>
      <c r="I1410" t="e">
        <f t="shared" si="207"/>
        <v>#N/A</v>
      </c>
    </row>
    <row r="1411" spans="1:9">
      <c r="A1411" t="s">
        <v>8885</v>
      </c>
      <c r="B1411" t="s">
        <v>8877</v>
      </c>
      <c r="C1411" t="s">
        <v>8878</v>
      </c>
      <c r="G1411" t="str">
        <f t="shared" si="214"/>
        <v>Battery: Critically low battery voltage (below {#VOLTAGE.MIN.CRIT}V for 5m)</v>
      </c>
      <c r="H1411" t="e">
        <f>INDEX('7.0.17'!G:G,MATCH(G1411,'7.0.17'!F:F,0))</f>
        <v>#N/A</v>
      </c>
      <c r="I1411" t="e">
        <f t="shared" ref="I1411:I1474" si="215">A1411&amp;": "&amp;H1411</f>
        <v>#N/A</v>
      </c>
    </row>
    <row r="1412" spans="1:9">
      <c r="A1412" t="s">
        <v>8885</v>
      </c>
      <c r="B1412" t="s">
        <v>8877</v>
      </c>
      <c r="C1412" t="s">
        <v>8879</v>
      </c>
      <c r="G1412" t="str">
        <f t="shared" si="214"/>
        <v>Battery: Low battery voltage (below {#VOLTAGE.MIN.WARN}V for 5m)</v>
      </c>
      <c r="H1412" t="e">
        <f>INDEX('7.0.17'!G:G,MATCH(G1412,'7.0.17'!F:F,0))</f>
        <v>#N/A</v>
      </c>
      <c r="I1412" t="e">
        <f t="shared" si="215"/>
        <v>#N/A</v>
      </c>
    </row>
    <row r="1413" spans="1:9">
      <c r="A1413" t="s">
        <v>8885</v>
      </c>
      <c r="B1413" t="s">
        <v>8877</v>
      </c>
      <c r="C1413" t="s">
        <v>8880</v>
      </c>
      <c r="G1413" t="str">
        <f t="shared" si="214"/>
        <v>Battery: Critically high battery voltage (over {#VOLTAGE.MAX.CRIT}V for 5m)</v>
      </c>
      <c r="H1413" t="e">
        <f>INDEX('7.0.17'!G:G,MATCH(G1413,'7.0.17'!F:F,0))</f>
        <v>#N/A</v>
      </c>
      <c r="I1413" t="e">
        <f t="shared" si="215"/>
        <v>#N/A</v>
      </c>
    </row>
    <row r="1414" spans="1:9">
      <c r="A1414" t="s">
        <v>8885</v>
      </c>
      <c r="B1414" t="s">
        <v>8877</v>
      </c>
      <c r="C1414" t="s">
        <v>8881</v>
      </c>
      <c r="G1414" t="str">
        <f t="shared" si="214"/>
        <v>Battery: High battery voltage (over {#VOLTAGE.MAX.WARN}V for 5m)</v>
      </c>
      <c r="H1414" t="e">
        <f>INDEX('7.0.17'!G:G,MATCH(G1414,'7.0.17'!F:F,0))</f>
        <v>#N/A</v>
      </c>
      <c r="I1414" t="e">
        <f t="shared" si="215"/>
        <v>#N/A</v>
      </c>
    </row>
    <row r="1415" spans="1:9">
      <c r="A1415" t="s">
        <v>8886</v>
      </c>
      <c r="B1415" t="s">
        <v>8877</v>
      </c>
      <c r="C1415" t="s">
        <v>8878</v>
      </c>
      <c r="G1415" t="str">
        <f t="shared" si="214"/>
        <v>Battery: Critically low battery voltage (below {#VOLTAGE.MIN.CRIT}V for 5m)</v>
      </c>
      <c r="H1415" t="e">
        <f>INDEX('7.0.17'!G:G,MATCH(G1415,'7.0.17'!F:F,0))</f>
        <v>#N/A</v>
      </c>
      <c r="I1415" t="e">
        <f t="shared" si="215"/>
        <v>#N/A</v>
      </c>
    </row>
    <row r="1416" spans="1:9">
      <c r="A1416" t="s">
        <v>8886</v>
      </c>
      <c r="B1416" t="s">
        <v>8877</v>
      </c>
      <c r="C1416" t="s">
        <v>8879</v>
      </c>
      <c r="G1416" t="str">
        <f t="shared" si="214"/>
        <v>Battery: Low battery voltage (below {#VOLTAGE.MIN.WARN}V for 5m)</v>
      </c>
      <c r="H1416" t="e">
        <f>INDEX('7.0.17'!G:G,MATCH(G1416,'7.0.17'!F:F,0))</f>
        <v>#N/A</v>
      </c>
      <c r="I1416" t="e">
        <f t="shared" si="215"/>
        <v>#N/A</v>
      </c>
    </row>
    <row r="1417" spans="1:9">
      <c r="A1417" t="s">
        <v>8886</v>
      </c>
      <c r="B1417" t="s">
        <v>8877</v>
      </c>
      <c r="C1417" t="s">
        <v>8880</v>
      </c>
      <c r="G1417" t="str">
        <f t="shared" si="214"/>
        <v>Battery: Critically high battery voltage (over {#VOLTAGE.MAX.CRIT}V for 5m)</v>
      </c>
      <c r="H1417" t="e">
        <f>INDEX('7.0.17'!G:G,MATCH(G1417,'7.0.17'!F:F,0))</f>
        <v>#N/A</v>
      </c>
      <c r="I1417" t="e">
        <f t="shared" si="215"/>
        <v>#N/A</v>
      </c>
    </row>
    <row r="1418" spans="1:9">
      <c r="A1418" t="s">
        <v>8886</v>
      </c>
      <c r="B1418" t="s">
        <v>8877</v>
      </c>
      <c r="C1418" t="s">
        <v>8881</v>
      </c>
      <c r="G1418" t="str">
        <f t="shared" si="214"/>
        <v>Battery: High battery voltage (over {#VOLTAGE.MAX.WARN}V for 5m)</v>
      </c>
      <c r="H1418" t="e">
        <f>INDEX('7.0.17'!G:G,MATCH(G1418,'7.0.17'!F:F,0))</f>
        <v>#N/A</v>
      </c>
      <c r="I1418" t="e">
        <f t="shared" si="215"/>
        <v>#N/A</v>
      </c>
    </row>
    <row r="1419" spans="1:9">
      <c r="A1419" t="s">
        <v>8887</v>
      </c>
      <c r="B1419" t="s">
        <v>8877</v>
      </c>
      <c r="C1419" t="s">
        <v>8878</v>
      </c>
      <c r="G1419" t="str">
        <f t="shared" si="214"/>
        <v>Battery: Critically low battery voltage (below {#VOLTAGE.MIN.CRIT}V for 5m)</v>
      </c>
      <c r="H1419" t="e">
        <f>INDEX('7.0.17'!G:G,MATCH(G1419,'7.0.17'!F:F,0))</f>
        <v>#N/A</v>
      </c>
      <c r="I1419" t="e">
        <f t="shared" si="215"/>
        <v>#N/A</v>
      </c>
    </row>
    <row r="1420" spans="1:9">
      <c r="A1420" t="s">
        <v>8887</v>
      </c>
      <c r="B1420" t="s">
        <v>8877</v>
      </c>
      <c r="C1420" t="s">
        <v>8879</v>
      </c>
      <c r="G1420" t="str">
        <f t="shared" si="214"/>
        <v>Battery: Low battery voltage (below {#VOLTAGE.MIN.WARN}V for 5m)</v>
      </c>
      <c r="H1420" t="e">
        <f>INDEX('7.0.17'!G:G,MATCH(G1420,'7.0.17'!F:F,0))</f>
        <v>#N/A</v>
      </c>
      <c r="I1420" t="e">
        <f t="shared" si="215"/>
        <v>#N/A</v>
      </c>
    </row>
    <row r="1421" spans="1:9">
      <c r="A1421" t="s">
        <v>8887</v>
      </c>
      <c r="B1421" t="s">
        <v>8877</v>
      </c>
      <c r="C1421" t="s">
        <v>8880</v>
      </c>
      <c r="G1421" t="str">
        <f t="shared" si="214"/>
        <v>Battery: Critically high battery voltage (over {#VOLTAGE.MAX.CRIT}V for 5m)</v>
      </c>
      <c r="H1421" t="e">
        <f>INDEX('7.0.17'!G:G,MATCH(G1421,'7.0.17'!F:F,0))</f>
        <v>#N/A</v>
      </c>
      <c r="I1421" t="e">
        <f t="shared" si="215"/>
        <v>#N/A</v>
      </c>
    </row>
    <row r="1422" spans="1:9">
      <c r="A1422" t="s">
        <v>8887</v>
      </c>
      <c r="B1422" t="s">
        <v>8877</v>
      </c>
      <c r="C1422" t="s">
        <v>8881</v>
      </c>
      <c r="G1422" t="str">
        <f t="shared" si="214"/>
        <v>Battery: High battery voltage (over {#VOLTAGE.MAX.WARN}V for 5m)</v>
      </c>
      <c r="H1422" t="e">
        <f>INDEX('7.0.17'!G:G,MATCH(G1422,'7.0.17'!F:F,0))</f>
        <v>#N/A</v>
      </c>
      <c r="I1422" t="e">
        <f t="shared" si="215"/>
        <v>#N/A</v>
      </c>
    </row>
    <row r="1423" spans="1:9">
      <c r="A1423" t="s">
        <v>8888</v>
      </c>
      <c r="B1423" t="s">
        <v>8889</v>
      </c>
      <c r="G1423" t="str">
        <f>B1423</f>
        <v>Too many HTTP requests with code 4xx (over {$NGINX.HTTP.UPSTREAM.4XX.MAX.WARN}% for 5m)</v>
      </c>
      <c r="H1423" t="e">
        <f>INDEX('7.0.17'!G:G,MATCH(G1423,'7.0.17'!F:F,0))</f>
        <v>#N/A</v>
      </c>
      <c r="I1423" t="e">
        <f t="shared" si="215"/>
        <v>#N/A</v>
      </c>
    </row>
    <row r="1424" spans="1:9">
      <c r="A1424" t="s">
        <v>8888</v>
      </c>
      <c r="B1424" t="s">
        <v>8890</v>
      </c>
      <c r="G1424" t="str">
        <f>B1424</f>
        <v>Too many HTTP requests with code 5xx (over {$NGINX.HTTP.UPSTREAM.5XX.MAX.WARN}% for 5m)</v>
      </c>
      <c r="H1424" t="e">
        <f>INDEX('7.0.17'!G:G,MATCH(G1424,'7.0.17'!F:F,0))</f>
        <v>#N/A</v>
      </c>
      <c r="I1424" t="e">
        <f t="shared" si="215"/>
        <v>#N/A</v>
      </c>
    </row>
    <row r="1425" spans="1:9">
      <c r="A1425" t="s">
        <v>8891</v>
      </c>
      <c r="B1425" t="s">
        <v>8892</v>
      </c>
      <c r="C1425" t="s">
        <v>8460</v>
      </c>
      <c r="D1425" t="s">
        <v>8461</v>
      </c>
      <c r="G1425" t="str">
        <f>B1425&amp;":"&amp;C1425&amp;":"&amp;D1425</f>
        <v>{#NODENAME}: Version has changed (new version: {ITEM.VALUE})</v>
      </c>
      <c r="H1425" t="e">
        <f>INDEX('7.0.17'!G:G,MATCH(G1425,'7.0.17'!F:F,0))</f>
        <v>#N/A</v>
      </c>
      <c r="I1425" t="e">
        <f t="shared" si="215"/>
        <v>#N/A</v>
      </c>
    </row>
    <row r="1426" spans="1:9">
      <c r="A1426" t="s">
        <v>8891</v>
      </c>
      <c r="B1426" t="s">
        <v>8892</v>
      </c>
      <c r="C1426" t="s">
        <v>8893</v>
      </c>
      <c r="G1426" t="str">
        <f t="shared" ref="G1426:G1428" si="216">B1426&amp;":"&amp;C1426</f>
        <v>{#NODENAME}: Node has been restarted (uptime &lt; 10m)</v>
      </c>
      <c r="H1426" t="e">
        <f>INDEX('7.0.17'!G:G,MATCH(G1426,'7.0.17'!F:F,0))</f>
        <v>#N/A</v>
      </c>
      <c r="I1426" t="e">
        <f t="shared" si="215"/>
        <v>#N/A</v>
      </c>
    </row>
    <row r="1427" spans="1:9">
      <c r="A1427" t="s">
        <v>8894</v>
      </c>
      <c r="B1427" t="s">
        <v>8895</v>
      </c>
      <c r="C1427" t="s">
        <v>8896</v>
      </c>
      <c r="G1427" t="str">
        <f t="shared" si="216"/>
        <v>Node {#NODE.NAME}: {HOST.NAME} has been restarted (uptime &lt; 10m)</v>
      </c>
      <c r="H1427" t="e">
        <f>INDEX('7.0.17'!G:G,MATCH(G1427,'7.0.17'!F:F,0))</f>
        <v>#N/A</v>
      </c>
      <c r="I1427" t="e">
        <f t="shared" si="215"/>
        <v>#N/A</v>
      </c>
    </row>
    <row r="1428" spans="1:9">
      <c r="A1428" t="s">
        <v>8894</v>
      </c>
      <c r="B1428" t="s">
        <v>8895</v>
      </c>
      <c r="C1428" t="s">
        <v>8565</v>
      </c>
      <c r="G1428" t="str">
        <f t="shared" si="216"/>
        <v>Node {#NODE.NAME}: High CPU utilization (over {$CPU.UTIL.CRIT}% for 5m)</v>
      </c>
      <c r="H1428" t="e">
        <f>INDEX('7.0.17'!G:G,MATCH(G1428,'7.0.17'!F:F,0))</f>
        <v>#N/A</v>
      </c>
      <c r="I1428" t="e">
        <f t="shared" si="215"/>
        <v>#N/A</v>
      </c>
    </row>
    <row r="1429" spans="1:9">
      <c r="A1429" t="s">
        <v>8894</v>
      </c>
      <c r="B1429" t="s">
        <v>8897</v>
      </c>
      <c r="C1429" t="s">
        <v>8898</v>
      </c>
      <c r="D1429" t="s">
        <v>8899</v>
      </c>
      <c r="E1429" t="s">
        <v>8900</v>
      </c>
      <c r="G1429" t="str">
        <f t="shared" ref="G1429:G1431" si="217">B1429&amp;":"&amp;C1429&amp;":"&amp;D1429&amp;":"&amp;E1429</f>
        <v>{#VSERVER}{#FSNAME}: Disk space is too low (below {$FAS3220.FS.AVAIL.MIN.CRIT:{#FSNAME}} for {$FAS3220.FS.TIME:{#FSNAME}})</v>
      </c>
      <c r="H1429" t="e">
        <f>INDEX('7.0.17'!G:G,MATCH(G1429,'7.0.17'!F:F,0))</f>
        <v>#N/A</v>
      </c>
      <c r="I1429" t="e">
        <f t="shared" si="215"/>
        <v>#N/A</v>
      </c>
    </row>
    <row r="1430" spans="1:9">
      <c r="A1430" t="s">
        <v>8894</v>
      </c>
      <c r="B1430" t="s">
        <v>8897</v>
      </c>
      <c r="C1430" t="s">
        <v>8901</v>
      </c>
      <c r="D1430" t="s">
        <v>8902</v>
      </c>
      <c r="E1430" t="s">
        <v>8900</v>
      </c>
      <c r="G1430" t="str">
        <f t="shared" si="217"/>
        <v>{#VSERVER}{#FSNAME}: Disk space is too low (used over {$FAS3220.FS.PUSED.MAX.CRIT:{#FSNAME}}% for {$FAS3220.FS.TIME:{#FSNAME}})</v>
      </c>
      <c r="H1430" t="e">
        <f>INDEX('7.0.17'!G:G,MATCH(G1430,'7.0.17'!F:F,0))</f>
        <v>#N/A</v>
      </c>
      <c r="I1430" t="e">
        <f t="shared" si="215"/>
        <v>#N/A</v>
      </c>
    </row>
    <row r="1431" spans="1:9">
      <c r="A1431" t="s">
        <v>8894</v>
      </c>
      <c r="B1431" t="s">
        <v>8731</v>
      </c>
      <c r="C1431" t="s">
        <v>8903</v>
      </c>
      <c r="D1431" t="s">
        <v>8434</v>
      </c>
      <c r="E1431" t="s">
        <v>8435</v>
      </c>
      <c r="G1431" t="str">
        <f t="shared" si="217"/>
        <v>Node {#NODE}: port {#IFNAME} ({#TYPE}): High error rate (&gt;{$IF.ERRORS.WARN:{#IFNAME}} for 5m)</v>
      </c>
      <c r="H1431" t="e">
        <f>INDEX('7.0.17'!G:G,MATCH(G1431,'7.0.17'!F:F,0))</f>
        <v>#N/A</v>
      </c>
      <c r="I1431" t="e">
        <f t="shared" si="215"/>
        <v>#N/A</v>
      </c>
    </row>
    <row r="1432" spans="1:9">
      <c r="A1432" t="s">
        <v>8904</v>
      </c>
      <c r="B1432" t="s">
        <v>8433</v>
      </c>
      <c r="C1432" t="s">
        <v>8434</v>
      </c>
      <c r="D1432" t="s">
        <v>8435</v>
      </c>
      <c r="G1432" t="str">
        <f t="shared" ref="G1432:G1438" si="218">B1432&amp;":"&amp;C1432&amp;":"&amp;D1432</f>
        <v>Interface {#IFNAME}({#IFALIAS}): High error rate (&gt;{$IF.ERRORS.WARN:{#IFNAME}} for 5m)</v>
      </c>
      <c r="H1432" t="e">
        <f>INDEX('7.0.17'!G:G,MATCH(G1432,'7.0.17'!F:F,0))</f>
        <v>#N/A</v>
      </c>
      <c r="I1432" t="e">
        <f t="shared" si="215"/>
        <v>#N/A</v>
      </c>
    </row>
    <row r="1433" spans="1:9">
      <c r="A1433" t="s">
        <v>8904</v>
      </c>
      <c r="B1433" t="s">
        <v>8433</v>
      </c>
      <c r="C1433" t="s">
        <v>8436</v>
      </c>
      <c r="D1433" t="s">
        <v>8437</v>
      </c>
      <c r="G1433" t="str">
        <f t="shared" si="218"/>
        <v>Interface {#IFNAME}({#IFALIAS}): High bandwidth usage (&gt;{$IF.UTIL.MAX:{#IFNAME}}%)</v>
      </c>
      <c r="H1433" t="e">
        <f>INDEX('7.0.17'!G:G,MATCH(G1433,'7.0.17'!F:F,0))</f>
        <v>#N/A</v>
      </c>
      <c r="I1433" t="e">
        <f t="shared" si="215"/>
        <v>#N/A</v>
      </c>
    </row>
    <row r="1434" spans="1:9">
      <c r="A1434" t="s">
        <v>8904</v>
      </c>
      <c r="B1434" t="s">
        <v>8603</v>
      </c>
      <c r="C1434" t="s">
        <v>8439</v>
      </c>
      <c r="D1434" t="s">
        <v>8440</v>
      </c>
      <c r="E1434" t="s">
        <v>8441</v>
      </c>
      <c r="G1434" t="str">
        <f t="shared" ref="G1434:G1436" si="219">B1434&amp;":"&amp;C1434&amp;":"&amp;D1434&amp;":"&amp;E1434</f>
        <v>#{#SNMPVALUE}: Temperature is above critical threshold: &gt;{$TEMP_CRIT:{#SNMPVALUE}}</v>
      </c>
      <c r="H1434" t="e">
        <f>INDEX('7.0.17'!G:G,MATCH(G1434,'7.0.17'!F:F,0))</f>
        <v>#N/A</v>
      </c>
      <c r="I1434" t="e">
        <f t="shared" si="215"/>
        <v>#N/A</v>
      </c>
    </row>
    <row r="1435" spans="1:9">
      <c r="A1435" t="s">
        <v>8904</v>
      </c>
      <c r="B1435" t="s">
        <v>8603</v>
      </c>
      <c r="C1435" t="s">
        <v>8442</v>
      </c>
      <c r="D1435" t="s">
        <v>8443</v>
      </c>
      <c r="E1435" t="s">
        <v>8441</v>
      </c>
      <c r="G1435" t="str">
        <f t="shared" si="219"/>
        <v>#{#SNMPVALUE}: Temperature is above warning threshold: &gt;{$TEMP_WARN:{#SNMPVALUE}}</v>
      </c>
      <c r="H1435" t="e">
        <f>INDEX('7.0.17'!G:G,MATCH(G1435,'7.0.17'!F:F,0))</f>
        <v>#N/A</v>
      </c>
      <c r="I1435" t="e">
        <f t="shared" si="215"/>
        <v>#N/A</v>
      </c>
    </row>
    <row r="1436" spans="1:9">
      <c r="A1436" t="s">
        <v>8904</v>
      </c>
      <c r="B1436" t="s">
        <v>8603</v>
      </c>
      <c r="C1436" t="s">
        <v>8444</v>
      </c>
      <c r="D1436" t="s">
        <v>8445</v>
      </c>
      <c r="E1436" t="s">
        <v>8441</v>
      </c>
      <c r="G1436" t="str">
        <f t="shared" si="219"/>
        <v>#{#SNMPVALUE}: Temperature is too low: &lt;{$TEMP_CRIT_LOW:{#SNMPVALUE}}</v>
      </c>
      <c r="H1436" t="e">
        <f>INDEX('7.0.17'!G:G,MATCH(G1436,'7.0.17'!F:F,0))</f>
        <v>#N/A</v>
      </c>
      <c r="I1436" t="e">
        <f t="shared" si="215"/>
        <v>#N/A</v>
      </c>
    </row>
    <row r="1437" spans="1:9">
      <c r="A1437" t="s">
        <v>8905</v>
      </c>
      <c r="B1437" t="s">
        <v>8433</v>
      </c>
      <c r="C1437" t="s">
        <v>8434</v>
      </c>
      <c r="D1437" t="s">
        <v>8435</v>
      </c>
      <c r="G1437" t="str">
        <f t="shared" si="218"/>
        <v>Interface {#IFNAME}({#IFALIAS}): High error rate (&gt;{$IF.ERRORS.WARN:{#IFNAME}} for 5m)</v>
      </c>
      <c r="H1437" t="e">
        <f>INDEX('7.0.17'!G:G,MATCH(G1437,'7.0.17'!F:F,0))</f>
        <v>#N/A</v>
      </c>
      <c r="I1437" t="e">
        <f t="shared" si="215"/>
        <v>#N/A</v>
      </c>
    </row>
    <row r="1438" spans="1:9">
      <c r="A1438" t="s">
        <v>8905</v>
      </c>
      <c r="B1438" t="s">
        <v>8433</v>
      </c>
      <c r="C1438" t="s">
        <v>8436</v>
      </c>
      <c r="D1438" t="s">
        <v>8437</v>
      </c>
      <c r="G1438" t="str">
        <f t="shared" si="218"/>
        <v>Interface {#IFNAME}({#IFALIAS}): High bandwidth usage (&gt;{$IF.UTIL.MAX:{#IFNAME}}%)</v>
      </c>
      <c r="H1438" t="e">
        <f>INDEX('7.0.17'!G:G,MATCH(G1438,'7.0.17'!F:F,0))</f>
        <v>#N/A</v>
      </c>
      <c r="I1438" t="e">
        <f t="shared" si="215"/>
        <v>#N/A</v>
      </c>
    </row>
    <row r="1439" spans="1:9">
      <c r="A1439" t="s">
        <v>8906</v>
      </c>
      <c r="B1439" t="s">
        <v>8907</v>
      </c>
      <c r="G1439" t="str">
        <f t="shared" ref="G1439:G1444" si="220">B1439</f>
        <v>Service response time is too high (over {$NGINX.RESPONSE_TIME.MAX.WARN}s for 5m)</v>
      </c>
      <c r="H1439" t="e">
        <f>INDEX('7.0.17'!G:G,MATCH(G1439,'7.0.17'!F:F,0))</f>
        <v>#N/A</v>
      </c>
      <c r="I1439" t="e">
        <f t="shared" si="215"/>
        <v>#N/A</v>
      </c>
    </row>
    <row r="1440" spans="1:9">
      <c r="A1440" t="s">
        <v>8906</v>
      </c>
      <c r="B1440" t="s">
        <v>8908</v>
      </c>
      <c r="G1440" t="str">
        <f t="shared" si="220"/>
        <v>High connections drop rate (more than {$NGINX.DROP_RATE.MAX.WARN} for 5m)</v>
      </c>
      <c r="H1440" t="e">
        <f>INDEX('7.0.17'!G:G,MATCH(G1440,'7.0.17'!F:F,0))</f>
        <v>#N/A</v>
      </c>
      <c r="I1440" t="e">
        <f t="shared" si="215"/>
        <v>#N/A</v>
      </c>
    </row>
    <row r="1441" spans="1:9">
      <c r="A1441" t="s">
        <v>8906</v>
      </c>
      <c r="B1441" t="s">
        <v>8909</v>
      </c>
      <c r="G1441" t="str">
        <f t="shared" si="220"/>
        <v>Failed to fetch stub status page (or no data for 30m)</v>
      </c>
      <c r="H1441" t="e">
        <f>INDEX('7.0.17'!G:G,MATCH(G1441,'7.0.17'!F:F,0))</f>
        <v>#N/A</v>
      </c>
      <c r="I1441" t="e">
        <f t="shared" si="215"/>
        <v>#N/A</v>
      </c>
    </row>
    <row r="1442" spans="1:9">
      <c r="A1442" t="s">
        <v>8906</v>
      </c>
      <c r="B1442" t="s">
        <v>8907</v>
      </c>
      <c r="G1442" t="str">
        <f t="shared" si="220"/>
        <v>Service response time is too high (over {$NGINX.RESPONSE_TIME.MAX.WARN}s for 5m)</v>
      </c>
      <c r="H1442" t="e">
        <f>INDEX('7.0.17'!G:G,MATCH(G1442,'7.0.17'!F:F,0))</f>
        <v>#N/A</v>
      </c>
      <c r="I1442" t="e">
        <f t="shared" si="215"/>
        <v>#N/A</v>
      </c>
    </row>
    <row r="1443" spans="1:9">
      <c r="A1443" t="s">
        <v>8906</v>
      </c>
      <c r="B1443" t="s">
        <v>8908</v>
      </c>
      <c r="G1443" t="str">
        <f t="shared" si="220"/>
        <v>High connections drop rate (more than {$NGINX.DROP_RATE.MAX.WARN} for 5m)</v>
      </c>
      <c r="H1443" t="e">
        <f>INDEX('7.0.17'!G:G,MATCH(G1443,'7.0.17'!F:F,0))</f>
        <v>#N/A</v>
      </c>
      <c r="I1443" t="e">
        <f t="shared" si="215"/>
        <v>#N/A</v>
      </c>
    </row>
    <row r="1444" spans="1:9">
      <c r="A1444" t="s">
        <v>8906</v>
      </c>
      <c r="B1444" t="s">
        <v>8909</v>
      </c>
      <c r="G1444" t="str">
        <f t="shared" si="220"/>
        <v>Failed to fetch stub status page (or no data for 30m)</v>
      </c>
      <c r="H1444" t="e">
        <f>INDEX('7.0.17'!G:G,MATCH(G1444,'7.0.17'!F:F,0))</f>
        <v>#N/A</v>
      </c>
      <c r="I1444" t="e">
        <f t="shared" si="215"/>
        <v>#N/A</v>
      </c>
    </row>
    <row r="1445" spans="1:9">
      <c r="A1445" t="s">
        <v>8910</v>
      </c>
      <c r="B1445" t="s">
        <v>8642</v>
      </c>
      <c r="C1445" t="s">
        <v>8383</v>
      </c>
      <c r="D1445" t="s">
        <v>8384</v>
      </c>
      <c r="G1445" t="str">
        <f t="shared" ref="G1445:G1448" si="221">B1445&amp;":"&amp;C1445&amp;":"&amp;D1445</f>
        <v>FS [{#FSNAME}]: Running out of free inodes (free &lt; {$VFS.FS.INODE.PFREE.MIN.WARN:{#FSNAME}}%)</v>
      </c>
      <c r="H1445" t="e">
        <f>INDEX('7.0.17'!G:G,MATCH(G1445,'7.0.17'!F:F,0))</f>
        <v>#N/A</v>
      </c>
      <c r="I1445" t="e">
        <f t="shared" si="215"/>
        <v>#N/A</v>
      </c>
    </row>
    <row r="1446" spans="1:9">
      <c r="A1446" t="s">
        <v>8910</v>
      </c>
      <c r="B1446" t="s">
        <v>8511</v>
      </c>
      <c r="C1446" t="s">
        <v>8385</v>
      </c>
      <c r="D1446" t="s">
        <v>8384</v>
      </c>
      <c r="G1446" t="str">
        <f t="shared" si="221"/>
        <v>{#FSNAME}: Running out of free inodes (free &lt; {$VFS.FS.INODE.PFREE.MIN.CRIT:{#FSNAME}}%)</v>
      </c>
      <c r="H1446" t="e">
        <f>INDEX('7.0.17'!G:G,MATCH(G1446,'7.0.17'!F:F,0))</f>
        <v>#N/A</v>
      </c>
      <c r="I1446" t="e">
        <f t="shared" si="215"/>
        <v>#N/A</v>
      </c>
    </row>
    <row r="1447" spans="1:9">
      <c r="A1447" t="s">
        <v>8910</v>
      </c>
      <c r="B1447" t="s">
        <v>8642</v>
      </c>
      <c r="C1447" t="s">
        <v>8387</v>
      </c>
      <c r="D1447" t="s">
        <v>8388</v>
      </c>
      <c r="G1447" t="str">
        <f t="shared" si="221"/>
        <v>FS [{#FSNAME}]: Space is low (used &gt; {$VFS.FS.PUSED.MAX.WARN:{#FSNAME}}%, total {{?last(//vfs.fs.dependent.size[{#FSNAME},total])/1024/1024/1024}.fmtnum(1)}GB)</v>
      </c>
      <c r="H1447" t="e">
        <f>INDEX('7.0.17'!G:G,MATCH(G1447,'7.0.17'!F:F,0))</f>
        <v>#N/A</v>
      </c>
      <c r="I1447" t="e">
        <f t="shared" si="215"/>
        <v>#N/A</v>
      </c>
    </row>
    <row r="1448" spans="1:9">
      <c r="A1448" t="s">
        <v>8910</v>
      </c>
      <c r="B1448" t="s">
        <v>8642</v>
      </c>
      <c r="C1448" t="s">
        <v>8389</v>
      </c>
      <c r="D1448" t="s">
        <v>8388</v>
      </c>
      <c r="G1448" t="str">
        <f t="shared" si="221"/>
        <v>FS [{#FSNAME}]: Space is critically low (used &gt; {$VFS.FS.PUSED.MAX.CRIT:{#FSNAME}}%, total {{?last(//vfs.fs.dependent.size[{#FSNAME},total])/1024/1024/1024}.fmtnum(1)}GB)</v>
      </c>
      <c r="H1448" t="e">
        <f>INDEX('7.0.17'!G:G,MATCH(G1448,'7.0.17'!F:F,0))</f>
        <v>#N/A</v>
      </c>
      <c r="I1448" t="e">
        <f t="shared" si="215"/>
        <v>#N/A</v>
      </c>
    </row>
    <row r="1449" spans="1:9">
      <c r="A1449" t="s">
        <v>8911</v>
      </c>
      <c r="B1449" t="s">
        <v>8912</v>
      </c>
      <c r="C1449" t="s">
        <v>8913</v>
      </c>
      <c r="G1449" t="str">
        <f t="shared" ref="G1449:G1454" si="222">B1449&amp;":"&amp;C1449</f>
        <v>[{#LOCATION}, {#COUNTRY}]: Temperature is too low (below {$TEMP.CRIT.LOW} for 30m)</v>
      </c>
      <c r="H1449" t="e">
        <f>INDEX('7.0.17'!G:G,MATCH(G1449,'7.0.17'!F:F,0))</f>
        <v>#N/A</v>
      </c>
      <c r="I1449" t="e">
        <f t="shared" si="215"/>
        <v>#N/A</v>
      </c>
    </row>
    <row r="1450" spans="1:9">
      <c r="A1450" t="s">
        <v>8911</v>
      </c>
      <c r="B1450" t="s">
        <v>8912</v>
      </c>
      <c r="C1450" t="s">
        <v>8914</v>
      </c>
      <c r="G1450" t="str">
        <f t="shared" si="222"/>
        <v>[{#LOCATION}, {#COUNTRY}]: Temperature is too high (over {$TEMP.CRIT.HIGH} for 30m)</v>
      </c>
      <c r="H1450" t="e">
        <f>INDEX('7.0.17'!G:G,MATCH(G1450,'7.0.17'!F:F,0))</f>
        <v>#N/A</v>
      </c>
      <c r="I1450" t="e">
        <f t="shared" si="215"/>
        <v>#N/A</v>
      </c>
    </row>
    <row r="1451" spans="1:9">
      <c r="A1451" t="s">
        <v>8915</v>
      </c>
      <c r="B1451" t="s">
        <v>8916</v>
      </c>
      <c r="C1451" t="s">
        <v>8917</v>
      </c>
      <c r="G1451" t="str">
        <f t="shared" si="222"/>
        <v>VNIC [{#NAME}]: Current conntrack table utilization is high (util &gt;= {$OCI.COMPUTE.VNIC.CONNTRACK.UTIL.WARN}%)</v>
      </c>
      <c r="H1451" t="e">
        <f>INDEX('7.0.17'!G:G,MATCH(G1451,'7.0.17'!F:F,0))</f>
        <v>#N/A</v>
      </c>
      <c r="I1451" t="e">
        <f t="shared" si="215"/>
        <v>#N/A</v>
      </c>
    </row>
    <row r="1452" spans="1:9">
      <c r="A1452" t="s">
        <v>8915</v>
      </c>
      <c r="B1452" t="s">
        <v>8916</v>
      </c>
      <c r="C1452" t="s">
        <v>8918</v>
      </c>
      <c r="G1452" t="str">
        <f t="shared" si="222"/>
        <v>VNIC [{#NAME}]: Current conntrack table utilization is too high (util &gt;= {$OCI.COMPUTE.VNIC.CONNTRACK.UTIL.HIGH}%)</v>
      </c>
      <c r="H1452" t="e">
        <f>INDEX('7.0.17'!G:G,MATCH(G1452,'7.0.17'!F:F,0))</f>
        <v>#N/A</v>
      </c>
      <c r="I1452" t="e">
        <f t="shared" si="215"/>
        <v>#N/A</v>
      </c>
    </row>
    <row r="1453" spans="1:9">
      <c r="A1453" t="s">
        <v>8919</v>
      </c>
      <c r="B1453" t="s">
        <v>8920</v>
      </c>
      <c r="C1453" t="s">
        <v>8921</v>
      </c>
      <c r="G1453" t="str">
        <f t="shared" si="222"/>
        <v>ASM '{#DGNAME}': Disk group usage is too high (over {$ORACLE.ASM.USED.PCT.MAX.HIGH}% for 5m)</v>
      </c>
      <c r="H1453" t="e">
        <f>INDEX('7.0.17'!G:G,MATCH(G1453,'7.0.17'!F:F,0))</f>
        <v>#N/A</v>
      </c>
      <c r="I1453" t="e">
        <f t="shared" si="215"/>
        <v>#N/A</v>
      </c>
    </row>
    <row r="1454" spans="1:9">
      <c r="A1454" t="s">
        <v>8919</v>
      </c>
      <c r="B1454" t="s">
        <v>8920</v>
      </c>
      <c r="C1454" t="s">
        <v>8922</v>
      </c>
      <c r="G1454" t="str">
        <f t="shared" si="222"/>
        <v>ASM '{#DGNAME}': Disk group usage is too high (over {$ORACLE.ASM.USED.PCT.MAX.WARN}% for 5m)</v>
      </c>
      <c r="H1454" t="e">
        <f>INDEX('7.0.17'!G:G,MATCH(G1454,'7.0.17'!F:F,0))</f>
        <v>#N/A</v>
      </c>
      <c r="I1454" t="e">
        <f t="shared" si="215"/>
        <v>#N/A</v>
      </c>
    </row>
    <row r="1455" spans="1:9">
      <c r="A1455" t="s">
        <v>8919</v>
      </c>
      <c r="B1455" t="s">
        <v>8923</v>
      </c>
      <c r="C1455" t="s">
        <v>8924</v>
      </c>
      <c r="D1455" t="s">
        <v>8461</v>
      </c>
      <c r="G1455" t="str">
        <f>A1455&amp;": "&amp;B1455&amp;":"&amp;C1455&amp;":"&amp;D1455</f>
        <v>Oracle: Database '{#DBNAME}': Open status has changed (new value received: {ITEM.VALUE})</v>
      </c>
      <c r="H1455" t="str">
        <f>INDEX('7.0.17'!G:G,MATCH(G1455,'7.0.17'!F:F,0))</f>
        <v>Oracle: Oracle数据库"{#DBNAME}": 打开状态已变更(收到新值: {ITEM.VALUE})</v>
      </c>
      <c r="I1455" t="str">
        <f t="shared" si="215"/>
        <v>Oracle: Oracle: Oracle数据库"{#DBNAME}": 打开状态已变更(收到新值: {ITEM.VALUE})</v>
      </c>
    </row>
    <row r="1456" spans="1:9">
      <c r="A1456" t="s">
        <v>8919</v>
      </c>
      <c r="B1456" t="s">
        <v>8923</v>
      </c>
      <c r="C1456" t="s">
        <v>8925</v>
      </c>
      <c r="D1456" t="s">
        <v>8461</v>
      </c>
      <c r="G1456" t="str">
        <f>A1456&amp;": "&amp;B1456&amp;":"&amp;C1456&amp;":"&amp;D1456</f>
        <v>Oracle: Database '{#DBNAME}': Role has changed (new value received: {ITEM.VALUE})</v>
      </c>
      <c r="H1456" t="str">
        <f>INDEX('7.0.17'!G:G,MATCH(G1456,'7.0.17'!F:F,0))</f>
        <v>Oracle: Oracle数据库"{#DBNAME}": 角色已变更(收到新值: {ITEM.VALUE})</v>
      </c>
      <c r="I1456" t="str">
        <f t="shared" si="215"/>
        <v>Oracle: Oracle: Oracle数据库"{#DBNAME}": 角色已变更(收到新值: {ITEM.VALUE})</v>
      </c>
    </row>
    <row r="1457" spans="1:9">
      <c r="A1457" t="s">
        <v>8919</v>
      </c>
      <c r="B1457" t="s">
        <v>8923</v>
      </c>
      <c r="C1457" t="s">
        <v>8924</v>
      </c>
      <c r="D1457" t="s">
        <v>8461</v>
      </c>
      <c r="G1457" t="str">
        <f>A1457&amp;": "&amp;B1457&amp;":"&amp;C1457&amp;":"&amp;D1457</f>
        <v>Oracle: Database '{#DBNAME}': Open status has changed (new value received: {ITEM.VALUE})</v>
      </c>
      <c r="H1457" t="str">
        <f>INDEX('7.0.17'!G:G,MATCH(G1457,'7.0.17'!F:F,0))</f>
        <v>Oracle: Oracle数据库"{#DBNAME}": 打开状态已变更(收到新值: {ITEM.VALUE})</v>
      </c>
      <c r="I1457" t="str">
        <f t="shared" si="215"/>
        <v>Oracle: Oracle: Oracle数据库"{#DBNAME}": 打开状态已变更(收到新值: {ITEM.VALUE})</v>
      </c>
    </row>
    <row r="1458" spans="1:9">
      <c r="A1458" t="s">
        <v>8919</v>
      </c>
      <c r="B1458" t="s">
        <v>8926</v>
      </c>
      <c r="C1458" t="s">
        <v>8927</v>
      </c>
      <c r="D1458" t="s">
        <v>8461</v>
      </c>
      <c r="G1458" t="str">
        <f>A1458&amp;": "&amp;B1458&amp;":"&amp;C1458&amp;":"&amp;D1458</f>
        <v>Oracle: '{#CON_NAME}' TBS '{#TABLESPACE}': Tablespace status has changed (new value received: {ITEM.VALUE})</v>
      </c>
      <c r="H1458" t="str">
        <f>INDEX('7.0.17'!G:G,MATCH(G1458,'7.0.17'!F:F,0))</f>
        <v>Oracle: Oracle '{#CON_NAME}' TBS '{#TABLESPACE}': 表空间状态已变更(收到新值: {ITEM.VALUE})</v>
      </c>
      <c r="I1458" t="str">
        <f t="shared" si="215"/>
        <v>Oracle: Oracle: Oracle '{#CON_NAME}' TBS '{#TABLESPACE}': 表空间状态已变更(收到新值: {ITEM.VALUE})</v>
      </c>
    </row>
    <row r="1459" spans="1:9">
      <c r="A1459" t="s">
        <v>8919</v>
      </c>
      <c r="B1459" t="s">
        <v>8926</v>
      </c>
      <c r="C1459" t="s">
        <v>8928</v>
      </c>
      <c r="G1459" t="str">
        <f t="shared" ref="G1459:G1464" si="223">A1459&amp;": "&amp;B1459&amp;":"&amp;C1459</f>
        <v>Oracle: '{#CON_NAME}' TBS '{#TABLESPACE}': Tablespace usage is too high (over {$ORACLE.TBS.USED.PCT.MAX.HIGH}% for 5m).</v>
      </c>
      <c r="H1459" t="str">
        <f>INDEX('7.0.17'!G:G,MATCH(G1459,'7.0.17'!F:F,0))</f>
        <v>Oracle: Oracle '{#CON_NAME}' TBS '{#TABLESPACE}': 表空间使用率太高(超过{$ORACLE.TBS.USED.PCT.MAX.HIGH}%达5分钟).</v>
      </c>
      <c r="I1459" t="str">
        <f t="shared" si="215"/>
        <v>Oracle: Oracle: Oracle '{#CON_NAME}' TBS '{#TABLESPACE}': 表空间使用率太高(超过{$ORACLE.TBS.USED.PCT.MAX.HIGH}%达5分钟).</v>
      </c>
    </row>
    <row r="1460" spans="1:9">
      <c r="A1460" t="s">
        <v>8919</v>
      </c>
      <c r="B1460" t="s">
        <v>8926</v>
      </c>
      <c r="C1460" t="s">
        <v>8929</v>
      </c>
      <c r="G1460" t="str">
        <f t="shared" si="223"/>
        <v>Oracle: '{#CON_NAME}' TBS '{#TABLESPACE}': Tablespace usage is too high (over {$ORACLE.TBS.USED.PCT.MAX.WARN}% for 5m).</v>
      </c>
      <c r="H1460" t="str">
        <f>INDEX('7.0.17'!G:G,MATCH(G1460,'7.0.17'!F:F,0))</f>
        <v>Oracle: Oracle '{#CON_NAME}' TBS '{#TABLESPACE}': 表空间使用率太高(超过{$ORACLE.TBS.USED.PCT.MAX.WARN}%达5分钟).</v>
      </c>
      <c r="I1460" t="str">
        <f t="shared" si="215"/>
        <v>Oracle: Oracle: Oracle '{#CON_NAME}' TBS '{#TABLESPACE}': 表空间使用率太高(超过{$ORACLE.TBS.USED.PCT.MAX.WARN}%达5分钟).</v>
      </c>
    </row>
    <row r="1461" spans="1:9">
      <c r="A1461" t="s">
        <v>8919</v>
      </c>
      <c r="B1461" t="s">
        <v>8926</v>
      </c>
      <c r="C1461" t="s">
        <v>8930</v>
      </c>
      <c r="G1461" t="str">
        <f t="shared" si="223"/>
        <v>Oracle: '{#CON_NAME}' TBS '{#TABLESPACE}': Tablespace usage from MAX is too high (over {$ORACLE.TBS.USED.PCT.FROM.MAX.HIGH}% for 5m).</v>
      </c>
      <c r="H1461" t="str">
        <f>INDEX('7.0.17'!G:G,MATCH(G1461,'7.0.17'!F:F,0))</f>
        <v>Oracle: Oracle '{#CON_NAME}' TBS '{#TABLESPACE}': 表空间使用率过高(超过{ORACLE.TBS.USED.PCT.FROM.MAX.HIGH}%达5分钟). </v>
      </c>
      <c r="I1461" t="str">
        <f t="shared" si="215"/>
        <v>Oracle: Oracle: Oracle '{#CON_NAME}' TBS '{#TABLESPACE}': 表空间使用率过高(超过{ORACLE.TBS.USED.PCT.FROM.MAX.HIGH}%达5分钟). </v>
      </c>
    </row>
    <row r="1462" spans="1:9">
      <c r="A1462" t="s">
        <v>8919</v>
      </c>
      <c r="B1462" t="s">
        <v>8926</v>
      </c>
      <c r="C1462" t="s">
        <v>8931</v>
      </c>
      <c r="G1462" t="str">
        <f t="shared" si="223"/>
        <v>Oracle: '{#CON_NAME}' TBS '{#TABLESPACE}': Tablespace usage from MAX is too high (over {$ORACLE.TBS.USED.PCT.FROM.MAX.WARN}% for 5m).</v>
      </c>
      <c r="H1462" t="str">
        <f>INDEX('7.0.17'!G:G,MATCH(G1462,'7.0.17'!F:F,0))</f>
        <v>Oracle: Oracle '{#CON_NAME}' TBS '{#TABLESPACE}': 表空间使用率过高(超过{ORACLE.TBS.USED.PCT.FROM.MAX.WARN}%达5分钟).</v>
      </c>
      <c r="I1462" t="str">
        <f t="shared" si="215"/>
        <v>Oracle: Oracle: Oracle '{#CON_NAME}' TBS '{#TABLESPACE}': 表空间使用率过高(超过{ORACLE.TBS.USED.PCT.FROM.MAX.WARN}%达5分钟).</v>
      </c>
    </row>
    <row r="1463" spans="1:9">
      <c r="A1463" t="s">
        <v>8919</v>
      </c>
      <c r="B1463" t="s">
        <v>8926</v>
      </c>
      <c r="C1463" t="s">
        <v>8932</v>
      </c>
      <c r="G1463" t="str">
        <f t="shared" si="223"/>
        <v>Oracle: '{#CON_NAME}' TBS '{#TABLESPACE}': Tablespace utilization is too high (over {$ORACLE.TBS.UTIL.PCT.MAX.HIGH}% for 5m).</v>
      </c>
      <c r="H1463" t="str">
        <f>INDEX('7.0.17'!G:G,MATCH(G1463,'7.0.17'!F:F,0))</f>
        <v>Oracle: Oracle '{#CON_NAME}' TBS '{#TABLESPACE}': 表空间利用率太高(超过{$ORACLE.TBS.UTIL.PCT.MAX.HIGH}%达5分钟).</v>
      </c>
      <c r="I1463" t="str">
        <f t="shared" si="215"/>
        <v>Oracle: Oracle: Oracle '{#CON_NAME}' TBS '{#TABLESPACE}': 表空间利用率太高(超过{$ORACLE.TBS.UTIL.PCT.MAX.HIGH}%达5分钟).</v>
      </c>
    </row>
    <row r="1464" spans="1:9">
      <c r="A1464" t="s">
        <v>8919</v>
      </c>
      <c r="B1464" t="s">
        <v>8926</v>
      </c>
      <c r="C1464" t="s">
        <v>8933</v>
      </c>
      <c r="G1464" t="str">
        <f t="shared" si="223"/>
        <v>Oracle: '{#CON_NAME}' TBS '{#TABLESPACE}': Tablespace utilization is too high (over {$ORACLE.TBS.UTIL.PCT.MAX.WARN}% for 5m).</v>
      </c>
      <c r="H1464" t="str">
        <f>INDEX('7.0.17'!G:G,MATCH(G1464,'7.0.17'!F:F,0))</f>
        <v>Oracle: Oracle '{#CON_NAME}' TBS '{#TABLESPACE}': 表空间使用率过高(超过{$ORACLE.TBS.UTIL.PCT.MAX.WARN}%达5分钟).</v>
      </c>
      <c r="I1464" t="str">
        <f t="shared" si="215"/>
        <v>Oracle: Oracle: Oracle '{#CON_NAME}' TBS '{#TABLESPACE}': 表空间使用率过高(超过{$ORACLE.TBS.UTIL.PCT.MAX.WARN}%达5分钟).</v>
      </c>
    </row>
    <row r="1465" spans="1:9">
      <c r="A1465" t="s">
        <v>8919</v>
      </c>
      <c r="B1465" t="s">
        <v>8920</v>
      </c>
      <c r="C1465" t="s">
        <v>8921</v>
      </c>
      <c r="G1465" t="str">
        <f>B1465&amp;":"&amp;C1465</f>
        <v>ASM '{#DGNAME}': Disk group usage is too high (over {$ORACLE.ASM.USED.PCT.MAX.HIGH}% for 5m)</v>
      </c>
      <c r="H1465" t="e">
        <f>INDEX('7.0.17'!G:G,MATCH(G1465,'7.0.17'!F:F,0))</f>
        <v>#N/A</v>
      </c>
      <c r="I1465" t="e">
        <f t="shared" si="215"/>
        <v>#N/A</v>
      </c>
    </row>
    <row r="1466" spans="1:9">
      <c r="A1466" t="s">
        <v>8919</v>
      </c>
      <c r="B1466" t="s">
        <v>8920</v>
      </c>
      <c r="C1466" t="s">
        <v>8922</v>
      </c>
      <c r="G1466" t="str">
        <f>B1466&amp;":"&amp;C1466</f>
        <v>ASM '{#DGNAME}': Disk group usage is too high (over {$ORACLE.ASM.USED.PCT.MAX.WARN}% for 5m)</v>
      </c>
      <c r="H1466" t="e">
        <f>INDEX('7.0.17'!G:G,MATCH(G1466,'7.0.17'!F:F,0))</f>
        <v>#N/A</v>
      </c>
      <c r="I1466" t="e">
        <f t="shared" si="215"/>
        <v>#N/A</v>
      </c>
    </row>
    <row r="1467" spans="1:9">
      <c r="A1467" t="s">
        <v>8919</v>
      </c>
      <c r="B1467" t="s">
        <v>8923</v>
      </c>
      <c r="C1467" t="s">
        <v>8924</v>
      </c>
      <c r="D1467" t="s">
        <v>8461</v>
      </c>
      <c r="G1467" t="str">
        <f>A1467&amp;": "&amp;B1467&amp;":"&amp;C1467&amp;":"&amp;D1467</f>
        <v>Oracle: Database '{#DBNAME}': Open status has changed (new value received: {ITEM.VALUE})</v>
      </c>
      <c r="H1467" t="str">
        <f>INDEX('7.0.17'!G:G,MATCH(G1467,'7.0.17'!F:F,0))</f>
        <v>Oracle: Oracle数据库"{#DBNAME}": 打开状态已变更(收到新值: {ITEM.VALUE})</v>
      </c>
      <c r="I1467" t="str">
        <f t="shared" si="215"/>
        <v>Oracle: Oracle: Oracle数据库"{#DBNAME}": 打开状态已变更(收到新值: {ITEM.VALUE})</v>
      </c>
    </row>
    <row r="1468" spans="1:9">
      <c r="A1468" t="s">
        <v>8919</v>
      </c>
      <c r="B1468" t="s">
        <v>8923</v>
      </c>
      <c r="C1468" t="s">
        <v>8925</v>
      </c>
      <c r="D1468" t="s">
        <v>8461</v>
      </c>
      <c r="G1468" t="str">
        <f>A1468&amp;": "&amp;B1468&amp;":"&amp;C1468&amp;":"&amp;D1468</f>
        <v>Oracle: Database '{#DBNAME}': Role has changed (new value received: {ITEM.VALUE})</v>
      </c>
      <c r="H1468" t="str">
        <f>INDEX('7.0.17'!G:G,MATCH(G1468,'7.0.17'!F:F,0))</f>
        <v>Oracle: Oracle数据库"{#DBNAME}": 角色已变更(收到新值: {ITEM.VALUE})</v>
      </c>
      <c r="I1468" t="str">
        <f t="shared" si="215"/>
        <v>Oracle: Oracle: Oracle数据库"{#DBNAME}": 角色已变更(收到新值: {ITEM.VALUE})</v>
      </c>
    </row>
    <row r="1469" spans="1:9">
      <c r="A1469" t="s">
        <v>8919</v>
      </c>
      <c r="B1469" t="s">
        <v>8923</v>
      </c>
      <c r="C1469" t="s">
        <v>8924</v>
      </c>
      <c r="D1469" t="s">
        <v>8461</v>
      </c>
      <c r="G1469" t="str">
        <f>A1469&amp;": "&amp;B1469&amp;":"&amp;C1469&amp;":"&amp;D1469</f>
        <v>Oracle: Database '{#DBNAME}': Open status has changed (new value received: {ITEM.VALUE})</v>
      </c>
      <c r="H1469" t="str">
        <f>INDEX('7.0.17'!G:G,MATCH(G1469,'7.0.17'!F:F,0))</f>
        <v>Oracle: Oracle数据库"{#DBNAME}": 打开状态已变更(收到新值: {ITEM.VALUE})</v>
      </c>
      <c r="I1469" t="str">
        <f t="shared" si="215"/>
        <v>Oracle: Oracle: Oracle数据库"{#DBNAME}": 打开状态已变更(收到新值: {ITEM.VALUE})</v>
      </c>
    </row>
    <row r="1470" spans="1:9">
      <c r="A1470" t="s">
        <v>8919</v>
      </c>
      <c r="B1470" t="s">
        <v>8926</v>
      </c>
      <c r="C1470" t="s">
        <v>8927</v>
      </c>
      <c r="D1470" t="s">
        <v>8461</v>
      </c>
      <c r="G1470" t="str">
        <f>A1470&amp;": "&amp;B1470&amp;":"&amp;C1470&amp;":"&amp;D1470</f>
        <v>Oracle: '{#CON_NAME}' TBS '{#TABLESPACE}': Tablespace status has changed (new value received: {ITEM.VALUE})</v>
      </c>
      <c r="H1470" t="str">
        <f>INDEX('7.0.17'!G:G,MATCH(G1470,'7.0.17'!F:F,0))</f>
        <v>Oracle: Oracle '{#CON_NAME}' TBS '{#TABLESPACE}': 表空间状态已变更(收到新值: {ITEM.VALUE})</v>
      </c>
      <c r="I1470" t="str">
        <f t="shared" si="215"/>
        <v>Oracle: Oracle: Oracle '{#CON_NAME}' TBS '{#TABLESPACE}': 表空间状态已变更(收到新值: {ITEM.VALUE})</v>
      </c>
    </row>
    <row r="1471" spans="1:9">
      <c r="A1471" t="s">
        <v>8919</v>
      </c>
      <c r="B1471" t="s">
        <v>8926</v>
      </c>
      <c r="C1471" t="s">
        <v>8928</v>
      </c>
      <c r="G1471" t="str">
        <f t="shared" ref="G1471:G1476" si="224">A1471&amp;": "&amp;B1471&amp;":"&amp;C1471</f>
        <v>Oracle: '{#CON_NAME}' TBS '{#TABLESPACE}': Tablespace usage is too high (over {$ORACLE.TBS.USED.PCT.MAX.HIGH}% for 5m).</v>
      </c>
      <c r="H1471" t="str">
        <f>INDEX('7.0.17'!G:G,MATCH(G1471,'7.0.17'!F:F,0))</f>
        <v>Oracle: Oracle '{#CON_NAME}' TBS '{#TABLESPACE}': 表空间使用率太高(超过{$ORACLE.TBS.USED.PCT.MAX.HIGH}%达5分钟).</v>
      </c>
      <c r="I1471" t="str">
        <f t="shared" si="215"/>
        <v>Oracle: Oracle: Oracle '{#CON_NAME}' TBS '{#TABLESPACE}': 表空间使用率太高(超过{$ORACLE.TBS.USED.PCT.MAX.HIGH}%达5分钟).</v>
      </c>
    </row>
    <row r="1472" spans="1:9">
      <c r="A1472" t="s">
        <v>8919</v>
      </c>
      <c r="B1472" t="s">
        <v>8926</v>
      </c>
      <c r="C1472" t="s">
        <v>8929</v>
      </c>
      <c r="G1472" t="str">
        <f t="shared" si="224"/>
        <v>Oracle: '{#CON_NAME}' TBS '{#TABLESPACE}': Tablespace usage is too high (over {$ORACLE.TBS.USED.PCT.MAX.WARN}% for 5m).</v>
      </c>
      <c r="H1472" t="str">
        <f>INDEX('7.0.17'!G:G,MATCH(G1472,'7.0.17'!F:F,0))</f>
        <v>Oracle: Oracle '{#CON_NAME}' TBS '{#TABLESPACE}': 表空间使用率太高(超过{$ORACLE.TBS.USED.PCT.MAX.WARN}%达5分钟).</v>
      </c>
      <c r="I1472" t="str">
        <f t="shared" si="215"/>
        <v>Oracle: Oracle: Oracle '{#CON_NAME}' TBS '{#TABLESPACE}': 表空间使用率太高(超过{$ORACLE.TBS.USED.PCT.MAX.WARN}%达5分钟).</v>
      </c>
    </row>
    <row r="1473" spans="1:9">
      <c r="A1473" t="s">
        <v>8919</v>
      </c>
      <c r="B1473" t="s">
        <v>8926</v>
      </c>
      <c r="C1473" t="s">
        <v>8934</v>
      </c>
      <c r="G1473" t="str">
        <f t="shared" si="224"/>
        <v>Oracle: '{#CON_NAME}' TBS '{#TABLESPACE}': Tablespace utilization from MAX is too high (over {$ORACLE.TBS.USED.PCT.FROM.MAX.WARN}% for 5m).</v>
      </c>
      <c r="H1473" t="str">
        <f>INDEX('7.0.17'!G:G,MATCH(G1473,'7.0.17'!F:F,0))</f>
        <v>Oracle: Oracle '{#CON_NAME}' TBS '{#TABLESPACE}': 表空间从最大值的使用率过高(超过{$ORACLE.TBS.USED.PCT.FROM.MAX.WARN}%持续5分钟).</v>
      </c>
      <c r="I1473" t="str">
        <f t="shared" si="215"/>
        <v>Oracle: Oracle: Oracle '{#CON_NAME}' TBS '{#TABLESPACE}': 表空间从最大值的使用率过高(超过{$ORACLE.TBS.USED.PCT.FROM.MAX.WARN}%持续5分钟).</v>
      </c>
    </row>
    <row r="1474" spans="1:9">
      <c r="A1474" t="s">
        <v>8919</v>
      </c>
      <c r="B1474" t="s">
        <v>8926</v>
      </c>
      <c r="C1474" t="s">
        <v>8935</v>
      </c>
      <c r="G1474" t="str">
        <f t="shared" si="224"/>
        <v>Oracle: '{#CON_NAME}' TBS '{#TABLESPACE}': Tablespace utilization from MAX is too high (over {$ORACLE.TBS.USED.PCT.FROM.MAX.HIGH}% for 5m).</v>
      </c>
      <c r="H1474" t="str">
        <f>INDEX('7.0.17'!G:G,MATCH(G1474,'7.0.17'!F:F,0))</f>
        <v>Oracle: Oracle '{#CON_NAME}' TBS '{#TABLESPACE}': 表空间从最大值的使用率过高(超过{$ORACLE.TBS.USED.PCT.FROM.MAX.HIGH}%持续5分钟).</v>
      </c>
      <c r="I1474" t="str">
        <f t="shared" si="215"/>
        <v>Oracle: Oracle: Oracle '{#CON_NAME}' TBS '{#TABLESPACE}': 表空间从最大值的使用率过高(超过{$ORACLE.TBS.USED.PCT.FROM.MAX.HIGH}%持续5分钟).</v>
      </c>
    </row>
    <row r="1475" spans="1:9">
      <c r="A1475" t="s">
        <v>8919</v>
      </c>
      <c r="B1475" t="s">
        <v>8926</v>
      </c>
      <c r="C1475" t="s">
        <v>8932</v>
      </c>
      <c r="G1475" t="str">
        <f t="shared" si="224"/>
        <v>Oracle: '{#CON_NAME}' TBS '{#TABLESPACE}': Tablespace utilization is too high (over {$ORACLE.TBS.UTIL.PCT.MAX.HIGH}% for 5m).</v>
      </c>
      <c r="H1475" t="str">
        <f>INDEX('7.0.17'!G:G,MATCH(G1475,'7.0.17'!F:F,0))</f>
        <v>Oracle: Oracle '{#CON_NAME}' TBS '{#TABLESPACE}': 表空间利用率太高(超过{$ORACLE.TBS.UTIL.PCT.MAX.HIGH}%达5分钟).</v>
      </c>
      <c r="I1475" t="str">
        <f t="shared" ref="I1475:I1538" si="225">A1475&amp;": "&amp;H1475</f>
        <v>Oracle: Oracle: Oracle '{#CON_NAME}' TBS '{#TABLESPACE}': 表空间利用率太高(超过{$ORACLE.TBS.UTIL.PCT.MAX.HIGH}%达5分钟).</v>
      </c>
    </row>
    <row r="1476" spans="1:9">
      <c r="A1476" t="s">
        <v>8919</v>
      </c>
      <c r="B1476" t="s">
        <v>8926</v>
      </c>
      <c r="C1476" t="s">
        <v>8933</v>
      </c>
      <c r="G1476" t="str">
        <f t="shared" si="224"/>
        <v>Oracle: '{#CON_NAME}' TBS '{#TABLESPACE}': Tablespace utilization is too high (over {$ORACLE.TBS.UTIL.PCT.MAX.WARN}% for 5m).</v>
      </c>
      <c r="H1476" t="str">
        <f>INDEX('7.0.17'!G:G,MATCH(G1476,'7.0.17'!F:F,0))</f>
        <v>Oracle: Oracle '{#CON_NAME}' TBS '{#TABLESPACE}': 表空间使用率过高(超过{$ORACLE.TBS.UTIL.PCT.MAX.WARN}%达5分钟).</v>
      </c>
      <c r="I1476" t="str">
        <f t="shared" si="225"/>
        <v>Oracle: Oracle: Oracle '{#CON_NAME}' TBS '{#TABLESPACE}': 表空间使用率过高(超过{$ORACLE.TBS.UTIL.PCT.MAX.WARN}%达5分钟).</v>
      </c>
    </row>
    <row r="1477" spans="1:9">
      <c r="A1477" t="s">
        <v>8936</v>
      </c>
      <c r="B1477" t="s">
        <v>8937</v>
      </c>
      <c r="G1477" t="str">
        <f>B1477</f>
        <v>Failed to fetch info data (or no data for 30m)</v>
      </c>
      <c r="H1477" t="e">
        <f>INDEX('7.0.17'!G:G,MATCH(G1477,'7.0.17'!F:F,0))</f>
        <v>#N/A</v>
      </c>
      <c r="I1477" t="e">
        <f t="shared" si="225"/>
        <v>#N/A</v>
      </c>
    </row>
    <row r="1478" spans="1:9">
      <c r="A1478" t="s">
        <v>8936</v>
      </c>
      <c r="B1478" t="s">
        <v>8937</v>
      </c>
      <c r="G1478" t="str">
        <f>B1478</f>
        <v>Failed to fetch info data (or no data for 30m)</v>
      </c>
      <c r="H1478" t="e">
        <f>INDEX('7.0.17'!G:G,MATCH(G1478,'7.0.17'!F:F,0))</f>
        <v>#N/A</v>
      </c>
      <c r="I1478" t="e">
        <f t="shared" si="225"/>
        <v>#N/A</v>
      </c>
    </row>
    <row r="1479" spans="1:9">
      <c r="A1479" t="s">
        <v>8938</v>
      </c>
      <c r="B1479" t="s">
        <v>8939</v>
      </c>
      <c r="C1479" t="s">
        <v>8940</v>
      </c>
      <c r="D1479" t="s">
        <v>8941</v>
      </c>
      <c r="G1479" t="str">
        <f t="shared" ref="G1479:G1497" si="226">B1479&amp;":"&amp;C1479&amp;":"&amp;D1479</f>
        <v>DB [{#DBNAME}]: Too many recovery conflicts (over {$PG.CONFLICTS.MAX.WARN:"{#DBNAME}"} in 5m)</v>
      </c>
      <c r="H1479" t="e">
        <f>INDEX('7.0.17'!G:G,MATCH(G1479,'7.0.17'!F:F,0))</f>
        <v>#N/A</v>
      </c>
      <c r="I1479" t="e">
        <f t="shared" si="225"/>
        <v>#N/A</v>
      </c>
    </row>
    <row r="1480" spans="1:9">
      <c r="A1480" t="s">
        <v>8938</v>
      </c>
      <c r="B1480" t="s">
        <v>8939</v>
      </c>
      <c r="C1480" t="s">
        <v>8942</v>
      </c>
      <c r="D1480" t="s">
        <v>8941</v>
      </c>
      <c r="G1480" t="str">
        <f t="shared" si="226"/>
        <v>DB [{#DBNAME}]: Deadlock occurred (over {$PG.DEADLOCKS.MAX.WARN:"{#DBNAME}"} in 5m)</v>
      </c>
      <c r="H1480" t="e">
        <f>INDEX('7.0.17'!G:G,MATCH(G1480,'7.0.17'!F:F,0))</f>
        <v>#N/A</v>
      </c>
      <c r="I1480" t="e">
        <f t="shared" si="225"/>
        <v>#N/A</v>
      </c>
    </row>
    <row r="1481" spans="1:9">
      <c r="A1481" t="s">
        <v>8938</v>
      </c>
      <c r="B1481" t="s">
        <v>8939</v>
      </c>
      <c r="C1481" t="s">
        <v>8943</v>
      </c>
      <c r="D1481" t="s">
        <v>8941</v>
      </c>
      <c r="G1481" t="str">
        <f t="shared" si="226"/>
        <v>DB [{#DBNAME}]: Too many slow queries (over {$PG.SLOW_QUERIES.MAX.WARN:"{#DBNAME}"} in 5m)</v>
      </c>
      <c r="H1481" t="e">
        <f>INDEX('7.0.17'!G:G,MATCH(G1481,'7.0.17'!F:F,0))</f>
        <v>#N/A</v>
      </c>
      <c r="I1481" t="e">
        <f t="shared" si="225"/>
        <v>#N/A</v>
      </c>
    </row>
    <row r="1482" spans="1:9">
      <c r="A1482" t="s">
        <v>8938</v>
      </c>
      <c r="B1482" t="s">
        <v>8939</v>
      </c>
      <c r="C1482" t="s">
        <v>8940</v>
      </c>
      <c r="D1482" t="s">
        <v>8941</v>
      </c>
      <c r="G1482" t="str">
        <f t="shared" si="226"/>
        <v>DB [{#DBNAME}]: Too many recovery conflicts (over {$PG.CONFLICTS.MAX.WARN:"{#DBNAME}"} in 5m)</v>
      </c>
      <c r="H1482" t="e">
        <f>INDEX('7.0.17'!G:G,MATCH(G1482,'7.0.17'!F:F,0))</f>
        <v>#N/A</v>
      </c>
      <c r="I1482" t="e">
        <f t="shared" si="225"/>
        <v>#N/A</v>
      </c>
    </row>
    <row r="1483" spans="1:9">
      <c r="A1483" t="s">
        <v>8938</v>
      </c>
      <c r="B1483" t="s">
        <v>8939</v>
      </c>
      <c r="C1483" t="s">
        <v>8942</v>
      </c>
      <c r="D1483" t="s">
        <v>8941</v>
      </c>
      <c r="G1483" t="str">
        <f t="shared" si="226"/>
        <v>DB [{#DBNAME}]: Deadlock occurred (over {$PG.DEADLOCKS.MAX.WARN:"{#DBNAME}"} in 5m)</v>
      </c>
      <c r="H1483" t="e">
        <f>INDEX('7.0.17'!G:G,MATCH(G1483,'7.0.17'!F:F,0))</f>
        <v>#N/A</v>
      </c>
      <c r="I1483" t="e">
        <f t="shared" si="225"/>
        <v>#N/A</v>
      </c>
    </row>
    <row r="1484" spans="1:9">
      <c r="A1484" t="s">
        <v>8938</v>
      </c>
      <c r="B1484" t="s">
        <v>8939</v>
      </c>
      <c r="C1484" t="s">
        <v>8944</v>
      </c>
      <c r="D1484" t="s">
        <v>8945</v>
      </c>
      <c r="G1484" t="str">
        <f t="shared" si="226"/>
        <v>DB [{#DBNAME}]: VACUUM FREEZE is required to prevent wraparound (frozen XID less than {$PG.FROZENXID_PCT_STOP.MIN.HIGH:"{#DBNAME}"} %)</v>
      </c>
      <c r="H1484" t="e">
        <f>INDEX('7.0.17'!G:G,MATCH(G1484,'7.0.17'!F:F,0))</f>
        <v>#N/A</v>
      </c>
      <c r="I1484" t="e">
        <f t="shared" si="225"/>
        <v>#N/A</v>
      </c>
    </row>
    <row r="1485" spans="1:9">
      <c r="A1485" t="s">
        <v>8938</v>
      </c>
      <c r="B1485" t="s">
        <v>8939</v>
      </c>
      <c r="C1485" t="s">
        <v>8946</v>
      </c>
      <c r="D1485" t="s">
        <v>8941</v>
      </c>
      <c r="G1485" t="str">
        <f t="shared" si="226"/>
        <v>DB [{#DBNAME}]: Number of locks is too high (over {$PG.LOCKS.MAX.WARN:"{#DBNAME}"} in 5m)</v>
      </c>
      <c r="H1485" t="e">
        <f>INDEX('7.0.17'!G:G,MATCH(G1485,'7.0.17'!F:F,0))</f>
        <v>#N/A</v>
      </c>
      <c r="I1485" t="e">
        <f t="shared" si="225"/>
        <v>#N/A</v>
      </c>
    </row>
    <row r="1486" spans="1:9">
      <c r="A1486" t="s">
        <v>8938</v>
      </c>
      <c r="B1486" t="s">
        <v>8939</v>
      </c>
      <c r="C1486" t="s">
        <v>8943</v>
      </c>
      <c r="D1486" t="s">
        <v>8941</v>
      </c>
      <c r="G1486" t="str">
        <f t="shared" si="226"/>
        <v>DB [{#DBNAME}]: Too many slow queries (over {$PG.SLOW_QUERIES.MAX.WARN:"{#DBNAME}"} in 5m)</v>
      </c>
      <c r="H1486" t="e">
        <f>INDEX('7.0.17'!G:G,MATCH(G1486,'7.0.17'!F:F,0))</f>
        <v>#N/A</v>
      </c>
      <c r="I1486" t="e">
        <f t="shared" si="225"/>
        <v>#N/A</v>
      </c>
    </row>
    <row r="1487" spans="1:9">
      <c r="A1487" t="s">
        <v>8938</v>
      </c>
      <c r="B1487" t="s">
        <v>8939</v>
      </c>
      <c r="C1487" t="s">
        <v>8940</v>
      </c>
      <c r="D1487" t="s">
        <v>8941</v>
      </c>
      <c r="G1487" t="str">
        <f t="shared" si="226"/>
        <v>DB [{#DBNAME}]: Too many recovery conflicts (over {$PG.CONFLICTS.MAX.WARN:"{#DBNAME}"} in 5m)</v>
      </c>
      <c r="H1487" t="e">
        <f>INDEX('7.0.17'!G:G,MATCH(G1487,'7.0.17'!F:F,0))</f>
        <v>#N/A</v>
      </c>
      <c r="I1487" t="e">
        <f t="shared" si="225"/>
        <v>#N/A</v>
      </c>
    </row>
    <row r="1488" spans="1:9">
      <c r="A1488" t="s">
        <v>8938</v>
      </c>
      <c r="B1488" t="s">
        <v>8939</v>
      </c>
      <c r="C1488" t="s">
        <v>8942</v>
      </c>
      <c r="D1488" t="s">
        <v>8941</v>
      </c>
      <c r="G1488" t="str">
        <f t="shared" si="226"/>
        <v>DB [{#DBNAME}]: Deadlock occurred (over {$PG.DEADLOCKS.MAX.WARN:"{#DBNAME}"} in 5m)</v>
      </c>
      <c r="H1488" t="e">
        <f>INDEX('7.0.17'!G:G,MATCH(G1488,'7.0.17'!F:F,0))</f>
        <v>#N/A</v>
      </c>
      <c r="I1488" t="e">
        <f t="shared" si="225"/>
        <v>#N/A</v>
      </c>
    </row>
    <row r="1489" spans="1:9">
      <c r="A1489" t="s">
        <v>8938</v>
      </c>
      <c r="B1489" t="s">
        <v>8939</v>
      </c>
      <c r="C1489" t="s">
        <v>8943</v>
      </c>
      <c r="D1489" t="s">
        <v>8941</v>
      </c>
      <c r="G1489" t="str">
        <f t="shared" si="226"/>
        <v>DB [{#DBNAME}]: Too many slow queries (over {$PG.SLOW_QUERIES.MAX.WARN:"{#DBNAME}"} in 5m)</v>
      </c>
      <c r="H1489" t="e">
        <f>INDEX('7.0.17'!G:G,MATCH(G1489,'7.0.17'!F:F,0))</f>
        <v>#N/A</v>
      </c>
      <c r="I1489" t="e">
        <f t="shared" si="225"/>
        <v>#N/A</v>
      </c>
    </row>
    <row r="1490" spans="1:9">
      <c r="A1490" t="s">
        <v>8938</v>
      </c>
      <c r="B1490" t="s">
        <v>8939</v>
      </c>
      <c r="C1490" t="s">
        <v>8940</v>
      </c>
      <c r="D1490" t="s">
        <v>8941</v>
      </c>
      <c r="G1490" t="str">
        <f t="shared" si="226"/>
        <v>DB [{#DBNAME}]: Too many recovery conflicts (over {$PG.CONFLICTS.MAX.WARN:"{#DBNAME}"} in 5m)</v>
      </c>
      <c r="H1490" t="e">
        <f>INDEX('7.0.17'!G:G,MATCH(G1490,'7.0.17'!F:F,0))</f>
        <v>#N/A</v>
      </c>
      <c r="I1490" t="e">
        <f t="shared" si="225"/>
        <v>#N/A</v>
      </c>
    </row>
    <row r="1491" spans="1:9">
      <c r="A1491" t="s">
        <v>8938</v>
      </c>
      <c r="B1491" t="s">
        <v>8939</v>
      </c>
      <c r="C1491" t="s">
        <v>8942</v>
      </c>
      <c r="D1491" t="s">
        <v>8941</v>
      </c>
      <c r="G1491" t="str">
        <f t="shared" si="226"/>
        <v>DB [{#DBNAME}]: Deadlock occurred (over {$PG.DEADLOCKS.MAX.WARN:"{#DBNAME}"} in 5m)</v>
      </c>
      <c r="H1491" t="e">
        <f>INDEX('7.0.17'!G:G,MATCH(G1491,'7.0.17'!F:F,0))</f>
        <v>#N/A</v>
      </c>
      <c r="I1491" t="e">
        <f t="shared" si="225"/>
        <v>#N/A</v>
      </c>
    </row>
    <row r="1492" spans="1:9">
      <c r="A1492" t="s">
        <v>8938</v>
      </c>
      <c r="B1492" t="s">
        <v>8939</v>
      </c>
      <c r="C1492" t="s">
        <v>8943</v>
      </c>
      <c r="D1492" t="s">
        <v>8941</v>
      </c>
      <c r="G1492" t="str">
        <f t="shared" si="226"/>
        <v>DB [{#DBNAME}]: Too many slow queries (over {$PG.SLOW_QUERIES.MAX.WARN:"{#DBNAME}"} in 5m)</v>
      </c>
      <c r="H1492" t="e">
        <f>INDEX('7.0.17'!G:G,MATCH(G1492,'7.0.17'!F:F,0))</f>
        <v>#N/A</v>
      </c>
      <c r="I1492" t="e">
        <f t="shared" si="225"/>
        <v>#N/A</v>
      </c>
    </row>
    <row r="1493" spans="1:9">
      <c r="A1493" t="s">
        <v>8938</v>
      </c>
      <c r="B1493" t="s">
        <v>8939</v>
      </c>
      <c r="C1493" t="s">
        <v>8940</v>
      </c>
      <c r="D1493" t="s">
        <v>8941</v>
      </c>
      <c r="G1493" t="str">
        <f t="shared" si="226"/>
        <v>DB [{#DBNAME}]: Too many recovery conflicts (over {$PG.CONFLICTS.MAX.WARN:"{#DBNAME}"} in 5m)</v>
      </c>
      <c r="H1493" t="e">
        <f>INDEX('7.0.17'!G:G,MATCH(G1493,'7.0.17'!F:F,0))</f>
        <v>#N/A</v>
      </c>
      <c r="I1493" t="e">
        <f t="shared" si="225"/>
        <v>#N/A</v>
      </c>
    </row>
    <row r="1494" spans="1:9">
      <c r="A1494" t="s">
        <v>8938</v>
      </c>
      <c r="B1494" t="s">
        <v>8939</v>
      </c>
      <c r="C1494" t="s">
        <v>8942</v>
      </c>
      <c r="D1494" t="s">
        <v>8941</v>
      </c>
      <c r="G1494" t="str">
        <f t="shared" si="226"/>
        <v>DB [{#DBNAME}]: Deadlock occurred (over {$PG.DEADLOCKS.MAX.WARN:"{#DBNAME}"} in 5m)</v>
      </c>
      <c r="H1494" t="e">
        <f>INDEX('7.0.17'!G:G,MATCH(G1494,'7.0.17'!F:F,0))</f>
        <v>#N/A</v>
      </c>
      <c r="I1494" t="e">
        <f t="shared" si="225"/>
        <v>#N/A</v>
      </c>
    </row>
    <row r="1495" spans="1:9">
      <c r="A1495" t="s">
        <v>8938</v>
      </c>
      <c r="B1495" t="s">
        <v>8939</v>
      </c>
      <c r="C1495" t="s">
        <v>8944</v>
      </c>
      <c r="D1495" t="s">
        <v>8945</v>
      </c>
      <c r="G1495" t="str">
        <f t="shared" si="226"/>
        <v>DB [{#DBNAME}]: VACUUM FREEZE is required to prevent wraparound (frozen XID less than {$PG.FROZENXID_PCT_STOP.MIN.HIGH:"{#DBNAME}"} %)</v>
      </c>
      <c r="H1495" t="e">
        <f>INDEX('7.0.17'!G:G,MATCH(G1495,'7.0.17'!F:F,0))</f>
        <v>#N/A</v>
      </c>
      <c r="I1495" t="e">
        <f t="shared" si="225"/>
        <v>#N/A</v>
      </c>
    </row>
    <row r="1496" spans="1:9">
      <c r="A1496" t="s">
        <v>8938</v>
      </c>
      <c r="B1496" t="s">
        <v>8939</v>
      </c>
      <c r="C1496" t="s">
        <v>8946</v>
      </c>
      <c r="D1496" t="s">
        <v>8941</v>
      </c>
      <c r="G1496" t="str">
        <f t="shared" si="226"/>
        <v>DB [{#DBNAME}]: Number of locks is too high (over {$PG.LOCKS.MAX.WARN:"{#DBNAME}"} in 5m)</v>
      </c>
      <c r="H1496" t="e">
        <f>INDEX('7.0.17'!G:G,MATCH(G1496,'7.0.17'!F:F,0))</f>
        <v>#N/A</v>
      </c>
      <c r="I1496" t="e">
        <f t="shared" si="225"/>
        <v>#N/A</v>
      </c>
    </row>
    <row r="1497" spans="1:9">
      <c r="A1497" t="s">
        <v>8938</v>
      </c>
      <c r="B1497" t="s">
        <v>8939</v>
      </c>
      <c r="C1497" t="s">
        <v>8943</v>
      </c>
      <c r="D1497" t="s">
        <v>8941</v>
      </c>
      <c r="G1497" t="str">
        <f t="shared" si="226"/>
        <v>DB [{#DBNAME}]: Too many slow queries (over {$PG.SLOW_QUERIES.MAX.WARN:"{#DBNAME}"} in 5m)</v>
      </c>
      <c r="H1497" t="e">
        <f>INDEX('7.0.17'!G:G,MATCH(G1497,'7.0.17'!F:F,0))</f>
        <v>#N/A</v>
      </c>
      <c r="I1497" t="e">
        <f t="shared" si="225"/>
        <v>#N/A</v>
      </c>
    </row>
    <row r="1498" spans="1:9">
      <c r="A1498" t="s">
        <v>8947</v>
      </c>
      <c r="B1498" t="s">
        <v>8948</v>
      </c>
      <c r="C1498" t="s">
        <v>8949</v>
      </c>
      <c r="G1498" t="str">
        <f t="shared" ref="G1498:G1510" si="227">B1498&amp;":"&amp;C1498</f>
        <v>LXC [{#NODE.NAME}/{#LXC.NAME} ({#LXC.ID})] high CPU usage (over {$PVE.LXC.CPU.PUSE.MAX.WARN:"{#LXC.ID}"}% use)</v>
      </c>
      <c r="H1498" t="e">
        <f>INDEX('7.0.17'!G:G,MATCH(G1498,'7.0.17'!F:F,0))</f>
        <v>#N/A</v>
      </c>
      <c r="I1498" t="e">
        <f t="shared" si="225"/>
        <v>#N/A</v>
      </c>
    </row>
    <row r="1499" spans="1:9">
      <c r="A1499" t="s">
        <v>8947</v>
      </c>
      <c r="B1499" t="s">
        <v>8950</v>
      </c>
      <c r="C1499" t="s">
        <v>8951</v>
      </c>
      <c r="G1499" t="str">
        <f t="shared" si="227"/>
        <v>LXC [{#NODE.NAME}/{#LXC.NAME} ({#LXC.ID})] high disk space usage (over {$PVE.LXC.DISK.PUSE.MAX.WARN:"{#LXC.ID}"}% usage)</v>
      </c>
      <c r="H1499" t="e">
        <f>INDEX('7.0.17'!G:G,MATCH(G1499,'7.0.17'!F:F,0))</f>
        <v>#N/A</v>
      </c>
      <c r="I1499" t="e">
        <f t="shared" si="225"/>
        <v>#N/A</v>
      </c>
    </row>
    <row r="1500" spans="1:9">
      <c r="A1500" t="s">
        <v>8947</v>
      </c>
      <c r="B1500" t="s">
        <v>8952</v>
      </c>
      <c r="C1500" t="s">
        <v>8949</v>
      </c>
      <c r="G1500" t="str">
        <f t="shared" si="227"/>
        <v>LXC [{#NODE.NAME}/{#LXC.NAME} ({#LXC.ID})] high memory usage (over {$PVE.LXC.MEMORY.PUSE.MAX.WARN:"{#LXC.ID}"}% use)</v>
      </c>
      <c r="H1500" t="e">
        <f>INDEX('7.0.17'!G:G,MATCH(G1500,'7.0.17'!F:F,0))</f>
        <v>#N/A</v>
      </c>
      <c r="I1500" t="e">
        <f t="shared" si="225"/>
        <v>#N/A</v>
      </c>
    </row>
    <row r="1501" spans="1:9">
      <c r="A1501" t="s">
        <v>8947</v>
      </c>
      <c r="B1501" t="s">
        <v>8953</v>
      </c>
      <c r="C1501" t="s">
        <v>8624</v>
      </c>
      <c r="G1501" t="str">
        <f t="shared" si="227"/>
        <v>LXC [{#NODE.NAME}/{#LXC.NAME}]: has been restarted (uptime &lt; 10m)</v>
      </c>
      <c r="H1501" t="e">
        <f>INDEX('7.0.17'!G:G,MATCH(G1501,'7.0.17'!F:F,0))</f>
        <v>#N/A</v>
      </c>
      <c r="I1501" t="e">
        <f t="shared" si="225"/>
        <v>#N/A</v>
      </c>
    </row>
    <row r="1502" spans="1:9">
      <c r="A1502" t="s">
        <v>8947</v>
      </c>
      <c r="B1502" t="s">
        <v>8954</v>
      </c>
      <c r="C1502" t="s">
        <v>8955</v>
      </c>
      <c r="G1502" t="str">
        <f t="shared" si="227"/>
        <v>Node [{#NODE.NAME}] high CPU usage (over {$PVE.CPU.PUSE.MAX.WARN:"{#NODE.NAME}"}% use)</v>
      </c>
      <c r="H1502" t="e">
        <f>INDEX('7.0.17'!G:G,MATCH(G1502,'7.0.17'!F:F,0))</f>
        <v>#N/A</v>
      </c>
      <c r="I1502" t="e">
        <f t="shared" si="225"/>
        <v>#N/A</v>
      </c>
    </row>
    <row r="1503" spans="1:9">
      <c r="A1503" t="s">
        <v>8947</v>
      </c>
      <c r="B1503" t="s">
        <v>8956</v>
      </c>
      <c r="C1503" t="s">
        <v>8957</v>
      </c>
      <c r="G1503" t="str">
        <f t="shared" si="227"/>
        <v>Storage [{#NODE.NAME}/{#STORAGE.NAME}] high filesystem space usage (over {$PVE.STORAGE.PUSE.MAX.WARN:"{#NODE.NAME}/{#STORAGE.NAME}"}% use)</v>
      </c>
      <c r="H1503" t="e">
        <f>INDEX('7.0.17'!G:G,MATCH(G1503,'7.0.17'!F:F,0))</f>
        <v>#N/A</v>
      </c>
      <c r="I1503" t="e">
        <f t="shared" si="225"/>
        <v>#N/A</v>
      </c>
    </row>
    <row r="1504" spans="1:9">
      <c r="A1504" t="s">
        <v>8947</v>
      </c>
      <c r="B1504" t="s">
        <v>8958</v>
      </c>
      <c r="C1504" t="s">
        <v>8955</v>
      </c>
      <c r="G1504" t="str">
        <f t="shared" si="227"/>
        <v>Node [{#NODE.NAME}] high memory usage (over {$PVE.MEMORY.PUSE.MAX.WARN:"{#NODE.NAME}"}% use)</v>
      </c>
      <c r="H1504" t="e">
        <f>INDEX('7.0.17'!G:G,MATCH(G1504,'7.0.17'!F:F,0))</f>
        <v>#N/A</v>
      </c>
      <c r="I1504" t="e">
        <f t="shared" si="225"/>
        <v>#N/A</v>
      </c>
    </row>
    <row r="1505" spans="1:9">
      <c r="A1505" t="s">
        <v>8947</v>
      </c>
      <c r="B1505" t="s">
        <v>8959</v>
      </c>
      <c r="C1505" t="s">
        <v>8955</v>
      </c>
      <c r="G1505" t="str">
        <f t="shared" si="227"/>
        <v>Node [{#NODE.NAME}] high root filesystem space usage (over {$PVE.ROOT.PUSE.MAX.WARN:"{#NODE.NAME}"}% use)</v>
      </c>
      <c r="H1505" t="e">
        <f>INDEX('7.0.17'!G:G,MATCH(G1505,'7.0.17'!F:F,0))</f>
        <v>#N/A</v>
      </c>
      <c r="I1505" t="e">
        <f t="shared" si="225"/>
        <v>#N/A</v>
      </c>
    </row>
    <row r="1506" spans="1:9">
      <c r="A1506" t="s">
        <v>8947</v>
      </c>
      <c r="B1506" t="s">
        <v>8960</v>
      </c>
      <c r="C1506" t="s">
        <v>8955</v>
      </c>
      <c r="G1506" t="str">
        <f t="shared" si="227"/>
        <v>Node [{#NODE.NAME}] high swap space usage (over {$PVE.SWAP.PUSE.MAX.WARN:"{#NODE.NAME}"}% use)</v>
      </c>
      <c r="H1506" t="e">
        <f>INDEX('7.0.17'!G:G,MATCH(G1506,'7.0.17'!F:F,0))</f>
        <v>#N/A</v>
      </c>
      <c r="I1506" t="e">
        <f t="shared" si="225"/>
        <v>#N/A</v>
      </c>
    </row>
    <row r="1507" spans="1:9">
      <c r="A1507" t="s">
        <v>8947</v>
      </c>
      <c r="B1507" t="s">
        <v>8961</v>
      </c>
      <c r="C1507" t="s">
        <v>8624</v>
      </c>
      <c r="G1507" t="str">
        <f t="shared" si="227"/>
        <v>Node [{#NODE.NAME}]: has been restarted (uptime &lt; 10m)</v>
      </c>
      <c r="H1507" t="e">
        <f>INDEX('7.0.17'!G:G,MATCH(G1507,'7.0.17'!F:F,0))</f>
        <v>#N/A</v>
      </c>
      <c r="I1507" t="e">
        <f t="shared" si="225"/>
        <v>#N/A</v>
      </c>
    </row>
    <row r="1508" spans="1:9">
      <c r="A1508" t="s">
        <v>8947</v>
      </c>
      <c r="B1508" t="s">
        <v>8962</v>
      </c>
      <c r="C1508" t="s">
        <v>8963</v>
      </c>
      <c r="G1508" t="str">
        <f t="shared" si="227"/>
        <v>VM [{#NODE.NAME}/{#QEMU.NAME} ({#QEMU.ID})] high CPU usage (over {$PVE.VM.CPU.PUSE.MAX.WARN:"{#QEMU.ID}"}% use)</v>
      </c>
      <c r="H1508" t="e">
        <f>INDEX('7.0.17'!G:G,MATCH(G1508,'7.0.17'!F:F,0))</f>
        <v>#N/A</v>
      </c>
      <c r="I1508" t="e">
        <f t="shared" si="225"/>
        <v>#N/A</v>
      </c>
    </row>
    <row r="1509" spans="1:9">
      <c r="A1509" t="s">
        <v>8947</v>
      </c>
      <c r="B1509" t="s">
        <v>8964</v>
      </c>
      <c r="C1509" t="s">
        <v>8963</v>
      </c>
      <c r="G1509" t="str">
        <f t="shared" si="227"/>
        <v>VM [{#NODE.NAME}/{#QEMU.NAME} ({#QEMU.ID})] high memory usage (over {$PVE.VM.MEMORY.PUSE.MAX.WARN:"{#QEMU.ID}"}% use)</v>
      </c>
      <c r="H1509" t="e">
        <f>INDEX('7.0.17'!G:G,MATCH(G1509,'7.0.17'!F:F,0))</f>
        <v>#N/A</v>
      </c>
      <c r="I1509" t="e">
        <f t="shared" si="225"/>
        <v>#N/A</v>
      </c>
    </row>
    <row r="1510" spans="1:9">
      <c r="A1510" t="s">
        <v>8947</v>
      </c>
      <c r="B1510" t="s">
        <v>8965</v>
      </c>
      <c r="C1510" t="s">
        <v>8624</v>
      </c>
      <c r="G1510" t="str">
        <f t="shared" si="227"/>
        <v>VM [{#NODE.NAME}/{#QEMU.NAME}]: has been restarted (uptime &lt; 10m)</v>
      </c>
      <c r="H1510" t="e">
        <f>INDEX('7.0.17'!G:G,MATCH(G1510,'7.0.17'!F:F,0))</f>
        <v>#N/A</v>
      </c>
      <c r="I1510" t="e">
        <f t="shared" si="225"/>
        <v>#N/A</v>
      </c>
    </row>
    <row r="1511" spans="1:9">
      <c r="A1511" t="s">
        <v>8966</v>
      </c>
      <c r="B1511" t="s">
        <v>8433</v>
      </c>
      <c r="C1511" t="s">
        <v>8434</v>
      </c>
      <c r="D1511" t="s">
        <v>8435</v>
      </c>
      <c r="G1511" t="str">
        <f>B1511&amp;":"&amp;C1511&amp;":"&amp;D1511</f>
        <v>Interface {#IFNAME}({#IFALIAS}): High error rate (&gt;{$IF.ERRORS.WARN:{#IFNAME}} for 5m)</v>
      </c>
      <c r="H1511" t="e">
        <f>INDEX('7.0.17'!G:G,MATCH(G1511,'7.0.17'!F:F,0))</f>
        <v>#N/A</v>
      </c>
      <c r="I1511" t="e">
        <f t="shared" si="225"/>
        <v>#N/A</v>
      </c>
    </row>
    <row r="1512" spans="1:9">
      <c r="A1512" t="s">
        <v>8966</v>
      </c>
      <c r="B1512" t="s">
        <v>8433</v>
      </c>
      <c r="C1512" t="s">
        <v>8436</v>
      </c>
      <c r="D1512" t="s">
        <v>8437</v>
      </c>
      <c r="G1512" t="str">
        <f>B1512&amp;":"&amp;C1512&amp;":"&amp;D1512</f>
        <v>Interface {#IFNAME}({#IFALIAS}): High bandwidth usage (&gt;{$IF.UTIL.MAX:{#IFNAME}}%)</v>
      </c>
      <c r="H1512" t="e">
        <f>INDEX('7.0.17'!G:G,MATCH(G1512,'7.0.17'!F:F,0))</f>
        <v>#N/A</v>
      </c>
      <c r="I1512" t="e">
        <f t="shared" si="225"/>
        <v>#N/A</v>
      </c>
    </row>
    <row r="1513" spans="1:9">
      <c r="A1513" t="s">
        <v>8967</v>
      </c>
      <c r="B1513" t="s">
        <v>8968</v>
      </c>
      <c r="C1513" t="s">
        <v>8969</v>
      </c>
      <c r="G1513" t="str">
        <f>B1513&amp;":"&amp;C1513</f>
        <v>Too many messages in queue [{#VHOST}][{#QUEUE}] (over {$RABBITMQ.MESSAGES.MAX.WARN:{#QUEUE}} for 5m)</v>
      </c>
      <c r="H1513" t="e">
        <f>INDEX('7.0.17'!G:G,MATCH(G1513,'7.0.17'!F:F,0))</f>
        <v>#N/A</v>
      </c>
      <c r="I1513" t="e">
        <f t="shared" si="225"/>
        <v>#N/A</v>
      </c>
    </row>
    <row r="1514" spans="1:9">
      <c r="A1514" t="s">
        <v>8967</v>
      </c>
      <c r="B1514" t="s">
        <v>8970</v>
      </c>
      <c r="G1514" t="str">
        <f>B1514</f>
        <v>Service response time is too high (over {$RABBITMQ.RESPONSE_TIME.MAX.WARN}s for 5m)</v>
      </c>
      <c r="H1514" t="e">
        <f>INDEX('7.0.17'!G:G,MATCH(G1514,'7.0.17'!F:F,0))</f>
        <v>#N/A</v>
      </c>
      <c r="I1514" t="e">
        <f t="shared" si="225"/>
        <v>#N/A</v>
      </c>
    </row>
    <row r="1515" spans="1:9">
      <c r="A1515" t="s">
        <v>8967</v>
      </c>
      <c r="B1515" t="s">
        <v>8971</v>
      </c>
      <c r="G1515" t="str">
        <f>B1515</f>
        <v>Failed to fetch nodes data (or no data for 30m)</v>
      </c>
      <c r="H1515" t="e">
        <f>INDEX('7.0.17'!G:G,MATCH(G1515,'7.0.17'!F:F,0))</f>
        <v>#N/A</v>
      </c>
      <c r="I1515" t="e">
        <f t="shared" si="225"/>
        <v>#N/A</v>
      </c>
    </row>
    <row r="1516" spans="1:9">
      <c r="A1516" t="s">
        <v>8967</v>
      </c>
      <c r="B1516" t="s">
        <v>8968</v>
      </c>
      <c r="C1516" t="s">
        <v>8969</v>
      </c>
      <c r="G1516" t="str">
        <f>B1516&amp;":"&amp;C1516</f>
        <v>Too many messages in queue [{#VHOST}][{#QUEUE}] (over {$RABBITMQ.MESSAGES.MAX.WARN:{#QUEUE}} for 5m)</v>
      </c>
      <c r="H1516" t="e">
        <f>INDEX('7.0.17'!G:G,MATCH(G1516,'7.0.17'!F:F,0))</f>
        <v>#N/A</v>
      </c>
      <c r="I1516" t="e">
        <f t="shared" si="225"/>
        <v>#N/A</v>
      </c>
    </row>
    <row r="1517" spans="1:9">
      <c r="A1517" t="s">
        <v>8972</v>
      </c>
      <c r="B1517" t="s">
        <v>8973</v>
      </c>
      <c r="C1517" t="s">
        <v>8974</v>
      </c>
      <c r="G1517" t="str">
        <f>B1517&amp;":"&amp;C1517</f>
        <v>Proxy [{#PROXY.NAME}]: Zabbix proxy last seen more than {$PROXY.LAST_SEEN.MAX} seconds ago</v>
      </c>
      <c r="H1517" t="e">
        <f>INDEX('7.0.17'!G:G,MATCH(G1517,'7.0.17'!F:F,0))</f>
        <v>#N/A</v>
      </c>
      <c r="I1517" t="e">
        <f t="shared" si="225"/>
        <v>#N/A</v>
      </c>
    </row>
    <row r="1518" spans="1:9">
      <c r="A1518" t="s">
        <v>8975</v>
      </c>
      <c r="B1518" t="s">
        <v>8976</v>
      </c>
      <c r="C1518" t="s">
        <v>8587</v>
      </c>
      <c r="G1518" t="str">
        <f t="shared" ref="G1518:G1523" si="228">A1518&amp;": "&amp;B1518&amp;":"&amp;C1518</f>
        <v>SMART: [{#NAME}]: Disk has been replaced (new serial number received)</v>
      </c>
      <c r="H1518" t="str">
        <f>INDEX('7.0.17'!G:G,MATCH(G1518,'7.0.17'!F:F,0))</f>
        <v>SMART: SMART[{#NAME}]: 磁盘已更换(收到新序列号)</v>
      </c>
      <c r="I1518" t="str">
        <f t="shared" si="225"/>
        <v>SMART: SMART: SMART[{#NAME}]: 磁盘已更换(收到新序列号)</v>
      </c>
    </row>
    <row r="1519" spans="1:9">
      <c r="A1519" t="s">
        <v>8975</v>
      </c>
      <c r="B1519" t="s">
        <v>8976</v>
      </c>
      <c r="C1519" t="s">
        <v>8977</v>
      </c>
      <c r="G1519" t="str">
        <f t="shared" si="228"/>
        <v>SMART: [{#NAME}]: Average disk temperature is critical (over {$SMART.TEMPERATURE.MAX.CRIT}°C for 5m)</v>
      </c>
      <c r="H1519" t="str">
        <f>INDEX('7.0.17'!G:G,MATCH(G1519,'7.0.17'!F:F,0))</f>
        <v>SMART: SMART[{#NAME}]: 平均磁盘温度严重告警(超过{$SMART.TEMPERATURE.MAX.CRIT}°C达5分钟)</v>
      </c>
      <c r="I1519" t="str">
        <f t="shared" si="225"/>
        <v>SMART: SMART: SMART[{#NAME}]: 平均磁盘温度严重告警(超过{$SMART.TEMPERATURE.MAX.CRIT}°C达5分钟)</v>
      </c>
    </row>
    <row r="1520" spans="1:9">
      <c r="A1520" t="s">
        <v>8975</v>
      </c>
      <c r="B1520" t="s">
        <v>8976</v>
      </c>
      <c r="C1520" t="s">
        <v>8978</v>
      </c>
      <c r="G1520" t="str">
        <f t="shared" si="228"/>
        <v>SMART: [{#NAME}]: Average disk temperature is too high (over {$SMART.TEMPERATURE.MAX.WARN}°C for 5m)</v>
      </c>
      <c r="H1520" t="str">
        <f>INDEX('7.0.17'!G:G,MATCH(G1520,'7.0.17'!F:F,0))</f>
        <v>SMART: SMART[{#NAME}]: 平均磁盘温度太高(超过{$SMART.TEMPERATURE.MAX.WARN}°C达5分钟)</v>
      </c>
      <c r="I1520" t="str">
        <f t="shared" si="225"/>
        <v>SMART: SMART: SMART[{#NAME}]: 平均磁盘温度太高(超过{$SMART.TEMPERATURE.MAX.WARN}°C达5分钟)</v>
      </c>
    </row>
    <row r="1521" spans="1:9">
      <c r="A1521" t="s">
        <v>8975</v>
      </c>
      <c r="B1521" t="s">
        <v>8976</v>
      </c>
      <c r="C1521" t="s">
        <v>8587</v>
      </c>
      <c r="G1521" t="str">
        <f t="shared" si="228"/>
        <v>SMART: [{#NAME}]: Disk has been replaced (new serial number received)</v>
      </c>
      <c r="H1521" t="str">
        <f>INDEX('7.0.17'!G:G,MATCH(G1521,'7.0.17'!F:F,0))</f>
        <v>SMART: SMART[{#NAME}]: 磁盘已更换(收到新序列号)</v>
      </c>
      <c r="I1521" t="str">
        <f t="shared" si="225"/>
        <v>SMART: SMART: SMART[{#NAME}]: 磁盘已更换(收到新序列号)</v>
      </c>
    </row>
    <row r="1522" spans="1:9">
      <c r="A1522" t="s">
        <v>8975</v>
      </c>
      <c r="B1522" t="s">
        <v>8976</v>
      </c>
      <c r="C1522" t="s">
        <v>8977</v>
      </c>
      <c r="G1522" t="str">
        <f t="shared" si="228"/>
        <v>SMART: [{#NAME}]: Average disk temperature is critical (over {$SMART.TEMPERATURE.MAX.CRIT}°C for 5m)</v>
      </c>
      <c r="H1522" t="str">
        <f>INDEX('7.0.17'!G:G,MATCH(G1522,'7.0.17'!F:F,0))</f>
        <v>SMART: SMART[{#NAME}]: 平均磁盘温度严重告警(超过{$SMART.TEMPERATURE.MAX.CRIT}°C达5分钟)</v>
      </c>
      <c r="I1522" t="str">
        <f t="shared" si="225"/>
        <v>SMART: SMART: SMART[{#NAME}]: 平均磁盘温度严重告警(超过{$SMART.TEMPERATURE.MAX.CRIT}°C达5分钟)</v>
      </c>
    </row>
    <row r="1523" spans="1:9">
      <c r="A1523" t="s">
        <v>8975</v>
      </c>
      <c r="B1523" t="s">
        <v>8976</v>
      </c>
      <c r="C1523" t="s">
        <v>8978</v>
      </c>
      <c r="G1523" t="str">
        <f t="shared" si="228"/>
        <v>SMART: [{#NAME}]: Average disk temperature is too high (over {$SMART.TEMPERATURE.MAX.WARN}°C for 5m)</v>
      </c>
      <c r="H1523" t="str">
        <f>INDEX('7.0.17'!G:G,MATCH(G1523,'7.0.17'!F:F,0))</f>
        <v>SMART: SMART[{#NAME}]: 平均磁盘温度太高(超过{$SMART.TEMPERATURE.MAX.WARN}°C达5分钟)</v>
      </c>
      <c r="I1523" t="str">
        <f t="shared" si="225"/>
        <v>SMART: SMART: SMART[{#NAME}]: 平均磁盘温度太高(超过{$SMART.TEMPERATURE.MAX.WARN}°C达5分钟)</v>
      </c>
    </row>
    <row r="1524" spans="1:9">
      <c r="A1524" t="s">
        <v>8979</v>
      </c>
      <c r="B1524" t="s">
        <v>8642</v>
      </c>
      <c r="C1524" t="s">
        <v>8383</v>
      </c>
      <c r="D1524" t="s">
        <v>8384</v>
      </c>
      <c r="G1524" t="str">
        <f t="shared" ref="G1524:G1527" si="229">B1524&amp;":"&amp;C1524&amp;":"&amp;D1524</f>
        <v>FS [{#FSNAME}]: Running out of free inodes (free &lt; {$VFS.FS.INODE.PFREE.MIN.WARN:{#FSNAME}}%)</v>
      </c>
      <c r="H1524" t="e">
        <f>INDEX('7.0.17'!G:G,MATCH(G1524,'7.0.17'!F:F,0))</f>
        <v>#N/A</v>
      </c>
      <c r="I1524" t="e">
        <f t="shared" si="225"/>
        <v>#N/A</v>
      </c>
    </row>
    <row r="1525" spans="1:9">
      <c r="A1525" t="s">
        <v>8979</v>
      </c>
      <c r="B1525" t="s">
        <v>8511</v>
      </c>
      <c r="C1525" t="s">
        <v>8385</v>
      </c>
      <c r="D1525" t="s">
        <v>8384</v>
      </c>
      <c r="G1525" t="str">
        <f t="shared" si="229"/>
        <v>{#FSNAME}: Running out of free inodes (free &lt; {$VFS.FS.INODE.PFREE.MIN.CRIT:{#FSNAME}}%)</v>
      </c>
      <c r="H1525" t="e">
        <f>INDEX('7.0.17'!G:G,MATCH(G1525,'7.0.17'!F:F,0))</f>
        <v>#N/A</v>
      </c>
      <c r="I1525" t="e">
        <f t="shared" si="225"/>
        <v>#N/A</v>
      </c>
    </row>
    <row r="1526" spans="1:9">
      <c r="A1526" t="s">
        <v>8979</v>
      </c>
      <c r="B1526" t="s">
        <v>8642</v>
      </c>
      <c r="C1526" t="s">
        <v>8387</v>
      </c>
      <c r="D1526" t="s">
        <v>8388</v>
      </c>
      <c r="G1526" t="str">
        <f t="shared" si="229"/>
        <v>FS [{#FSNAME}]: Space is low (used &gt; {$VFS.FS.PUSED.MAX.WARN:{#FSNAME}}%, total {{?last(//vfs.fs.dependent.size[{#FSNAME},total])/1024/1024/1024}.fmtnum(1)}GB)</v>
      </c>
      <c r="H1526" t="e">
        <f>INDEX('7.0.17'!G:G,MATCH(G1526,'7.0.17'!F:F,0))</f>
        <v>#N/A</v>
      </c>
      <c r="I1526" t="e">
        <f t="shared" si="225"/>
        <v>#N/A</v>
      </c>
    </row>
    <row r="1527" spans="1:9">
      <c r="A1527" t="s">
        <v>8979</v>
      </c>
      <c r="B1527" t="s">
        <v>8642</v>
      </c>
      <c r="C1527" t="s">
        <v>8389</v>
      </c>
      <c r="D1527" t="s">
        <v>8388</v>
      </c>
      <c r="G1527" t="str">
        <f t="shared" si="229"/>
        <v>FS [{#FSNAME}]: Space is critically low (used &gt; {$VFS.FS.PUSED.MAX.CRIT:{#FSNAME}}%, total {{?last(//vfs.fs.dependent.size[{#FSNAME},total])/1024/1024/1024}.fmtnum(1)}GB)</v>
      </c>
      <c r="H1527" t="e">
        <f>INDEX('7.0.17'!G:G,MATCH(G1527,'7.0.17'!F:F,0))</f>
        <v>#N/A</v>
      </c>
      <c r="I1527" t="e">
        <f t="shared" si="225"/>
        <v>#N/A</v>
      </c>
    </row>
    <row r="1528" spans="1:9">
      <c r="A1528" t="s">
        <v>8980</v>
      </c>
      <c r="B1528" t="s">
        <v>8530</v>
      </c>
      <c r="C1528" t="s">
        <v>8439</v>
      </c>
      <c r="D1528" t="s">
        <v>8440</v>
      </c>
      <c r="E1528" t="s">
        <v>8531</v>
      </c>
      <c r="G1528" t="str">
        <f t="shared" ref="G1528:G1530" si="230">B1528&amp;":"&amp;C1528&amp;":"&amp;D1528&amp;":"&amp;E1528</f>
        <v>{#SENSOR_DESCR}: Temperature is above critical threshold: &gt;{$TEMP_CRIT:{#SENSOR_DESCR}}</v>
      </c>
      <c r="H1528" t="e">
        <f>INDEX('7.0.17'!G:G,MATCH(G1528,'7.0.17'!F:F,0))</f>
        <v>#N/A</v>
      </c>
      <c r="I1528" t="e">
        <f t="shared" si="225"/>
        <v>#N/A</v>
      </c>
    </row>
    <row r="1529" spans="1:9">
      <c r="A1529" t="s">
        <v>8980</v>
      </c>
      <c r="B1529" t="s">
        <v>8530</v>
      </c>
      <c r="C1529" t="s">
        <v>8442</v>
      </c>
      <c r="D1529" t="s">
        <v>8443</v>
      </c>
      <c r="E1529" t="s">
        <v>8531</v>
      </c>
      <c r="G1529" t="str">
        <f t="shared" si="230"/>
        <v>{#SENSOR_DESCR}: Temperature is above warning threshold: &gt;{$TEMP_WARN:{#SENSOR_DESCR}}</v>
      </c>
      <c r="H1529" t="e">
        <f>INDEX('7.0.17'!G:G,MATCH(G1529,'7.0.17'!F:F,0))</f>
        <v>#N/A</v>
      </c>
      <c r="I1529" t="e">
        <f t="shared" si="225"/>
        <v>#N/A</v>
      </c>
    </row>
    <row r="1530" spans="1:9">
      <c r="A1530" t="s">
        <v>8980</v>
      </c>
      <c r="B1530" t="s">
        <v>8530</v>
      </c>
      <c r="C1530" t="s">
        <v>8444</v>
      </c>
      <c r="D1530" t="s">
        <v>8445</v>
      </c>
      <c r="E1530" t="s">
        <v>8531</v>
      </c>
      <c r="G1530" t="str">
        <f t="shared" si="230"/>
        <v>{#SENSOR_DESCR}: Temperature is too low: &lt;{$TEMP_CRIT_LOW:{#SENSOR_DESCR}}</v>
      </c>
      <c r="H1530" t="e">
        <f>INDEX('7.0.17'!G:G,MATCH(G1530,'7.0.17'!F:F,0))</f>
        <v>#N/A</v>
      </c>
      <c r="I1530" t="e">
        <f t="shared" si="225"/>
        <v>#N/A</v>
      </c>
    </row>
    <row r="1531" spans="1:9">
      <c r="A1531" t="s">
        <v>8981</v>
      </c>
      <c r="B1531" t="s">
        <v>8982</v>
      </c>
      <c r="C1531" t="s">
        <v>8624</v>
      </c>
      <c r="G1531" t="str">
        <f t="shared" ref="G1531:G1535" si="231">B1531&amp;":"&amp;C1531</f>
        <v>{#UNIT.NAME}: has been restarted (uptime &lt; 10m)</v>
      </c>
      <c r="H1531" t="e">
        <f>INDEX('7.0.17'!G:G,MATCH(G1531,'7.0.17'!F:F,0))</f>
        <v>#N/A</v>
      </c>
      <c r="I1531" t="e">
        <f t="shared" si="225"/>
        <v>#N/A</v>
      </c>
    </row>
    <row r="1532" spans="1:9">
      <c r="A1532" t="s">
        <v>8983</v>
      </c>
      <c r="B1532" t="s">
        <v>8433</v>
      </c>
      <c r="C1532" t="s">
        <v>8434</v>
      </c>
      <c r="D1532" t="s">
        <v>8435</v>
      </c>
      <c r="G1532" t="str">
        <f>B1532&amp;":"&amp;C1532&amp;":"&amp;D1532</f>
        <v>Interface {#IFNAME}({#IFALIAS}): High error rate (&gt;{$IF.ERRORS.WARN:{#IFNAME}} for 5m)</v>
      </c>
      <c r="H1532" t="e">
        <f>INDEX('7.0.17'!G:G,MATCH(G1532,'7.0.17'!F:F,0))</f>
        <v>#N/A</v>
      </c>
      <c r="I1532" t="e">
        <f t="shared" si="225"/>
        <v>#N/A</v>
      </c>
    </row>
    <row r="1533" spans="1:9">
      <c r="A1533" t="s">
        <v>8983</v>
      </c>
      <c r="B1533" t="s">
        <v>8433</v>
      </c>
      <c r="C1533" t="s">
        <v>8436</v>
      </c>
      <c r="D1533" t="s">
        <v>8437</v>
      </c>
      <c r="G1533" t="str">
        <f>B1533&amp;":"&amp;C1533&amp;":"&amp;D1533</f>
        <v>Interface {#IFNAME}({#IFALIAS}): High bandwidth usage (&gt;{$IF.UTIL.MAX:{#IFNAME}}%)</v>
      </c>
      <c r="H1533" t="e">
        <f>INDEX('7.0.17'!G:G,MATCH(G1533,'7.0.17'!F:F,0))</f>
        <v>#N/A</v>
      </c>
      <c r="I1533" t="e">
        <f t="shared" si="225"/>
        <v>#N/A</v>
      </c>
    </row>
    <row r="1534" spans="1:9">
      <c r="A1534" t="s">
        <v>8983</v>
      </c>
      <c r="B1534" t="s">
        <v>8603</v>
      </c>
      <c r="C1534" t="s">
        <v>8565</v>
      </c>
      <c r="G1534" t="str">
        <f t="shared" si="231"/>
        <v>#{#SNMPVALUE}: High CPU utilization (over {$CPU.UTIL.CRIT}% for 5m)</v>
      </c>
      <c r="H1534" t="e">
        <f>INDEX('7.0.17'!G:G,MATCH(G1534,'7.0.17'!F:F,0))</f>
        <v>#N/A</v>
      </c>
      <c r="I1534" t="e">
        <f t="shared" si="225"/>
        <v>#N/A</v>
      </c>
    </row>
    <row r="1535" spans="1:9">
      <c r="A1535" t="s">
        <v>8983</v>
      </c>
      <c r="B1535" t="s">
        <v>8603</v>
      </c>
      <c r="C1535" t="s">
        <v>8515</v>
      </c>
      <c r="G1535" t="str">
        <f t="shared" si="231"/>
        <v>#{#SNMPVALUE}: High memory utilization (&gt;{$MEMORY.UTIL.MAX}% for 5m)</v>
      </c>
      <c r="H1535" t="e">
        <f>INDEX('7.0.17'!G:G,MATCH(G1535,'7.0.17'!F:F,0))</f>
        <v>#N/A</v>
      </c>
      <c r="I1535" t="e">
        <f t="shared" si="225"/>
        <v>#N/A</v>
      </c>
    </row>
    <row r="1536" spans="1:9">
      <c r="A1536" t="s">
        <v>8984</v>
      </c>
      <c r="B1536" t="s">
        <v>8985</v>
      </c>
      <c r="G1536" t="str">
        <f>B1536</f>
        <v>Current storage usage is too high (over {$PD.STORAGE_USAGE.MAX.WARN}% for 5m)</v>
      </c>
      <c r="H1536" t="e">
        <f>INDEX('7.0.17'!G:G,MATCH(G1536,'7.0.17'!F:F,0))</f>
        <v>#N/A</v>
      </c>
      <c r="I1536" t="e">
        <f t="shared" si="225"/>
        <v>#N/A</v>
      </c>
    </row>
    <row r="1537" spans="1:9">
      <c r="A1537" t="s">
        <v>8984</v>
      </c>
      <c r="B1537" t="s">
        <v>8986</v>
      </c>
      <c r="G1537" t="str">
        <f>B1537</f>
        <v>Too many missed regions (over {$PD.MISS_REGION.MAX.WARN} in 5m)</v>
      </c>
      <c r="H1537" t="e">
        <f>INDEX('7.0.17'!G:G,MATCH(G1537,'7.0.17'!F:F,0))</f>
        <v>#N/A</v>
      </c>
      <c r="I1537" t="e">
        <f t="shared" si="225"/>
        <v>#N/A</v>
      </c>
    </row>
    <row r="1538" spans="1:9">
      <c r="A1538" t="s">
        <v>8987</v>
      </c>
      <c r="B1538" t="s">
        <v>8988</v>
      </c>
      <c r="C1538" t="s">
        <v>8989</v>
      </c>
      <c r="G1538" t="str">
        <f>B1538&amp;":"&amp;C1538</f>
        <v>Store_id {#STORE_ID}: Too many failure messages "{#TYPE}" (over {$TIKV.STORE.ERRORS.MAX.WARN} in 5m)</v>
      </c>
      <c r="H1538" t="e">
        <f>INDEX('7.0.17'!G:G,MATCH(G1538,'7.0.17'!F:F,0))</f>
        <v>#N/A</v>
      </c>
      <c r="I1538" t="e">
        <f t="shared" si="225"/>
        <v>#N/A</v>
      </c>
    </row>
    <row r="1539" spans="1:9">
      <c r="A1539" t="s">
        <v>8990</v>
      </c>
      <c r="B1539" t="s">
        <v>8991</v>
      </c>
      <c r="C1539" t="s">
        <v>8992</v>
      </c>
      <c r="G1539" t="str">
        <f>B1539&amp;":"&amp;C1539</f>
        <v>Repo [{#SLUG}]: Percent of successful builds are &lt; {$TRAVIS.BUILDS.SUCCESS.PERCENT}%</v>
      </c>
      <c r="H1539" t="e">
        <f>INDEX('7.0.17'!G:G,MATCH(G1539,'7.0.17'!F:F,0))</f>
        <v>#N/A</v>
      </c>
      <c r="I1539" t="e">
        <f t="shared" ref="I1539:I1602" si="232">A1539&amp;": "&amp;H1539</f>
        <v>#N/A</v>
      </c>
    </row>
    <row r="1540" spans="1:9">
      <c r="A1540" t="s">
        <v>8993</v>
      </c>
      <c r="B1540" t="s">
        <v>8994</v>
      </c>
      <c r="C1540" t="s">
        <v>8995</v>
      </c>
      <c r="D1540" t="s">
        <v>8996</v>
      </c>
      <c r="G1540" t="str">
        <f>A1540&amp;": "&amp;B1540&amp;":"&amp;C1540&amp;":"&amp;D1540</f>
        <v>TrueNAS CORE: Disk [{#DISK_NAME}]: Average disk temperature is too high (over {$TEMPERATURE.MAX.CRIT:"{#DISK_NAME}"}C for 5m)</v>
      </c>
      <c r="H1540" t="e">
        <f>INDEX('7.0.17'!G:G,MATCH(G1540,'7.0.17'!F:F,0))</f>
        <v>#N/A</v>
      </c>
      <c r="I1540" t="e">
        <f t="shared" si="232"/>
        <v>#N/A</v>
      </c>
    </row>
    <row r="1541" spans="1:9">
      <c r="A1541" t="s">
        <v>8993</v>
      </c>
      <c r="B1541" t="s">
        <v>8994</v>
      </c>
      <c r="C1541" t="s">
        <v>8997</v>
      </c>
      <c r="D1541" t="s">
        <v>8996</v>
      </c>
      <c r="G1541" t="str">
        <f>A1541&amp;": "&amp;B1541&amp;":"&amp;C1541&amp;":"&amp;D1541</f>
        <v>TrueNAS CORE: Disk [{#DISK_NAME}]: Average disk temperature is too high (over {$TEMPERATURE.MAX.WARN:"{#DISK_NAME}"}C for 5m)</v>
      </c>
      <c r="H1541" t="e">
        <f>INDEX('7.0.17'!G:G,MATCH(G1541,'7.0.17'!F:F,0))</f>
        <v>#N/A</v>
      </c>
      <c r="I1541" t="e">
        <f t="shared" si="232"/>
        <v>#N/A</v>
      </c>
    </row>
    <row r="1542" spans="1:9">
      <c r="A1542" t="s">
        <v>8998</v>
      </c>
      <c r="B1542" t="s">
        <v>8433</v>
      </c>
      <c r="C1542" t="s">
        <v>8434</v>
      </c>
      <c r="D1542" t="s">
        <v>8435</v>
      </c>
      <c r="G1542" t="str">
        <f t="shared" ref="G1540:G1543" si="233">B1542&amp;":"&amp;C1542&amp;":"&amp;D1542</f>
        <v>Interface {#IFNAME}({#IFALIAS}): High error rate (&gt;{$IF.ERRORS.WARN:{#IFNAME}} for 5m)</v>
      </c>
      <c r="H1542" t="e">
        <f>INDEX('7.0.17'!G:G,MATCH(G1542,'7.0.17'!F:F,0))</f>
        <v>#N/A</v>
      </c>
      <c r="I1542" t="e">
        <f t="shared" si="232"/>
        <v>#N/A</v>
      </c>
    </row>
    <row r="1543" spans="1:9">
      <c r="A1543" t="s">
        <v>8998</v>
      </c>
      <c r="B1543" t="s">
        <v>8433</v>
      </c>
      <c r="C1543" t="s">
        <v>8436</v>
      </c>
      <c r="D1543" t="s">
        <v>8437</v>
      </c>
      <c r="G1543" t="str">
        <f t="shared" si="233"/>
        <v>Interface {#IFNAME}({#IFALIAS}): High bandwidth usage (&gt;{$IF.UTIL.MAX:{#IFNAME}}%)</v>
      </c>
      <c r="H1543" t="e">
        <f>INDEX('7.0.17'!G:G,MATCH(G1543,'7.0.17'!F:F,0))</f>
        <v>#N/A</v>
      </c>
      <c r="I1543" t="e">
        <f t="shared" si="232"/>
        <v>#N/A</v>
      </c>
    </row>
    <row r="1544" spans="1:9">
      <c r="A1544" t="s">
        <v>8999</v>
      </c>
      <c r="B1544" t="s">
        <v>9000</v>
      </c>
      <c r="C1544" t="s">
        <v>9001</v>
      </c>
      <c r="G1544" t="str">
        <f>B1544&amp;":"&amp;C1544</f>
        <v>Edge [{#NAME}]: Edge has been restarted (uptime &lt; 10m)</v>
      </c>
      <c r="H1544" t="e">
        <f>INDEX('7.0.17'!G:G,MATCH(G1544,'7.0.17'!F:F,0))</f>
        <v>#N/A</v>
      </c>
      <c r="I1544" t="e">
        <f t="shared" si="232"/>
        <v>#N/A</v>
      </c>
    </row>
    <row r="1545" spans="1:9">
      <c r="A1545" t="s">
        <v>8999</v>
      </c>
      <c r="B1545" t="s">
        <v>9002</v>
      </c>
      <c r="C1545" t="s">
        <v>9003</v>
      </c>
      <c r="G1545" t="str">
        <f>B1545&amp;":"&amp;C1545</f>
        <v>Gateway [{#NAME}]: Gateway has been restarted (uptime &lt; 10m)</v>
      </c>
      <c r="H1545" t="e">
        <f>INDEX('7.0.17'!G:G,MATCH(G1545,'7.0.17'!F:F,0))</f>
        <v>#N/A</v>
      </c>
      <c r="I1545" t="e">
        <f t="shared" si="232"/>
        <v>#N/A</v>
      </c>
    </row>
    <row r="1546" spans="1:9">
      <c r="A1546" t="s">
        <v>4277</v>
      </c>
      <c r="B1546" t="s">
        <v>9004</v>
      </c>
      <c r="G1546" t="str">
        <f t="shared" ref="G1546:G1549" si="234">B1546</f>
        <v>Datastore free space is critically low ([{#DATASTORE}] free space &lt; {$VMWARE.DATASTORE.SPACE.CRIT}%)</v>
      </c>
      <c r="H1546" t="e">
        <f>INDEX('7.0.17'!G:G,MATCH(G1546,'7.0.17'!F:F,0))</f>
        <v>#N/A</v>
      </c>
      <c r="I1546" t="e">
        <f t="shared" si="232"/>
        <v>#N/A</v>
      </c>
    </row>
    <row r="1547" spans="1:9">
      <c r="A1547" t="s">
        <v>4277</v>
      </c>
      <c r="B1547" t="s">
        <v>9005</v>
      </c>
      <c r="G1547" t="str">
        <f t="shared" si="234"/>
        <v>Datastore free space is low ([{#DATASTORE}] free space &lt; {$VMWARE.DATASTORE.SPACE.WARN}%)</v>
      </c>
      <c r="H1547" t="e">
        <f>INDEX('7.0.17'!G:G,MATCH(G1547,'7.0.17'!F:F,0))</f>
        <v>#N/A</v>
      </c>
      <c r="I1547" t="e">
        <f t="shared" si="232"/>
        <v>#N/A</v>
      </c>
    </row>
    <row r="1548" spans="1:9">
      <c r="A1548" t="s">
        <v>4286</v>
      </c>
      <c r="B1548" t="s">
        <v>9004</v>
      </c>
      <c r="G1548" t="str">
        <f t="shared" si="234"/>
        <v>Datastore free space is critically low ([{#DATASTORE}] free space &lt; {$VMWARE.DATASTORE.SPACE.CRIT}%)</v>
      </c>
      <c r="H1548" t="e">
        <f>INDEX('7.0.17'!G:G,MATCH(G1548,'7.0.17'!F:F,0))</f>
        <v>#N/A</v>
      </c>
      <c r="I1548" t="e">
        <f t="shared" si="232"/>
        <v>#N/A</v>
      </c>
    </row>
    <row r="1549" spans="1:9">
      <c r="A1549" t="s">
        <v>4286</v>
      </c>
      <c r="B1549" t="s">
        <v>9005</v>
      </c>
      <c r="G1549" t="str">
        <f t="shared" si="234"/>
        <v>Datastore free space is low ([{#DATASTORE}] free space &lt; {$VMWARE.DATASTORE.SPACE.WARN}%)</v>
      </c>
      <c r="H1549" t="e">
        <f>INDEX('7.0.17'!G:G,MATCH(G1549,'7.0.17'!F:F,0))</f>
        <v>#N/A</v>
      </c>
      <c r="I1549" t="e">
        <f t="shared" si="232"/>
        <v>#N/A</v>
      </c>
    </row>
    <row r="1550" spans="1:9">
      <c r="A1550" t="s">
        <v>8172</v>
      </c>
      <c r="B1550" t="s">
        <v>8579</v>
      </c>
      <c r="C1550" t="s">
        <v>9006</v>
      </c>
      <c r="D1550" t="s">
        <v>9007</v>
      </c>
      <c r="G1550" t="str">
        <f>B1550&amp;":"&amp;C1550&amp;":"&amp;D1550</f>
        <v>[{#FSNAME}]: Disk space is critically low (below {$VMWARE.VM.FS.PFREE.MIN.CRIT:{#FSNAME}}% for 5m)</v>
      </c>
      <c r="H1550" t="e">
        <f>INDEX('7.0.17'!G:G,MATCH(G1550,'7.0.17'!F:F,0))</f>
        <v>#N/A</v>
      </c>
      <c r="I1550" t="e">
        <f t="shared" si="232"/>
        <v>#N/A</v>
      </c>
    </row>
    <row r="1551" spans="1:9">
      <c r="A1551" t="s">
        <v>8172</v>
      </c>
      <c r="B1551" t="s">
        <v>8579</v>
      </c>
      <c r="C1551" t="s">
        <v>9008</v>
      </c>
      <c r="D1551" t="s">
        <v>9007</v>
      </c>
      <c r="G1551" t="str">
        <f>B1551&amp;":"&amp;C1551&amp;":"&amp;D1551</f>
        <v>[{#FSNAME}]: Disk space is low (below {$VMWARE.VM.FS.PFREE.MIN.WARN:{#FSNAME}}% for 5m)</v>
      </c>
      <c r="H1551" t="e">
        <f>INDEX('7.0.17'!G:G,MATCH(G1551,'7.0.17'!F:F,0))</f>
        <v>#N/A</v>
      </c>
      <c r="I1551" t="e">
        <f t="shared" si="232"/>
        <v>#N/A</v>
      </c>
    </row>
    <row r="1552" spans="1:9">
      <c r="A1552" t="s">
        <v>4291</v>
      </c>
      <c r="B1552" t="s">
        <v>9009</v>
      </c>
      <c r="G1552" t="str">
        <f t="shared" ref="G1552:G1556" si="235">B1552</f>
        <v>The multipath count for datastore [{#DATASTORE}] has been changed</v>
      </c>
      <c r="H1552" t="e">
        <f>INDEX('7.0.17'!G:G,MATCH(G1552,'7.0.17'!F:F,0))</f>
        <v>#N/A</v>
      </c>
      <c r="I1552" t="e">
        <f t="shared" si="232"/>
        <v>#N/A</v>
      </c>
    </row>
    <row r="1553" spans="1:9">
      <c r="A1553" t="s">
        <v>4291</v>
      </c>
      <c r="B1553" t="s">
        <v>9010</v>
      </c>
      <c r="G1553" t="str">
        <f t="shared" si="235"/>
        <v>Datastore free space is critically low ([{#DATASTORE}] free space &lt; {$VMWARE.HV.DATASTORE.SPACE.CRIT}%)</v>
      </c>
      <c r="H1553" t="e">
        <f>INDEX('7.0.17'!G:G,MATCH(G1553,'7.0.17'!F:F,0))</f>
        <v>#N/A</v>
      </c>
      <c r="I1553" t="e">
        <f t="shared" si="232"/>
        <v>#N/A</v>
      </c>
    </row>
    <row r="1554" spans="1:9">
      <c r="A1554" t="s">
        <v>4291</v>
      </c>
      <c r="B1554" t="s">
        <v>9011</v>
      </c>
      <c r="G1554" t="str">
        <f t="shared" si="235"/>
        <v>Datastore free space is low ([{#DATASTORE}] free space &lt; {$VMWARE.HV.DATASTORE.SPACE.WARN}%)</v>
      </c>
      <c r="H1554" t="e">
        <f>INDEX('7.0.17'!G:G,MATCH(G1554,'7.0.17'!F:F,0))</f>
        <v>#N/A</v>
      </c>
      <c r="I1554" t="e">
        <f t="shared" si="232"/>
        <v>#N/A</v>
      </c>
    </row>
    <row r="1555" spans="1:9">
      <c r="A1555" t="s">
        <v>9012</v>
      </c>
      <c r="B1555" t="s">
        <v>9013</v>
      </c>
      <c r="G1555" t="str">
        <f t="shared" si="235"/>
        <v>Failed job [{#NAME}]</v>
      </c>
      <c r="H1555" t="e">
        <f>INDEX('7.0.17'!G:G,MATCH(G1555,'7.0.17'!F:F,0))</f>
        <v>#N/A</v>
      </c>
      <c r="I1555" t="e">
        <f t="shared" si="232"/>
        <v>#N/A</v>
      </c>
    </row>
    <row r="1556" spans="1:9">
      <c r="A1556" t="s">
        <v>9012</v>
      </c>
      <c r="B1556" t="s">
        <v>9014</v>
      </c>
      <c r="G1556" t="str">
        <f t="shared" si="235"/>
        <v>Failed session [{#NAME}]</v>
      </c>
      <c r="H1556" t="e">
        <f>INDEX('7.0.17'!G:G,MATCH(G1556,'7.0.17'!F:F,0))</f>
        <v>#N/A</v>
      </c>
      <c r="I1556" t="e">
        <f t="shared" si="232"/>
        <v>#N/A</v>
      </c>
    </row>
    <row r="1557" spans="1:9">
      <c r="A1557" t="s">
        <v>9015</v>
      </c>
      <c r="B1557" t="s">
        <v>9016</v>
      </c>
      <c r="C1557" t="s">
        <v>9017</v>
      </c>
      <c r="G1557" t="str">
        <f>B1557&amp;":"&amp;C1557</f>
        <v>{#JMX_DATA_SOURCE}: Connection usage is too high (over {$WILDFLY.CONN.USAGE.WARN.MAX} in 5m)</v>
      </c>
      <c r="H1557" t="e">
        <f>INDEX('7.0.17'!G:G,MATCH(G1557,'7.0.17'!F:F,0))</f>
        <v>#N/A</v>
      </c>
      <c r="I1557" t="e">
        <f t="shared" si="232"/>
        <v>#N/A</v>
      </c>
    </row>
    <row r="1558" spans="1:9">
      <c r="A1558" t="s">
        <v>9015</v>
      </c>
      <c r="B1558" t="s">
        <v>9016</v>
      </c>
      <c r="C1558" t="s">
        <v>9018</v>
      </c>
      <c r="G1558" t="str">
        <f>B1558&amp;":"&amp;C1558</f>
        <v>{#JMX_DATA_SOURCE}: Too many waiting connections (over {$WILDFLY.CONN.WAIT.MAX.WARN} for 5m)</v>
      </c>
      <c r="H1558" t="e">
        <f>INDEX('7.0.17'!G:G,MATCH(G1558,'7.0.17'!F:F,0))</f>
        <v>#N/A</v>
      </c>
      <c r="I1558" t="e">
        <f t="shared" si="232"/>
        <v>#N/A</v>
      </c>
    </row>
    <row r="1559" spans="1:9">
      <c r="A1559" t="s">
        <v>9015</v>
      </c>
      <c r="B1559" t="s">
        <v>9019</v>
      </c>
      <c r="C1559" t="s">
        <v>9020</v>
      </c>
      <c r="D1559" t="s">
        <v>8461</v>
      </c>
      <c r="G1559" t="str">
        <f t="shared" ref="G1559:G1563" si="236">B1559&amp;":"&amp;C1559&amp;":"&amp;D1559</f>
        <v>Deployment [{#DEPLOYMENT}]: Deployment status has changed (new status: {ITEM.VALUE})</v>
      </c>
      <c r="H1559" t="e">
        <f>INDEX('7.0.17'!G:G,MATCH(G1559,'7.0.17'!F:F,0))</f>
        <v>#N/A</v>
      </c>
      <c r="I1559" t="e">
        <f t="shared" si="232"/>
        <v>#N/A</v>
      </c>
    </row>
    <row r="1560" spans="1:9">
      <c r="A1560" t="s">
        <v>9021</v>
      </c>
      <c r="B1560" t="s">
        <v>8433</v>
      </c>
      <c r="C1560" t="s">
        <v>8434</v>
      </c>
      <c r="D1560" t="s">
        <v>8435</v>
      </c>
      <c r="G1560" t="str">
        <f t="shared" si="236"/>
        <v>Interface {#IFNAME}({#IFALIAS}): High error rate (&gt;{$IF.ERRORS.WARN:{#IFNAME}} for 5m)</v>
      </c>
      <c r="H1560" t="e">
        <f>INDEX('7.0.17'!G:G,MATCH(G1560,'7.0.17'!F:F,0))</f>
        <v>#N/A</v>
      </c>
      <c r="I1560" t="e">
        <f t="shared" si="232"/>
        <v>#N/A</v>
      </c>
    </row>
    <row r="1561" spans="1:9">
      <c r="A1561" t="s">
        <v>9021</v>
      </c>
      <c r="B1561" t="s">
        <v>8433</v>
      </c>
      <c r="C1561" t="s">
        <v>8436</v>
      </c>
      <c r="D1561" t="s">
        <v>8437</v>
      </c>
      <c r="G1561" t="str">
        <f t="shared" si="236"/>
        <v>Interface {#IFNAME}({#IFALIAS}): High bandwidth usage (&gt;{$IF.UTIL.MAX:{#IFNAME}}%)</v>
      </c>
      <c r="H1561" t="e">
        <f>INDEX('7.0.17'!G:G,MATCH(G1561,'7.0.17'!F:F,0))</f>
        <v>#N/A</v>
      </c>
      <c r="I1561" t="e">
        <f t="shared" si="232"/>
        <v>#N/A</v>
      </c>
    </row>
    <row r="1562" spans="1:9">
      <c r="A1562" t="s">
        <v>9021</v>
      </c>
      <c r="B1562" t="s">
        <v>8642</v>
      </c>
      <c r="C1562" t="s">
        <v>8389</v>
      </c>
      <c r="D1562" t="s">
        <v>9022</v>
      </c>
      <c r="G1562" t="str">
        <f t="shared" si="236"/>
        <v>FS [{#FSNAME}]: Space is critically low (used &gt; {$VFS.FS.PUSED.MAX.CRIT:{#FSNAME}}%, total {{?last(//vfs.fs.total[hrStorageSize.{#SNMPINDEX}])/1024/1024/1024}.fmtnum(1)}GB)</v>
      </c>
      <c r="H1562" t="e">
        <f>INDEX('7.0.17'!G:G,MATCH(G1562,'7.0.17'!F:F,0))</f>
        <v>#N/A</v>
      </c>
      <c r="I1562" t="e">
        <f t="shared" si="232"/>
        <v>#N/A</v>
      </c>
    </row>
    <row r="1563" spans="1:9">
      <c r="A1563" t="s">
        <v>9021</v>
      </c>
      <c r="B1563" t="s">
        <v>8642</v>
      </c>
      <c r="C1563" t="s">
        <v>8387</v>
      </c>
      <c r="D1563" t="s">
        <v>9022</v>
      </c>
      <c r="G1563" t="str">
        <f t="shared" si="236"/>
        <v>FS [{#FSNAME}]: Space is low (used &gt; {$VFS.FS.PUSED.MAX.WARN:{#FSNAME}}%, total {{?last(//vfs.fs.total[hrStorageSize.{#SNMPINDEX}])/1024/1024/1024}.fmtnum(1)}GB)</v>
      </c>
      <c r="H1563" t="e">
        <f>INDEX('7.0.17'!G:G,MATCH(G1563,'7.0.17'!F:F,0))</f>
        <v>#N/A</v>
      </c>
      <c r="I1563" t="e">
        <f t="shared" si="232"/>
        <v>#N/A</v>
      </c>
    </row>
    <row r="1564" spans="1:9">
      <c r="A1564" t="s">
        <v>9021</v>
      </c>
      <c r="B1564" t="s">
        <v>8514</v>
      </c>
      <c r="C1564" t="s">
        <v>8515</v>
      </c>
      <c r="G1564" t="str">
        <f>B1564&amp;":"&amp;C1564</f>
        <v>{#MEMNAME}: High memory utilization (&gt;{$MEMORY.UTIL.MAX}% for 5m)</v>
      </c>
      <c r="H1564" t="e">
        <f>INDEX('7.0.17'!G:G,MATCH(G1564,'7.0.17'!F:F,0))</f>
        <v>#N/A</v>
      </c>
      <c r="I1564" t="e">
        <f t="shared" si="232"/>
        <v>#N/A</v>
      </c>
    </row>
    <row r="1565" spans="1:9">
      <c r="A1565" t="s">
        <v>9021</v>
      </c>
      <c r="B1565" t="s">
        <v>8433</v>
      </c>
      <c r="C1565" t="s">
        <v>8434</v>
      </c>
      <c r="D1565" t="s">
        <v>8435</v>
      </c>
      <c r="G1565" t="str">
        <f t="shared" ref="G1565:G1569" si="237">B1565&amp;":"&amp;C1565&amp;":"&amp;D1565</f>
        <v>Interface {#IFNAME}({#IFALIAS}): High error rate (&gt;{$IF.ERRORS.WARN:{#IFNAME}} for 5m)</v>
      </c>
      <c r="H1565" t="e">
        <f>INDEX('7.0.17'!G:G,MATCH(G1565,'7.0.17'!F:F,0))</f>
        <v>#N/A</v>
      </c>
      <c r="I1565" t="e">
        <f t="shared" si="232"/>
        <v>#N/A</v>
      </c>
    </row>
    <row r="1566" spans="1:9">
      <c r="A1566" t="s">
        <v>9021</v>
      </c>
      <c r="B1566" t="s">
        <v>8433</v>
      </c>
      <c r="C1566" t="s">
        <v>8436</v>
      </c>
      <c r="D1566" t="s">
        <v>8437</v>
      </c>
      <c r="G1566" t="str">
        <f t="shared" si="237"/>
        <v>Interface {#IFNAME}({#IFALIAS}): High bandwidth usage (&gt;{$IF.UTIL.MAX:{#IFNAME}}%)</v>
      </c>
      <c r="H1566" t="e">
        <f>INDEX('7.0.17'!G:G,MATCH(G1566,'7.0.17'!F:F,0))</f>
        <v>#N/A</v>
      </c>
      <c r="I1566" t="e">
        <f t="shared" si="232"/>
        <v>#N/A</v>
      </c>
    </row>
    <row r="1567" spans="1:9">
      <c r="A1567" t="s">
        <v>9021</v>
      </c>
      <c r="B1567" t="s">
        <v>8823</v>
      </c>
      <c r="C1567" t="s">
        <v>9023</v>
      </c>
      <c r="G1567" t="str">
        <f>B1567&amp;":"&amp;C1567</f>
        <v>{#DEVNAME}: Disk is overloaded (util &gt; {$VFS.DEV.UTIL.MAX.WARN}% for 15m)</v>
      </c>
      <c r="H1567" t="e">
        <f>INDEX('7.0.17'!G:G,MATCH(G1567,'7.0.17'!F:F,0))</f>
        <v>#N/A</v>
      </c>
      <c r="I1567" t="e">
        <f t="shared" si="232"/>
        <v>#N/A</v>
      </c>
    </row>
    <row r="1568" spans="1:9">
      <c r="A1568" t="s">
        <v>9021</v>
      </c>
      <c r="B1568" t="s">
        <v>8823</v>
      </c>
      <c r="C1568" t="s">
        <v>9024</v>
      </c>
      <c r="D1568" t="s">
        <v>9025</v>
      </c>
      <c r="G1568" t="str">
        <f t="shared" si="237"/>
        <v>{#DEVNAME}: Disk read request responses are too high (read &gt; {$VFS.DEV.READ.AWAIT.WARN:"{#DEVNAME}"}s for 15m)</v>
      </c>
      <c r="H1568" t="e">
        <f>INDEX('7.0.17'!G:G,MATCH(G1568,'7.0.17'!F:F,0))</f>
        <v>#N/A</v>
      </c>
      <c r="I1568" t="e">
        <f t="shared" si="232"/>
        <v>#N/A</v>
      </c>
    </row>
    <row r="1569" spans="1:9">
      <c r="A1569" t="s">
        <v>9021</v>
      </c>
      <c r="B1569" t="s">
        <v>8823</v>
      </c>
      <c r="C1569" t="s">
        <v>9026</v>
      </c>
      <c r="D1569" t="s">
        <v>9025</v>
      </c>
      <c r="G1569" t="str">
        <f t="shared" si="237"/>
        <v>{#DEVNAME}: Disk write request responses are too high (write &gt; {$VFS.DEV.WRITE.AWAIT.WARN:"{#DEVNAME}"}s for 15m)</v>
      </c>
      <c r="H1569" t="e">
        <f>INDEX('7.0.17'!G:G,MATCH(G1569,'7.0.17'!F:F,0))</f>
        <v>#N/A</v>
      </c>
      <c r="I1569" t="e">
        <f t="shared" si="232"/>
        <v>#N/A</v>
      </c>
    </row>
    <row r="1570" spans="1:9">
      <c r="A1570" t="s">
        <v>9021</v>
      </c>
      <c r="B1570" t="s">
        <v>4348</v>
      </c>
      <c r="G1570" t="str">
        <f>B1570</f>
        <v>"{#SERVICE.NAME}" ({#SERVICE.DISPLAYNAME}) is not running (startup type {#SERVICE.STARTUPNAME})</v>
      </c>
      <c r="H1570" t="e">
        <f>INDEX('7.0.17'!G:G,MATCH(G1570,'7.0.17'!F:F,0))</f>
        <v>#N/A</v>
      </c>
      <c r="I1570" t="e">
        <f t="shared" si="232"/>
        <v>#N/A</v>
      </c>
    </row>
    <row r="1571" spans="1:9">
      <c r="A1571" t="s">
        <v>9021</v>
      </c>
      <c r="B1571" t="s">
        <v>9027</v>
      </c>
      <c r="C1571" t="s">
        <v>8389</v>
      </c>
      <c r="D1571" t="s">
        <v>9028</v>
      </c>
      <c r="G1571" t="str">
        <f t="shared" ref="G1571:G1574" si="238">B1571&amp;":"&amp;C1571&amp;":"&amp;D1571</f>
        <v>FS [{#FSLABEL}({#FSNAME})]: Space is critically low (used &gt; {$VFS.FS.PUSED.MAX.CRIT:{#FSLABEL}({#FSNAME})}%, total {{?last(//vfs.fs.dependent.size[{#FSNAME},total])/1024/1024/1024}.fmtnum(1)}GB)</v>
      </c>
      <c r="H1571" t="e">
        <f>INDEX('7.0.17'!G:G,MATCH(G1571,'7.0.17'!F:F,0))</f>
        <v>#N/A</v>
      </c>
      <c r="I1571" t="e">
        <f t="shared" si="232"/>
        <v>#N/A</v>
      </c>
    </row>
    <row r="1572" spans="1:9">
      <c r="A1572" t="s">
        <v>9021</v>
      </c>
      <c r="B1572" t="s">
        <v>9027</v>
      </c>
      <c r="C1572" t="s">
        <v>8387</v>
      </c>
      <c r="D1572" t="s">
        <v>9028</v>
      </c>
      <c r="G1572" t="str">
        <f t="shared" si="238"/>
        <v>FS [{#FSLABEL}({#FSNAME})]: Space is low (used &gt; {$VFS.FS.PUSED.MAX.WARN:{#FSLABEL}({#FSNAME})}%, total {{?last(//vfs.fs.dependent.size[{#FSNAME},total])/1024/1024/1024}.fmtnum(1)}GB)</v>
      </c>
      <c r="H1572" t="e">
        <f>INDEX('7.0.17'!G:G,MATCH(G1572,'7.0.17'!F:F,0))</f>
        <v>#N/A</v>
      </c>
      <c r="I1572" t="e">
        <f t="shared" si="232"/>
        <v>#N/A</v>
      </c>
    </row>
    <row r="1573" spans="1:9">
      <c r="A1573" t="s">
        <v>9021</v>
      </c>
      <c r="B1573" t="s">
        <v>8433</v>
      </c>
      <c r="C1573" t="s">
        <v>8434</v>
      </c>
      <c r="D1573" t="s">
        <v>8435</v>
      </c>
      <c r="G1573" t="str">
        <f t="shared" si="238"/>
        <v>Interface {#IFNAME}({#IFALIAS}): High error rate (&gt;{$IF.ERRORS.WARN:{#IFNAME}} for 5m)</v>
      </c>
      <c r="H1573" t="e">
        <f>INDEX('7.0.17'!G:G,MATCH(G1573,'7.0.17'!F:F,0))</f>
        <v>#N/A</v>
      </c>
      <c r="I1573" t="e">
        <f t="shared" si="232"/>
        <v>#N/A</v>
      </c>
    </row>
    <row r="1574" spans="1:9">
      <c r="A1574" t="s">
        <v>9021</v>
      </c>
      <c r="B1574" t="s">
        <v>8433</v>
      </c>
      <c r="C1574" t="s">
        <v>8436</v>
      </c>
      <c r="D1574" t="s">
        <v>8437</v>
      </c>
      <c r="G1574" t="str">
        <f t="shared" si="238"/>
        <v>Interface {#IFNAME}({#IFALIAS}): High bandwidth usage (&gt;{$IF.UTIL.MAX:{#IFNAME}}%)</v>
      </c>
      <c r="H1574" t="e">
        <f>INDEX('7.0.17'!G:G,MATCH(G1574,'7.0.17'!F:F,0))</f>
        <v>#N/A</v>
      </c>
      <c r="I1574" t="e">
        <f t="shared" si="232"/>
        <v>#N/A</v>
      </c>
    </row>
    <row r="1575" spans="1:9">
      <c r="A1575" t="s">
        <v>9021</v>
      </c>
      <c r="B1575" t="s">
        <v>8823</v>
      </c>
      <c r="C1575" t="s">
        <v>9023</v>
      </c>
      <c r="G1575" t="str">
        <f>B1575&amp;":"&amp;C1575</f>
        <v>{#DEVNAME}: Disk is overloaded (util &gt; {$VFS.DEV.UTIL.MAX.WARN}% for 15m)</v>
      </c>
      <c r="H1575" t="e">
        <f>INDEX('7.0.17'!G:G,MATCH(G1575,'7.0.17'!F:F,0))</f>
        <v>#N/A</v>
      </c>
      <c r="I1575" t="e">
        <f t="shared" si="232"/>
        <v>#N/A</v>
      </c>
    </row>
    <row r="1576" spans="1:9">
      <c r="A1576" t="s">
        <v>9021</v>
      </c>
      <c r="B1576" t="s">
        <v>8823</v>
      </c>
      <c r="C1576" t="s">
        <v>9024</v>
      </c>
      <c r="D1576" t="s">
        <v>9025</v>
      </c>
      <c r="G1576" t="str">
        <f t="shared" ref="G1576:G1580" si="239">B1576&amp;":"&amp;C1576&amp;":"&amp;D1576</f>
        <v>{#DEVNAME}: Disk read request responses are too high (read &gt; {$VFS.DEV.READ.AWAIT.WARN:"{#DEVNAME}"}s for 15m)</v>
      </c>
      <c r="H1576" t="e">
        <f>INDEX('7.0.17'!G:G,MATCH(G1576,'7.0.17'!F:F,0))</f>
        <v>#N/A</v>
      </c>
      <c r="I1576" t="e">
        <f t="shared" si="232"/>
        <v>#N/A</v>
      </c>
    </row>
    <row r="1577" spans="1:9">
      <c r="A1577" t="s">
        <v>9021</v>
      </c>
      <c r="B1577" t="s">
        <v>8823</v>
      </c>
      <c r="C1577" t="s">
        <v>9026</v>
      </c>
      <c r="D1577" t="s">
        <v>9025</v>
      </c>
      <c r="G1577" t="str">
        <f t="shared" si="239"/>
        <v>{#DEVNAME}: Disk write request responses are too high (write &gt; {$VFS.DEV.WRITE.AWAIT.WARN:"{#DEVNAME}"}s for 15m)</v>
      </c>
      <c r="H1577" t="e">
        <f>INDEX('7.0.17'!G:G,MATCH(G1577,'7.0.17'!F:F,0))</f>
        <v>#N/A</v>
      </c>
      <c r="I1577" t="e">
        <f t="shared" si="232"/>
        <v>#N/A</v>
      </c>
    </row>
    <row r="1578" spans="1:9">
      <c r="A1578" t="s">
        <v>9021</v>
      </c>
      <c r="B1578" t="s">
        <v>4348</v>
      </c>
      <c r="G1578" t="str">
        <f>B1578</f>
        <v>"{#SERVICE.NAME}" ({#SERVICE.DISPLAYNAME}) is not running (startup type {#SERVICE.STARTUPNAME})</v>
      </c>
      <c r="H1578" t="e">
        <f>INDEX('7.0.17'!G:G,MATCH(G1578,'7.0.17'!F:F,0))</f>
        <v>#N/A</v>
      </c>
      <c r="I1578" t="e">
        <f t="shared" si="232"/>
        <v>#N/A</v>
      </c>
    </row>
    <row r="1579" spans="1:9">
      <c r="A1579" t="s">
        <v>9021</v>
      </c>
      <c r="B1579" t="s">
        <v>9027</v>
      </c>
      <c r="C1579" t="s">
        <v>8389</v>
      </c>
      <c r="D1579" t="s">
        <v>9028</v>
      </c>
      <c r="G1579" t="str">
        <f t="shared" si="239"/>
        <v>FS [{#FSLABEL}({#FSNAME})]: Space is critically low (used &gt; {$VFS.FS.PUSED.MAX.CRIT:{#FSLABEL}({#FSNAME})}%, total {{?last(//vfs.fs.dependent.size[{#FSNAME},total])/1024/1024/1024}.fmtnum(1)}GB)</v>
      </c>
      <c r="H1579" t="e">
        <f>INDEX('7.0.17'!G:G,MATCH(G1579,'7.0.17'!F:F,0))</f>
        <v>#N/A</v>
      </c>
      <c r="I1579" t="e">
        <f t="shared" si="232"/>
        <v>#N/A</v>
      </c>
    </row>
    <row r="1580" spans="1:9">
      <c r="A1580" t="s">
        <v>9021</v>
      </c>
      <c r="B1580" t="s">
        <v>9027</v>
      </c>
      <c r="C1580" t="s">
        <v>8387</v>
      </c>
      <c r="D1580" t="s">
        <v>9028</v>
      </c>
      <c r="G1580" t="str">
        <f t="shared" si="239"/>
        <v>FS [{#FSLABEL}({#FSNAME})]: Space is low (used &gt; {$VFS.FS.PUSED.MAX.WARN:{#FSLABEL}({#FSNAME})}%, total {{?last(//vfs.fs.dependent.size[{#FSNAME},total])/1024/1024/1024}.fmtnum(1)}GB)</v>
      </c>
      <c r="H1580" t="e">
        <f>INDEX('7.0.17'!G:G,MATCH(G1580,'7.0.17'!F:F,0))</f>
        <v>#N/A</v>
      </c>
      <c r="I1580" t="e">
        <f t="shared" si="232"/>
        <v>#N/A</v>
      </c>
    </row>
    <row r="1581" spans="1:9">
      <c r="A1581" t="s">
        <v>9029</v>
      </c>
      <c r="B1581" t="s">
        <v>9030</v>
      </c>
      <c r="C1581" t="s">
        <v>9031</v>
      </c>
      <c r="G1581" t="str">
        <f>B1581&amp;":"&amp;C1581</f>
        <v>YugabyteDB Node [{#NODE.NAME}]: Node disk IOPS utilization is high (over {$YUGABYTEDB.IOPS.UTILIZATION.WARN} for 5m)</v>
      </c>
      <c r="H1581" t="e">
        <f>INDEX('7.0.17'!G:G,MATCH(G1581,'7.0.17'!F:F,0))</f>
        <v>#N/A</v>
      </c>
      <c r="I1581" t="e">
        <f t="shared" si="232"/>
        <v>#N/A</v>
      </c>
    </row>
    <row r="1582" spans="1:9">
      <c r="A1582" t="s">
        <v>9029</v>
      </c>
      <c r="B1582" t="s">
        <v>9030</v>
      </c>
      <c r="C1582" t="s">
        <v>9032</v>
      </c>
      <c r="G1582" t="str">
        <f>B1582&amp;":"&amp;C1582</f>
        <v>YugabyteDB Node [{#NODE.NAME}]: Node disk IOPS utilization is too high (over {$YUGABYTEDB.IOPS.UTILIZATION.CRIT} for 5m)</v>
      </c>
      <c r="H1582" t="e">
        <f>INDEX('7.0.17'!G:G,MATCH(G1582,'7.0.17'!F:F,0))</f>
        <v>#N/A</v>
      </c>
      <c r="I1582" t="e">
        <f t="shared" si="232"/>
        <v>#N/A</v>
      </c>
    </row>
    <row r="1583" spans="1:9">
      <c r="A1583" t="s">
        <v>9033</v>
      </c>
      <c r="B1583" t="s">
        <v>9034</v>
      </c>
      <c r="G1583" t="str">
        <f t="shared" ref="G1583:G1587" si="240">B1583</f>
        <v>High the DSL line attenuation in Port {#SNMPINDEX} (&gt;{$ZYXEL.ADSL.ATN.MAX}dB for 5m)</v>
      </c>
      <c r="H1583" t="e">
        <f>INDEX('7.0.17'!G:G,MATCH(G1583,'7.0.17'!F:F,0))</f>
        <v>#N/A</v>
      </c>
      <c r="I1583" t="e">
        <f t="shared" si="232"/>
        <v>#N/A</v>
      </c>
    </row>
    <row r="1584" spans="1:9">
      <c r="A1584" t="s">
        <v>9033</v>
      </c>
      <c r="B1584" t="s">
        <v>9035</v>
      </c>
      <c r="G1584" t="str">
        <f t="shared" si="240"/>
        <v>Low the DSL line noise margins in Port {#SNMPINDEX} (&lt;{$ZYXEL.ADSL.SNR.MIN}dB for 5m)</v>
      </c>
      <c r="H1584" t="e">
        <f>INDEX('7.0.17'!G:G,MATCH(G1584,'7.0.17'!F:F,0))</f>
        <v>#N/A</v>
      </c>
      <c r="I1584" t="e">
        <f t="shared" si="232"/>
        <v>#N/A</v>
      </c>
    </row>
    <row r="1585" spans="1:9">
      <c r="A1585" t="s">
        <v>9033</v>
      </c>
      <c r="B1585" t="s">
        <v>9034</v>
      </c>
      <c r="G1585" t="str">
        <f t="shared" si="240"/>
        <v>High the DSL line attenuation in Port {#SNMPINDEX} (&gt;{$ZYXEL.ADSL.ATN.MAX}dB for 5m)</v>
      </c>
      <c r="H1585" t="e">
        <f>INDEX('7.0.17'!G:G,MATCH(G1585,'7.0.17'!F:F,0))</f>
        <v>#N/A</v>
      </c>
      <c r="I1585" t="e">
        <f t="shared" si="232"/>
        <v>#N/A</v>
      </c>
    </row>
    <row r="1586" spans="1:9">
      <c r="A1586" t="s">
        <v>9033</v>
      </c>
      <c r="B1586" t="s">
        <v>9035</v>
      </c>
      <c r="G1586" t="str">
        <f t="shared" si="240"/>
        <v>Low the DSL line noise margins in Port {#SNMPINDEX} (&lt;{$ZYXEL.ADSL.SNR.MIN}dB for 5m)</v>
      </c>
      <c r="H1586" t="e">
        <f>INDEX('7.0.17'!G:G,MATCH(G1586,'7.0.17'!F:F,0))</f>
        <v>#N/A</v>
      </c>
      <c r="I1586" t="e">
        <f t="shared" si="232"/>
        <v>#N/A</v>
      </c>
    </row>
    <row r="1587" spans="1:9">
      <c r="A1587" t="s">
        <v>9033</v>
      </c>
      <c r="B1587" t="s">
        <v>9036</v>
      </c>
      <c r="G1587" t="str">
        <f t="shared" si="240"/>
        <v>High memory utilization in "{#ZYXEL.MEMORY.NAME}" pool (&gt;{$MEMORY.UTIL.MAX}% for 5m)</v>
      </c>
      <c r="H1587" t="e">
        <f>INDEX('7.0.17'!G:G,MATCH(G1587,'7.0.17'!F:F,0))</f>
        <v>#N/A</v>
      </c>
      <c r="I1587" t="e">
        <f t="shared" si="232"/>
        <v>#N/A</v>
      </c>
    </row>
    <row r="1588" spans="1:9">
      <c r="A1588" t="s">
        <v>9033</v>
      </c>
      <c r="B1588" t="s">
        <v>9037</v>
      </c>
      <c r="C1588" t="s">
        <v>9038</v>
      </c>
      <c r="G1588" t="str">
        <f>B1588&amp;":"&amp;C1588</f>
        <v>SFP {#ZYXEL.SFP.PORT}: High {#ZYXEL.SFP.DESCRIPTION} (over {#ZYXEL.SFP.WARN.MAX}{#ZYXEL.SFP.UNIT})</v>
      </c>
      <c r="H1588" t="e">
        <f>INDEX('7.0.17'!G:G,MATCH(G1588,'7.0.17'!F:F,0))</f>
        <v>#N/A</v>
      </c>
      <c r="I1588" t="e">
        <f t="shared" si="232"/>
        <v>#N/A</v>
      </c>
    </row>
    <row r="1589" spans="1:9">
      <c r="A1589" t="s">
        <v>9033</v>
      </c>
      <c r="B1589" t="s">
        <v>9037</v>
      </c>
      <c r="C1589" t="s">
        <v>9039</v>
      </c>
      <c r="G1589" t="str">
        <f>B1589&amp;":"&amp;C1589</f>
        <v>SFP {#ZYXEL.SFP.PORT}: Low {#ZYXEL.SFP.DESCRIPTION} (less than {#ZYXEL.SFP.WARN.MIN}{#ZYXEL.SFP.UNIT})</v>
      </c>
      <c r="H1589" t="e">
        <f>INDEX('7.0.17'!G:G,MATCH(G1589,'7.0.17'!F:F,0))</f>
        <v>#N/A</v>
      </c>
      <c r="I1589" t="e">
        <f t="shared" si="232"/>
        <v>#N/A</v>
      </c>
    </row>
    <row r="1590" spans="1:9">
      <c r="A1590" t="s">
        <v>9033</v>
      </c>
      <c r="B1590" t="s">
        <v>9040</v>
      </c>
      <c r="G1590" t="str">
        <f t="shared" ref="G1590:G1612" si="241">B1590</f>
        <v>SFP {#SNMPINDEX} has been replaced (new serial number received)</v>
      </c>
      <c r="H1590" t="e">
        <f>INDEX('7.0.17'!G:G,MATCH(G1590,'7.0.17'!F:F,0))</f>
        <v>#N/A</v>
      </c>
      <c r="I1590" t="e">
        <f t="shared" si="232"/>
        <v>#N/A</v>
      </c>
    </row>
    <row r="1591" spans="1:9">
      <c r="A1591" t="s">
        <v>9033</v>
      </c>
      <c r="B1591" t="s">
        <v>9041</v>
      </c>
      <c r="G1591" t="str">
        <f t="shared" si="241"/>
        <v>High Packet buffer utilization in Slot {#ZYXEL.SLOT.ID} (&gt;{#ZYXEL.BUFFERHIGHTHRESH}% for 5m)</v>
      </c>
      <c r="H1591" t="e">
        <f>INDEX('7.0.17'!G:G,MATCH(G1591,'7.0.17'!F:F,0))</f>
        <v>#N/A</v>
      </c>
      <c r="I1591" t="e">
        <f t="shared" si="232"/>
        <v>#N/A</v>
      </c>
    </row>
    <row r="1592" spans="1:9">
      <c r="A1592" t="s">
        <v>9033</v>
      </c>
      <c r="B1592" t="s">
        <v>9042</v>
      </c>
      <c r="G1592" t="str">
        <f t="shared" si="241"/>
        <v>Slot {#ZYXEL.SLOT.ID} high CPU utilization (over {#ZYXEL.CPU.THRESH.HIGH}% for 5m)</v>
      </c>
      <c r="H1592" t="e">
        <f>INDEX('7.0.17'!G:G,MATCH(G1592,'7.0.17'!F:F,0))</f>
        <v>#N/A</v>
      </c>
      <c r="I1592" t="e">
        <f t="shared" si="232"/>
        <v>#N/A</v>
      </c>
    </row>
    <row r="1593" spans="1:9">
      <c r="A1593" t="s">
        <v>9033</v>
      </c>
      <c r="B1593" t="s">
        <v>9043</v>
      </c>
      <c r="G1593" t="str">
        <f t="shared" si="241"/>
        <v>High memory utilization in Slot {#ZYXEL.SLOT.ID} pool (&gt;{#ZYXEL.MEMORYHIGHTHRESH}% for 5m)</v>
      </c>
      <c r="H1593" t="e">
        <f>INDEX('7.0.17'!G:G,MATCH(G1593,'7.0.17'!F:F,0))</f>
        <v>#N/A</v>
      </c>
      <c r="I1593" t="e">
        <f t="shared" si="232"/>
        <v>#N/A</v>
      </c>
    </row>
    <row r="1594" spans="1:9">
      <c r="A1594" t="s">
        <v>9033</v>
      </c>
      <c r="B1594" t="s">
        <v>9044</v>
      </c>
      <c r="G1594" t="str">
        <f t="shared" si="241"/>
        <v>High the DSL line attenuation in Slot {#ZYXEL.SLOT.ID} Port {#ZYXEL.PORTID} (&gt;{$ZYXEL.ADSL.ATN.MAX}dB for 5m)</v>
      </c>
      <c r="H1594" t="e">
        <f>INDEX('7.0.17'!G:G,MATCH(G1594,'7.0.17'!F:F,0))</f>
        <v>#N/A</v>
      </c>
      <c r="I1594" t="e">
        <f t="shared" si="232"/>
        <v>#N/A</v>
      </c>
    </row>
    <row r="1595" spans="1:9">
      <c r="A1595" t="s">
        <v>9033</v>
      </c>
      <c r="B1595" t="s">
        <v>9045</v>
      </c>
      <c r="G1595" t="str">
        <f t="shared" si="241"/>
        <v>Low the DSL line noise margins in Slot {#ZYXEL.SLOT.ID} Port {#ZYXEL.PORTID} (&lt;{$ZYXEL.ADSL.SNR.MIN}dB for 5m)</v>
      </c>
      <c r="H1595" t="e">
        <f>INDEX('7.0.17'!G:G,MATCH(G1595,'7.0.17'!F:F,0))</f>
        <v>#N/A</v>
      </c>
      <c r="I1595" t="e">
        <f t="shared" si="232"/>
        <v>#N/A</v>
      </c>
    </row>
    <row r="1596" spans="1:9">
      <c r="A1596" t="s">
        <v>9033</v>
      </c>
      <c r="B1596" t="s">
        <v>9044</v>
      </c>
      <c r="G1596" t="str">
        <f t="shared" si="241"/>
        <v>High the DSL line attenuation in Slot {#ZYXEL.SLOT.ID} Port {#ZYXEL.PORTID} (&gt;{$ZYXEL.ADSL.ATN.MAX}dB for 5m)</v>
      </c>
      <c r="H1596" t="e">
        <f>INDEX('7.0.17'!G:G,MATCH(G1596,'7.0.17'!F:F,0))</f>
        <v>#N/A</v>
      </c>
      <c r="I1596" t="e">
        <f t="shared" si="232"/>
        <v>#N/A</v>
      </c>
    </row>
    <row r="1597" spans="1:9">
      <c r="A1597" t="s">
        <v>9033</v>
      </c>
      <c r="B1597" t="s">
        <v>9045</v>
      </c>
      <c r="G1597" t="str">
        <f t="shared" si="241"/>
        <v>Low the DSL line noise margins in Slot {#ZYXEL.SLOT.ID} Port {#ZYXEL.PORTID} (&lt;{$ZYXEL.ADSL.SNR.MIN}dB for 5m)</v>
      </c>
      <c r="H1597" t="e">
        <f>INDEX('7.0.17'!G:G,MATCH(G1597,'7.0.17'!F:F,0))</f>
        <v>#N/A</v>
      </c>
      <c r="I1597" t="e">
        <f t="shared" si="232"/>
        <v>#N/A</v>
      </c>
    </row>
    <row r="1598" spans="1:9">
      <c r="A1598" t="s">
        <v>9033</v>
      </c>
      <c r="B1598" t="s">
        <v>9046</v>
      </c>
      <c r="G1598" t="str">
        <f t="shared" si="241"/>
        <v>Slot {#ZYXEL.SLOT.ID} has been replaced (new serial number received)</v>
      </c>
      <c r="H1598" t="e">
        <f>INDEX('7.0.17'!G:G,MATCH(G1598,'7.0.17'!F:F,0))</f>
        <v>#N/A</v>
      </c>
      <c r="I1598" t="e">
        <f t="shared" si="232"/>
        <v>#N/A</v>
      </c>
    </row>
    <row r="1599" spans="1:9">
      <c r="A1599" t="s">
        <v>9033</v>
      </c>
      <c r="B1599" t="s">
        <v>9047</v>
      </c>
      <c r="G1599" t="str">
        <f t="shared" si="241"/>
        <v>Slot {#ZYXEL.SLOT.ID} has been restarted (uptime &lt; 10m)</v>
      </c>
      <c r="H1599" t="e">
        <f>INDEX('7.0.17'!G:G,MATCH(G1599,'7.0.17'!F:F,0))</f>
        <v>#N/A</v>
      </c>
      <c r="I1599" t="e">
        <f t="shared" si="232"/>
        <v>#N/A</v>
      </c>
    </row>
    <row r="1600" spans="1:9">
      <c r="A1600" t="s">
        <v>9033</v>
      </c>
      <c r="B1600" t="s">
        <v>9041</v>
      </c>
      <c r="G1600" t="str">
        <f t="shared" si="241"/>
        <v>High Packet buffer utilization in Slot {#ZYXEL.SLOT.ID} (&gt;{#ZYXEL.BUFFERHIGHTHRESH}% for 5m)</v>
      </c>
      <c r="H1600" t="e">
        <f>INDEX('7.0.17'!G:G,MATCH(G1600,'7.0.17'!F:F,0))</f>
        <v>#N/A</v>
      </c>
      <c r="I1600" t="e">
        <f t="shared" si="232"/>
        <v>#N/A</v>
      </c>
    </row>
    <row r="1601" spans="1:9">
      <c r="A1601" t="s">
        <v>9033</v>
      </c>
      <c r="B1601" t="s">
        <v>9042</v>
      </c>
      <c r="G1601" t="str">
        <f t="shared" si="241"/>
        <v>Slot {#ZYXEL.SLOT.ID} high CPU utilization (over {#ZYXEL.CPU.THRESH.HIGH}% for 5m)</v>
      </c>
      <c r="H1601" t="e">
        <f>INDEX('7.0.17'!G:G,MATCH(G1601,'7.0.17'!F:F,0))</f>
        <v>#N/A</v>
      </c>
      <c r="I1601" t="e">
        <f t="shared" si="232"/>
        <v>#N/A</v>
      </c>
    </row>
    <row r="1602" spans="1:9">
      <c r="A1602" t="s">
        <v>9033</v>
      </c>
      <c r="B1602" t="s">
        <v>9043</v>
      </c>
      <c r="G1602" t="str">
        <f t="shared" si="241"/>
        <v>High memory utilization in Slot {#ZYXEL.SLOT.ID} pool (&gt;{#ZYXEL.MEMORYHIGHTHRESH}% for 5m)</v>
      </c>
      <c r="H1602" t="e">
        <f>INDEX('7.0.17'!G:G,MATCH(G1602,'7.0.17'!F:F,0))</f>
        <v>#N/A</v>
      </c>
      <c r="I1602" t="e">
        <f t="shared" si="232"/>
        <v>#N/A</v>
      </c>
    </row>
    <row r="1603" spans="1:9">
      <c r="A1603" t="s">
        <v>9033</v>
      </c>
      <c r="B1603" t="s">
        <v>9044</v>
      </c>
      <c r="G1603" t="str">
        <f t="shared" si="241"/>
        <v>High the DSL line attenuation in Slot {#ZYXEL.SLOT.ID} Port {#ZYXEL.PORTID} (&gt;{$ZYXEL.ADSL.ATN.MAX}dB for 5m)</v>
      </c>
      <c r="H1603" t="e">
        <f>INDEX('7.0.17'!G:G,MATCH(G1603,'7.0.17'!F:F,0))</f>
        <v>#N/A</v>
      </c>
      <c r="I1603" t="e">
        <f t="shared" ref="I1603:I1645" si="242">A1603&amp;": "&amp;H1603</f>
        <v>#N/A</v>
      </c>
    </row>
    <row r="1604" spans="1:9">
      <c r="A1604" t="s">
        <v>9033</v>
      </c>
      <c r="B1604" t="s">
        <v>9045</v>
      </c>
      <c r="G1604" t="str">
        <f t="shared" si="241"/>
        <v>Low the DSL line noise margins in Slot {#ZYXEL.SLOT.ID} Port {#ZYXEL.PORTID} (&lt;{$ZYXEL.ADSL.SNR.MIN}dB for 5m)</v>
      </c>
      <c r="H1604" t="e">
        <f>INDEX('7.0.17'!G:G,MATCH(G1604,'7.0.17'!F:F,0))</f>
        <v>#N/A</v>
      </c>
      <c r="I1604" t="e">
        <f t="shared" si="242"/>
        <v>#N/A</v>
      </c>
    </row>
    <row r="1605" spans="1:9">
      <c r="A1605" t="s">
        <v>9033</v>
      </c>
      <c r="B1605" t="s">
        <v>9044</v>
      </c>
      <c r="G1605" t="str">
        <f t="shared" si="241"/>
        <v>High the DSL line attenuation in Slot {#ZYXEL.SLOT.ID} Port {#ZYXEL.PORTID} (&gt;{$ZYXEL.ADSL.ATN.MAX}dB for 5m)</v>
      </c>
      <c r="H1605" t="e">
        <f>INDEX('7.0.17'!G:G,MATCH(G1605,'7.0.17'!F:F,0))</f>
        <v>#N/A</v>
      </c>
      <c r="I1605" t="e">
        <f t="shared" si="242"/>
        <v>#N/A</v>
      </c>
    </row>
    <row r="1606" spans="1:9">
      <c r="A1606" t="s">
        <v>9033</v>
      </c>
      <c r="B1606" t="s">
        <v>9045</v>
      </c>
      <c r="G1606" t="str">
        <f t="shared" si="241"/>
        <v>Low the DSL line noise margins in Slot {#ZYXEL.SLOT.ID} Port {#ZYXEL.PORTID} (&lt;{$ZYXEL.ADSL.SNR.MIN}dB for 5m)</v>
      </c>
      <c r="H1606" t="e">
        <f>INDEX('7.0.17'!G:G,MATCH(G1606,'7.0.17'!F:F,0))</f>
        <v>#N/A</v>
      </c>
      <c r="I1606" t="e">
        <f t="shared" si="242"/>
        <v>#N/A</v>
      </c>
    </row>
    <row r="1607" spans="1:9">
      <c r="A1607" t="s">
        <v>9033</v>
      </c>
      <c r="B1607" t="s">
        <v>9046</v>
      </c>
      <c r="G1607" t="str">
        <f t="shared" si="241"/>
        <v>Slot {#ZYXEL.SLOT.ID} has been replaced (new serial number received)</v>
      </c>
      <c r="H1607" t="e">
        <f>INDEX('7.0.17'!G:G,MATCH(G1607,'7.0.17'!F:F,0))</f>
        <v>#N/A</v>
      </c>
      <c r="I1607" t="e">
        <f t="shared" si="242"/>
        <v>#N/A</v>
      </c>
    </row>
    <row r="1608" spans="1:9">
      <c r="A1608" t="s">
        <v>9033</v>
      </c>
      <c r="B1608" t="s">
        <v>9047</v>
      </c>
      <c r="G1608" t="str">
        <f t="shared" si="241"/>
        <v>Slot {#ZYXEL.SLOT.ID} has been restarted (uptime &lt; 10m)</v>
      </c>
      <c r="H1608" t="e">
        <f>INDEX('7.0.17'!G:G,MATCH(G1608,'7.0.17'!F:F,0))</f>
        <v>#N/A</v>
      </c>
      <c r="I1608" t="e">
        <f t="shared" si="242"/>
        <v>#N/A</v>
      </c>
    </row>
    <row r="1609" spans="1:9">
      <c r="A1609" t="s">
        <v>9033</v>
      </c>
      <c r="B1609" t="s">
        <v>9034</v>
      </c>
      <c r="G1609" t="str">
        <f t="shared" si="241"/>
        <v>High the DSL line attenuation in Port {#SNMPINDEX} (&gt;{$ZYXEL.ADSL.ATN.MAX}dB for 5m)</v>
      </c>
      <c r="H1609" t="e">
        <f>INDEX('7.0.17'!G:G,MATCH(G1609,'7.0.17'!F:F,0))</f>
        <v>#N/A</v>
      </c>
      <c r="I1609" t="e">
        <f t="shared" si="242"/>
        <v>#N/A</v>
      </c>
    </row>
    <row r="1610" spans="1:9">
      <c r="A1610" t="s">
        <v>9033</v>
      </c>
      <c r="B1610" t="s">
        <v>9035</v>
      </c>
      <c r="G1610" t="str">
        <f t="shared" si="241"/>
        <v>Low the DSL line noise margins in Port {#SNMPINDEX} (&lt;{$ZYXEL.ADSL.SNR.MIN}dB for 5m)</v>
      </c>
      <c r="H1610" t="e">
        <f>INDEX('7.0.17'!G:G,MATCH(G1610,'7.0.17'!F:F,0))</f>
        <v>#N/A</v>
      </c>
      <c r="I1610" t="e">
        <f t="shared" si="242"/>
        <v>#N/A</v>
      </c>
    </row>
    <row r="1611" spans="1:9">
      <c r="A1611" t="s">
        <v>9033</v>
      </c>
      <c r="B1611" t="s">
        <v>9034</v>
      </c>
      <c r="G1611" t="str">
        <f t="shared" si="241"/>
        <v>High the DSL line attenuation in Port {#SNMPINDEX} (&gt;{$ZYXEL.ADSL.ATN.MAX}dB for 5m)</v>
      </c>
      <c r="H1611" t="e">
        <f>INDEX('7.0.17'!G:G,MATCH(G1611,'7.0.17'!F:F,0))</f>
        <v>#N/A</v>
      </c>
      <c r="I1611" t="e">
        <f t="shared" si="242"/>
        <v>#N/A</v>
      </c>
    </row>
    <row r="1612" spans="1:9">
      <c r="A1612" t="s">
        <v>9033</v>
      </c>
      <c r="B1612" t="s">
        <v>9035</v>
      </c>
      <c r="G1612" t="str">
        <f t="shared" si="241"/>
        <v>Low the DSL line noise margins in Port {#SNMPINDEX} (&lt;{$ZYXEL.ADSL.SNR.MIN}dB for 5m)</v>
      </c>
      <c r="H1612" t="e">
        <f>INDEX('7.0.17'!G:G,MATCH(G1612,'7.0.17'!F:F,0))</f>
        <v>#N/A</v>
      </c>
      <c r="I1612" t="e">
        <f t="shared" si="242"/>
        <v>#N/A</v>
      </c>
    </row>
    <row r="1613" spans="1:9">
      <c r="A1613" t="s">
        <v>9033</v>
      </c>
      <c r="B1613" t="s">
        <v>9037</v>
      </c>
      <c r="C1613" t="s">
        <v>9038</v>
      </c>
      <c r="G1613" t="str">
        <f t="shared" ref="G1613:G1618" si="243">B1613&amp;":"&amp;C1613</f>
        <v>SFP {#ZYXEL.SFP.PORT}: High {#ZYXEL.SFP.DESCRIPTION} (over {#ZYXEL.SFP.WARN.MAX}{#ZYXEL.SFP.UNIT})</v>
      </c>
      <c r="H1613" t="e">
        <f>INDEX('7.0.17'!G:G,MATCH(G1613,'7.0.17'!F:F,0))</f>
        <v>#N/A</v>
      </c>
      <c r="I1613" t="e">
        <f t="shared" si="242"/>
        <v>#N/A</v>
      </c>
    </row>
    <row r="1614" spans="1:9">
      <c r="A1614" t="s">
        <v>9033</v>
      </c>
      <c r="B1614" t="s">
        <v>9037</v>
      </c>
      <c r="C1614" t="s">
        <v>9039</v>
      </c>
      <c r="G1614" t="str">
        <f t="shared" si="243"/>
        <v>SFP {#ZYXEL.SFP.PORT}: Low {#ZYXEL.SFP.DESCRIPTION} (less than {#ZYXEL.SFP.WARN.MIN}{#ZYXEL.SFP.UNIT})</v>
      </c>
      <c r="H1614" t="e">
        <f>INDEX('7.0.17'!G:G,MATCH(G1614,'7.0.17'!F:F,0))</f>
        <v>#N/A</v>
      </c>
      <c r="I1614" t="e">
        <f t="shared" si="242"/>
        <v>#N/A</v>
      </c>
    </row>
    <row r="1615" spans="1:9">
      <c r="A1615" t="s">
        <v>9033</v>
      </c>
      <c r="B1615" t="s">
        <v>9040</v>
      </c>
      <c r="G1615" t="str">
        <f t="shared" ref="G1615:G1620" si="244">B1615</f>
        <v>SFP {#SNMPINDEX} has been replaced (new serial number received)</v>
      </c>
      <c r="H1615" t="e">
        <f>INDEX('7.0.17'!G:G,MATCH(G1615,'7.0.17'!F:F,0))</f>
        <v>#N/A</v>
      </c>
      <c r="I1615" t="e">
        <f t="shared" si="242"/>
        <v>#N/A</v>
      </c>
    </row>
    <row r="1616" spans="1:9">
      <c r="A1616" t="s">
        <v>9033</v>
      </c>
      <c r="B1616" t="s">
        <v>9036</v>
      </c>
      <c r="G1616" t="str">
        <f t="shared" si="244"/>
        <v>High memory utilization in "{#ZYXEL.MEMORY.NAME}" pool (&gt;{$MEMORY.UTIL.MAX}% for 5m)</v>
      </c>
      <c r="H1616" t="e">
        <f>INDEX('7.0.17'!G:G,MATCH(G1616,'7.0.17'!F:F,0))</f>
        <v>#N/A</v>
      </c>
      <c r="I1616" t="e">
        <f t="shared" si="242"/>
        <v>#N/A</v>
      </c>
    </row>
    <row r="1617" spans="1:9">
      <c r="A1617" t="s">
        <v>9033</v>
      </c>
      <c r="B1617" t="s">
        <v>9037</v>
      </c>
      <c r="C1617" t="s">
        <v>9038</v>
      </c>
      <c r="G1617" t="str">
        <f t="shared" si="243"/>
        <v>SFP {#ZYXEL.SFP.PORT}: High {#ZYXEL.SFP.DESCRIPTION} (over {#ZYXEL.SFP.WARN.MAX}{#ZYXEL.SFP.UNIT})</v>
      </c>
      <c r="H1617" t="e">
        <f>INDEX('7.0.17'!G:G,MATCH(G1617,'7.0.17'!F:F,0))</f>
        <v>#N/A</v>
      </c>
      <c r="I1617" t="e">
        <f t="shared" si="242"/>
        <v>#N/A</v>
      </c>
    </row>
    <row r="1618" spans="1:9">
      <c r="A1618" t="s">
        <v>9033</v>
      </c>
      <c r="B1618" t="s">
        <v>9037</v>
      </c>
      <c r="C1618" t="s">
        <v>9039</v>
      </c>
      <c r="G1618" t="str">
        <f t="shared" si="243"/>
        <v>SFP {#ZYXEL.SFP.PORT}: Low {#ZYXEL.SFP.DESCRIPTION} (less than {#ZYXEL.SFP.WARN.MIN}{#ZYXEL.SFP.UNIT})</v>
      </c>
      <c r="H1618" t="e">
        <f>INDEX('7.0.17'!G:G,MATCH(G1618,'7.0.17'!F:F,0))</f>
        <v>#N/A</v>
      </c>
      <c r="I1618" t="e">
        <f t="shared" si="242"/>
        <v>#N/A</v>
      </c>
    </row>
    <row r="1619" spans="1:9">
      <c r="A1619" t="s">
        <v>9033</v>
      </c>
      <c r="B1619" t="s">
        <v>9040</v>
      </c>
      <c r="G1619" t="str">
        <f t="shared" si="244"/>
        <v>SFP {#SNMPINDEX} has been replaced (new serial number received)</v>
      </c>
      <c r="H1619" t="e">
        <f>INDEX('7.0.17'!G:G,MATCH(G1619,'7.0.17'!F:F,0))</f>
        <v>#N/A</v>
      </c>
      <c r="I1619" t="e">
        <f t="shared" si="242"/>
        <v>#N/A</v>
      </c>
    </row>
    <row r="1620" spans="1:9">
      <c r="A1620" t="s">
        <v>9033</v>
      </c>
      <c r="B1620" t="s">
        <v>9036</v>
      </c>
      <c r="G1620" t="str">
        <f t="shared" si="244"/>
        <v>High memory utilization in "{#ZYXEL.MEMORY.NAME}" pool (&gt;{$MEMORY.UTIL.MAX}% for 5m)</v>
      </c>
      <c r="H1620" t="e">
        <f>INDEX('7.0.17'!G:G,MATCH(G1620,'7.0.17'!F:F,0))</f>
        <v>#N/A</v>
      </c>
      <c r="I1620" t="e">
        <f t="shared" si="242"/>
        <v>#N/A</v>
      </c>
    </row>
    <row r="1621" spans="1:9">
      <c r="A1621" t="s">
        <v>9033</v>
      </c>
      <c r="B1621" t="s">
        <v>9037</v>
      </c>
      <c r="C1621" t="s">
        <v>9038</v>
      </c>
      <c r="G1621" t="str">
        <f t="shared" ref="G1621:G1625" si="245">B1621&amp;":"&amp;C1621</f>
        <v>SFP {#ZYXEL.SFP.PORT}: High {#ZYXEL.SFP.DESCRIPTION} (over {#ZYXEL.SFP.WARN.MAX}{#ZYXEL.SFP.UNIT})</v>
      </c>
      <c r="H1621" t="e">
        <f>INDEX('7.0.17'!G:G,MATCH(G1621,'7.0.17'!F:F,0))</f>
        <v>#N/A</v>
      </c>
      <c r="I1621" t="e">
        <f t="shared" si="242"/>
        <v>#N/A</v>
      </c>
    </row>
    <row r="1622" spans="1:9">
      <c r="A1622" t="s">
        <v>9033</v>
      </c>
      <c r="B1622" t="s">
        <v>9037</v>
      </c>
      <c r="C1622" t="s">
        <v>9039</v>
      </c>
      <c r="G1622" t="str">
        <f t="shared" si="245"/>
        <v>SFP {#ZYXEL.SFP.PORT}: Low {#ZYXEL.SFP.DESCRIPTION} (less than {#ZYXEL.SFP.WARN.MIN}{#ZYXEL.SFP.UNIT})</v>
      </c>
      <c r="H1622" t="e">
        <f>INDEX('7.0.17'!G:G,MATCH(G1622,'7.0.17'!F:F,0))</f>
        <v>#N/A</v>
      </c>
      <c r="I1622" t="e">
        <f t="shared" si="242"/>
        <v>#N/A</v>
      </c>
    </row>
    <row r="1623" spans="1:9">
      <c r="A1623" t="s">
        <v>9033</v>
      </c>
      <c r="B1623" t="s">
        <v>9040</v>
      </c>
      <c r="G1623" t="str">
        <f>B1623</f>
        <v>SFP {#SNMPINDEX} has been replaced (new serial number received)</v>
      </c>
      <c r="H1623" t="e">
        <f>INDEX('7.0.17'!G:G,MATCH(G1623,'7.0.17'!F:F,0))</f>
        <v>#N/A</v>
      </c>
      <c r="I1623" t="e">
        <f t="shared" si="242"/>
        <v>#N/A</v>
      </c>
    </row>
    <row r="1624" spans="1:9">
      <c r="A1624" t="s">
        <v>9033</v>
      </c>
      <c r="B1624" t="s">
        <v>9037</v>
      </c>
      <c r="C1624" t="s">
        <v>9038</v>
      </c>
      <c r="G1624" t="str">
        <f t="shared" si="245"/>
        <v>SFP {#ZYXEL.SFP.PORT}: High {#ZYXEL.SFP.DESCRIPTION} (over {#ZYXEL.SFP.WARN.MAX}{#ZYXEL.SFP.UNIT})</v>
      </c>
      <c r="H1624" t="e">
        <f>INDEX('7.0.17'!G:G,MATCH(G1624,'7.0.17'!F:F,0))</f>
        <v>#N/A</v>
      </c>
      <c r="I1624" t="e">
        <f t="shared" si="242"/>
        <v>#N/A</v>
      </c>
    </row>
    <row r="1625" spans="1:9">
      <c r="A1625" t="s">
        <v>9033</v>
      </c>
      <c r="B1625" t="s">
        <v>9037</v>
      </c>
      <c r="C1625" t="s">
        <v>9039</v>
      </c>
      <c r="G1625" t="str">
        <f t="shared" si="245"/>
        <v>SFP {#ZYXEL.SFP.PORT}: Low {#ZYXEL.SFP.DESCRIPTION} (less than {#ZYXEL.SFP.WARN.MIN}{#ZYXEL.SFP.UNIT})</v>
      </c>
      <c r="H1625" t="e">
        <f>INDEX('7.0.17'!G:G,MATCH(G1625,'7.0.17'!F:F,0))</f>
        <v>#N/A</v>
      </c>
      <c r="I1625" t="e">
        <f t="shared" si="242"/>
        <v>#N/A</v>
      </c>
    </row>
    <row r="1626" spans="1:9">
      <c r="A1626" t="s">
        <v>9033</v>
      </c>
      <c r="B1626" t="s">
        <v>9040</v>
      </c>
      <c r="G1626" t="str">
        <f>B1626</f>
        <v>SFP {#SNMPINDEX} has been replaced (new serial number received)</v>
      </c>
      <c r="H1626" t="e">
        <f>INDEX('7.0.17'!G:G,MATCH(G1626,'7.0.17'!F:F,0))</f>
        <v>#N/A</v>
      </c>
      <c r="I1626" t="e">
        <f t="shared" si="242"/>
        <v>#N/A</v>
      </c>
    </row>
    <row r="1627" spans="1:9">
      <c r="A1627" t="s">
        <v>9033</v>
      </c>
      <c r="B1627" t="s">
        <v>9037</v>
      </c>
      <c r="C1627" t="s">
        <v>9038</v>
      </c>
      <c r="G1627" t="str">
        <f t="shared" ref="G1627:G1631" si="246">B1627&amp;":"&amp;C1627</f>
        <v>SFP {#ZYXEL.SFP.PORT}: High {#ZYXEL.SFP.DESCRIPTION} (over {#ZYXEL.SFP.WARN.MAX}{#ZYXEL.SFP.UNIT})</v>
      </c>
      <c r="H1627" t="e">
        <f>INDEX('7.0.17'!G:G,MATCH(G1627,'7.0.17'!F:F,0))</f>
        <v>#N/A</v>
      </c>
      <c r="I1627" t="e">
        <f t="shared" si="242"/>
        <v>#N/A</v>
      </c>
    </row>
    <row r="1628" spans="1:9">
      <c r="A1628" t="s">
        <v>9033</v>
      </c>
      <c r="B1628" t="s">
        <v>9037</v>
      </c>
      <c r="C1628" t="s">
        <v>9039</v>
      </c>
      <c r="G1628" t="str">
        <f t="shared" si="246"/>
        <v>SFP {#ZYXEL.SFP.PORT}: Low {#ZYXEL.SFP.DESCRIPTION} (less than {#ZYXEL.SFP.WARN.MIN}{#ZYXEL.SFP.UNIT})</v>
      </c>
      <c r="H1628" t="e">
        <f>INDEX('7.0.17'!G:G,MATCH(G1628,'7.0.17'!F:F,0))</f>
        <v>#N/A</v>
      </c>
      <c r="I1628" t="e">
        <f t="shared" si="242"/>
        <v>#N/A</v>
      </c>
    </row>
    <row r="1629" spans="1:9">
      <c r="A1629" t="s">
        <v>9033</v>
      </c>
      <c r="B1629" t="s">
        <v>9040</v>
      </c>
      <c r="G1629" t="str">
        <f>B1629</f>
        <v>SFP {#SNMPINDEX} has been replaced (new serial number received)</v>
      </c>
      <c r="H1629" t="e">
        <f>INDEX('7.0.17'!G:G,MATCH(G1629,'7.0.17'!F:F,0))</f>
        <v>#N/A</v>
      </c>
      <c r="I1629" t="e">
        <f t="shared" si="242"/>
        <v>#N/A</v>
      </c>
    </row>
    <row r="1630" spans="1:9">
      <c r="A1630" t="s">
        <v>9033</v>
      </c>
      <c r="B1630" t="s">
        <v>9037</v>
      </c>
      <c r="C1630" t="s">
        <v>9038</v>
      </c>
      <c r="G1630" t="str">
        <f t="shared" si="246"/>
        <v>SFP {#ZYXEL.SFP.PORT}: High {#ZYXEL.SFP.DESCRIPTION} (over {#ZYXEL.SFP.WARN.MAX}{#ZYXEL.SFP.UNIT})</v>
      </c>
      <c r="H1630" t="e">
        <f>INDEX('7.0.17'!G:G,MATCH(G1630,'7.0.17'!F:F,0))</f>
        <v>#N/A</v>
      </c>
      <c r="I1630" t="e">
        <f t="shared" si="242"/>
        <v>#N/A</v>
      </c>
    </row>
    <row r="1631" spans="1:9">
      <c r="A1631" t="s">
        <v>9033</v>
      </c>
      <c r="B1631" t="s">
        <v>9037</v>
      </c>
      <c r="C1631" t="s">
        <v>9039</v>
      </c>
      <c r="G1631" t="str">
        <f t="shared" si="246"/>
        <v>SFP {#ZYXEL.SFP.PORT}: Low {#ZYXEL.SFP.DESCRIPTION} (less than {#ZYXEL.SFP.WARN.MIN}{#ZYXEL.SFP.UNIT})</v>
      </c>
      <c r="H1631" t="e">
        <f>INDEX('7.0.17'!G:G,MATCH(G1631,'7.0.17'!F:F,0))</f>
        <v>#N/A</v>
      </c>
      <c r="I1631" t="e">
        <f t="shared" si="242"/>
        <v>#N/A</v>
      </c>
    </row>
    <row r="1632" spans="1:9">
      <c r="A1632" t="s">
        <v>9033</v>
      </c>
      <c r="B1632" t="s">
        <v>9040</v>
      </c>
      <c r="G1632" t="str">
        <f t="shared" ref="G1632:G1636" si="247">B1632</f>
        <v>SFP {#SNMPINDEX} has been replaced (new serial number received)</v>
      </c>
      <c r="H1632" t="e">
        <f>INDEX('7.0.17'!G:G,MATCH(G1632,'7.0.17'!F:F,0))</f>
        <v>#N/A</v>
      </c>
      <c r="I1632" t="e">
        <f t="shared" si="242"/>
        <v>#N/A</v>
      </c>
    </row>
    <row r="1633" spans="1:9">
      <c r="A1633" t="s">
        <v>9033</v>
      </c>
      <c r="B1633" t="s">
        <v>9037</v>
      </c>
      <c r="C1633" t="s">
        <v>9038</v>
      </c>
      <c r="G1633" t="str">
        <f t="shared" ref="G1633:G1638" si="248">B1633&amp;":"&amp;C1633</f>
        <v>SFP {#ZYXEL.SFP.PORT}: High {#ZYXEL.SFP.DESCRIPTION} (over {#ZYXEL.SFP.WARN.MAX}{#ZYXEL.SFP.UNIT})</v>
      </c>
      <c r="H1633" t="e">
        <f>INDEX('7.0.17'!G:G,MATCH(G1633,'7.0.17'!F:F,0))</f>
        <v>#N/A</v>
      </c>
      <c r="I1633" t="e">
        <f t="shared" si="242"/>
        <v>#N/A</v>
      </c>
    </row>
    <row r="1634" spans="1:9">
      <c r="A1634" t="s">
        <v>9033</v>
      </c>
      <c r="B1634" t="s">
        <v>9037</v>
      </c>
      <c r="C1634" t="s">
        <v>9039</v>
      </c>
      <c r="G1634" t="str">
        <f t="shared" si="248"/>
        <v>SFP {#ZYXEL.SFP.PORT}: Low {#ZYXEL.SFP.DESCRIPTION} (less than {#ZYXEL.SFP.WARN.MIN}{#ZYXEL.SFP.UNIT})</v>
      </c>
      <c r="H1634" t="e">
        <f>INDEX('7.0.17'!G:G,MATCH(G1634,'7.0.17'!F:F,0))</f>
        <v>#N/A</v>
      </c>
      <c r="I1634" t="e">
        <f t="shared" si="242"/>
        <v>#N/A</v>
      </c>
    </row>
    <row r="1635" spans="1:9">
      <c r="A1635" t="s">
        <v>9033</v>
      </c>
      <c r="B1635" t="s">
        <v>9040</v>
      </c>
      <c r="G1635" t="str">
        <f t="shared" si="247"/>
        <v>SFP {#SNMPINDEX} has been replaced (new serial number received)</v>
      </c>
      <c r="H1635" t="e">
        <f>INDEX('7.0.17'!G:G,MATCH(G1635,'7.0.17'!F:F,0))</f>
        <v>#N/A</v>
      </c>
      <c r="I1635" t="e">
        <f t="shared" si="242"/>
        <v>#N/A</v>
      </c>
    </row>
    <row r="1636" spans="1:9">
      <c r="A1636" t="s">
        <v>9033</v>
      </c>
      <c r="B1636" t="s">
        <v>9036</v>
      </c>
      <c r="G1636" t="str">
        <f t="shared" si="247"/>
        <v>High memory utilization in "{#ZYXEL.MEMORY.NAME}" pool (&gt;{$MEMORY.UTIL.MAX}% for 5m)</v>
      </c>
      <c r="H1636" t="e">
        <f>INDEX('7.0.17'!G:G,MATCH(G1636,'7.0.17'!F:F,0))</f>
        <v>#N/A</v>
      </c>
      <c r="I1636" t="e">
        <f t="shared" si="242"/>
        <v>#N/A</v>
      </c>
    </row>
    <row r="1637" spans="1:9">
      <c r="A1637" t="s">
        <v>9033</v>
      </c>
      <c r="B1637" t="s">
        <v>9037</v>
      </c>
      <c r="C1637" t="s">
        <v>9038</v>
      </c>
      <c r="G1637" t="str">
        <f t="shared" si="248"/>
        <v>SFP {#ZYXEL.SFP.PORT}: High {#ZYXEL.SFP.DESCRIPTION} (over {#ZYXEL.SFP.WARN.MAX}{#ZYXEL.SFP.UNIT})</v>
      </c>
      <c r="H1637" t="e">
        <f>INDEX('7.0.17'!G:G,MATCH(G1637,'7.0.17'!F:F,0))</f>
        <v>#N/A</v>
      </c>
      <c r="I1637" t="e">
        <f t="shared" si="242"/>
        <v>#N/A</v>
      </c>
    </row>
    <row r="1638" spans="1:9">
      <c r="A1638" t="s">
        <v>9033</v>
      </c>
      <c r="B1638" t="s">
        <v>9037</v>
      </c>
      <c r="C1638" t="s">
        <v>9039</v>
      </c>
      <c r="G1638" t="str">
        <f t="shared" si="248"/>
        <v>SFP {#ZYXEL.SFP.PORT}: Low {#ZYXEL.SFP.DESCRIPTION} (less than {#ZYXEL.SFP.WARN.MIN}{#ZYXEL.SFP.UNIT})</v>
      </c>
      <c r="H1638" t="e">
        <f>INDEX('7.0.17'!G:G,MATCH(G1638,'7.0.17'!F:F,0))</f>
        <v>#N/A</v>
      </c>
      <c r="I1638" t="e">
        <f t="shared" si="242"/>
        <v>#N/A</v>
      </c>
    </row>
    <row r="1639" spans="1:9">
      <c r="A1639" t="s">
        <v>9033</v>
      </c>
      <c r="B1639" t="s">
        <v>9040</v>
      </c>
      <c r="G1639" t="str">
        <f>B1639</f>
        <v>SFP {#SNMPINDEX} has been replaced (new serial number received)</v>
      </c>
      <c r="H1639" t="e">
        <f>INDEX('7.0.17'!G:G,MATCH(G1639,'7.0.17'!F:F,0))</f>
        <v>#N/A</v>
      </c>
      <c r="I1639" t="e">
        <f t="shared" si="242"/>
        <v>#N/A</v>
      </c>
    </row>
    <row r="1640" spans="1:9">
      <c r="A1640" t="s">
        <v>8972</v>
      </c>
      <c r="B1640" t="s">
        <v>9048</v>
      </c>
      <c r="C1640" t="s">
        <v>9049</v>
      </c>
      <c r="G1640" t="str">
        <f>B1640&amp;":"&amp;C1640</f>
        <v>Proxy group [{#PROXY.GROUP.NAME}]: Availability below {$PROXY.GROUP.AVAIL.PERCENT.MIN}%</v>
      </c>
      <c r="H1640" t="e">
        <f>INDEX('7.0.17'!G:G,MATCH(G1640,'7.0.17'!F:F,0))</f>
        <v>#N/A</v>
      </c>
      <c r="I1640" t="e">
        <f t="shared" si="242"/>
        <v>#N/A</v>
      </c>
    </row>
    <row r="1641" spans="1:9">
      <c r="A1641" t="s">
        <v>8972</v>
      </c>
      <c r="B1641" t="s">
        <v>8973</v>
      </c>
      <c r="C1641" t="s">
        <v>8974</v>
      </c>
      <c r="G1641" t="str">
        <f>B1641&amp;":"&amp;C1641</f>
        <v>Proxy [{#PROXY.NAME}]: Zabbix proxy last seen more than {$PROXY.LAST_SEEN.MAX} seconds ago</v>
      </c>
      <c r="H1641" t="e">
        <f>INDEX('7.0.17'!G:G,MATCH(G1641,'7.0.17'!F:F,0))</f>
        <v>#N/A</v>
      </c>
      <c r="I1641" t="e">
        <f t="shared" si="242"/>
        <v>#N/A</v>
      </c>
    </row>
    <row r="1642" spans="1:9">
      <c r="A1642" t="s">
        <v>9050</v>
      </c>
      <c r="B1642" t="s">
        <v>8642</v>
      </c>
      <c r="C1642" t="s">
        <v>8383</v>
      </c>
      <c r="D1642" t="s">
        <v>8384</v>
      </c>
      <c r="G1642" t="str">
        <f t="shared" ref="G1642:G1645" si="249">B1642&amp;":"&amp;C1642&amp;":"&amp;D1642</f>
        <v>FS [{#FSNAME}]: Running out of free inodes (free &lt; {$VFS.FS.INODE.PFREE.MIN.WARN:{#FSNAME}}%)</v>
      </c>
      <c r="H1642" t="e">
        <f>INDEX('7.0.17'!G:G,MATCH(G1642,'7.0.17'!F:F,0))</f>
        <v>#N/A</v>
      </c>
      <c r="I1642" t="e">
        <f t="shared" si="242"/>
        <v>#N/A</v>
      </c>
    </row>
    <row r="1643" spans="1:9">
      <c r="A1643" t="s">
        <v>9050</v>
      </c>
      <c r="B1643" t="s">
        <v>8511</v>
      </c>
      <c r="C1643" t="s">
        <v>8385</v>
      </c>
      <c r="D1643" t="s">
        <v>8384</v>
      </c>
      <c r="G1643" t="str">
        <f t="shared" si="249"/>
        <v>{#FSNAME}: Running out of free inodes (free &lt; {$VFS.FS.INODE.PFREE.MIN.CRIT:{#FSNAME}}%)</v>
      </c>
      <c r="H1643" t="e">
        <f>INDEX('7.0.17'!G:G,MATCH(G1643,'7.0.17'!F:F,0))</f>
        <v>#N/A</v>
      </c>
      <c r="I1643" t="e">
        <f t="shared" si="242"/>
        <v>#N/A</v>
      </c>
    </row>
    <row r="1644" spans="1:9">
      <c r="A1644" t="s">
        <v>9050</v>
      </c>
      <c r="B1644" t="s">
        <v>8642</v>
      </c>
      <c r="C1644" t="s">
        <v>8387</v>
      </c>
      <c r="D1644" t="s">
        <v>8388</v>
      </c>
      <c r="G1644" t="str">
        <f t="shared" si="249"/>
        <v>FS [{#FSNAME}]: Space is low (used &gt; {$VFS.FS.PUSED.MAX.WARN:{#FSNAME}}%, total {{?last(//vfs.fs.dependent.size[{#FSNAME},total])/1024/1024/1024}.fmtnum(1)}GB)</v>
      </c>
      <c r="H1644" t="e">
        <f>INDEX('7.0.17'!G:G,MATCH(G1644,'7.0.17'!F:F,0))</f>
        <v>#N/A</v>
      </c>
      <c r="I1644" t="e">
        <f t="shared" si="242"/>
        <v>#N/A</v>
      </c>
    </row>
    <row r="1645" spans="1:9">
      <c r="A1645" t="s">
        <v>9050</v>
      </c>
      <c r="B1645" t="s">
        <v>8642</v>
      </c>
      <c r="C1645" t="s">
        <v>8389</v>
      </c>
      <c r="D1645" t="s">
        <v>8388</v>
      </c>
      <c r="G1645" t="str">
        <f t="shared" si="249"/>
        <v>FS [{#FSNAME}]: Space is critically low (used &gt; {$VFS.FS.PUSED.MAX.CRIT:{#FSNAME}}%, total {{?last(//vfs.fs.dependent.size[{#FSNAME},total])/1024/1024/1024}.fmtnum(1)}GB)</v>
      </c>
      <c r="H1645" t="e">
        <f>INDEX('7.0.17'!G:G,MATCH(G1645,'7.0.17'!F:F,0))</f>
        <v>#N/A</v>
      </c>
      <c r="I1645" t="e">
        <f t="shared" si="242"/>
        <v>#N/A</v>
      </c>
    </row>
  </sheetData>
  <autoFilter ref="A1:H1645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K1631"/>
  <sheetViews>
    <sheetView workbookViewId="0">
      <selection activeCell="M11" sqref="M11"/>
    </sheetView>
  </sheetViews>
  <sheetFormatPr defaultColWidth="9" defaultRowHeight="13.5"/>
  <cols>
    <col min="1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>
      <c r="A2" s="1">
        <v>6</v>
      </c>
      <c r="B2" s="1" t="s">
        <v>9051</v>
      </c>
      <c r="C2" s="1" t="s">
        <v>9052</v>
      </c>
      <c r="D2" s="1" t="s">
        <v>9</v>
      </c>
      <c r="E2" s="1" t="s">
        <v>10</v>
      </c>
      <c r="F2" s="1" t="s">
        <v>11</v>
      </c>
      <c r="G2" s="1" t="s">
        <v>12</v>
      </c>
      <c r="H2" s="1" t="str">
        <f t="shared" ref="H2:H65" si="0">IFERROR(IF(OR(MID(G2,FIND(":",G2)-1,1)="""",MID(G2,FIND(":",G2)-1,1)="}",MID(G2,FIND(":",G2)-1,1)=")",MID(G2,FIND(":",G2)-1,1)="]"),"",LEFT(F2,FIND(":",F2)-1)),"")</f>
        <v/>
      </c>
      <c r="I2" s="1" t="str">
        <f t="shared" ref="I2:I65" si="1">IFERROR(IF(OR(MID(G2,FIND(":",G2)-1,1)="""",MID(G2,FIND(":",G2)-1,1)="}",MID(G2,FIND(":",G2)-1,1)=")",MID(G2,FIND(":",G2)-1,1)="]"),"",RIGHT(G2,LEN(G2)-FIND(":",G2)-1)),"")</f>
        <v/>
      </c>
      <c r="J2" s="1" t="str">
        <f t="shared" ref="J2:J65" si="2">IF(AND(I2="",H2=""),G2,H2&amp;": "&amp;I2)</f>
        <v>{#BATTERY_PACK}.{#CARTRIDGE_INDEX}: 电池温度太高(超过{$BATTERY.TEMP.MAX.WARN}℃持续{$TIME.PERIOD})</v>
      </c>
      <c r="K2" s="1" t="str">
        <f t="shared" ref="K2:K65" si="3">IFERROR(IF(OR(MID(F2,FIND(":",F2)-1,1)="""",MID(F2,FIND(":",F2)-1,1)="}",MID(F2,FIND(":",F2)-1,1)=")",MID(F2,FIND(":",F2)-1,1)="]"),"",RIGHT(F2,LEN(F2)-FIND(":",F2)-1)),"")</f>
        <v/>
      </c>
    </row>
    <row r="3" spans="1:11">
      <c r="A3" s="1">
        <v>13</v>
      </c>
      <c r="B3" s="1" t="s">
        <v>9051</v>
      </c>
      <c r="C3" s="1" t="s">
        <v>9053</v>
      </c>
      <c r="D3" s="1" t="s">
        <v>9</v>
      </c>
      <c r="E3" s="1" t="s">
        <v>14</v>
      </c>
      <c r="F3" s="1" t="s">
        <v>15</v>
      </c>
      <c r="G3" s="1" t="s">
        <v>16</v>
      </c>
      <c r="H3" s="1" t="str">
        <f t="shared" si="0"/>
        <v/>
      </c>
      <c r="I3" s="1" t="str">
        <f t="shared" si="1"/>
        <v/>
      </c>
      <c r="J3" s="1" t="str">
        <f t="shared" si="2"/>
        <v>{#PHASEINDEX}: 不可接受的相位{#PHASEINDEX}输入电压(超出范围{$UPS.INPUT_VOLT.MIN.WARN}-{$UPS.INPUT_VOLT.MAX.WARN}伏{$TIME.PERIOD})</v>
      </c>
      <c r="K3" s="1" t="str">
        <f t="shared" si="3"/>
        <v/>
      </c>
    </row>
    <row r="4" spans="1:11">
      <c r="A4" s="1">
        <v>14</v>
      </c>
      <c r="B4" s="1" t="s">
        <v>9051</v>
      </c>
      <c r="C4" s="1" t="s">
        <v>9054</v>
      </c>
      <c r="D4" s="1" t="s">
        <v>9</v>
      </c>
      <c r="E4" s="1" t="s">
        <v>18</v>
      </c>
      <c r="F4" s="1" t="s">
        <v>19</v>
      </c>
      <c r="G4" s="1" t="s">
        <v>20</v>
      </c>
      <c r="H4" s="1" t="str">
        <f t="shared" si="0"/>
        <v/>
      </c>
      <c r="I4" s="1" t="str">
        <f t="shared" si="1"/>
        <v/>
      </c>
      <c r="J4" s="1" t="str">
        <f t="shared" si="2"/>
        <v>{#PHASEINDEX}: 不可接受的阶段{#PHASEINDEX}输出电压(超出范围{$UPS.INPUT_VOLT.MIN.WARN}-{$UPS.INPUT_VOLT.MAX.WARN}伏{$TIME.PERIOD})</v>
      </c>
      <c r="K4" s="1" t="str">
        <f t="shared" si="3"/>
        <v/>
      </c>
    </row>
    <row r="5" spans="1:11">
      <c r="A5" s="1">
        <v>17</v>
      </c>
      <c r="B5" s="1" t="s">
        <v>9055</v>
      </c>
      <c r="C5" s="1" t="s">
        <v>9052</v>
      </c>
      <c r="D5" s="1" t="s">
        <v>22</v>
      </c>
      <c r="E5" s="1" t="s">
        <v>23</v>
      </c>
      <c r="F5" s="1" t="s">
        <v>11</v>
      </c>
      <c r="G5" s="1" t="s">
        <v>12</v>
      </c>
      <c r="H5" s="1" t="str">
        <f t="shared" si="0"/>
        <v/>
      </c>
      <c r="I5" s="1" t="str">
        <f t="shared" si="1"/>
        <v/>
      </c>
      <c r="J5" s="1" t="str">
        <f t="shared" si="2"/>
        <v>{#BATTERY_PACK}.{#CARTRIDGE_INDEX}: 电池温度太高(超过{$BATTERY.TEMP.MAX.WARN}℃持续{$TIME.PERIOD})</v>
      </c>
      <c r="K5" s="1" t="str">
        <f t="shared" si="3"/>
        <v/>
      </c>
    </row>
    <row r="6" spans="1:11">
      <c r="A6" s="1">
        <v>24</v>
      </c>
      <c r="B6" s="1" t="s">
        <v>9055</v>
      </c>
      <c r="C6" s="1" t="s">
        <v>9053</v>
      </c>
      <c r="D6" s="1" t="s">
        <v>22</v>
      </c>
      <c r="E6" s="1" t="s">
        <v>25</v>
      </c>
      <c r="F6" s="1" t="s">
        <v>15</v>
      </c>
      <c r="G6" s="1" t="s">
        <v>16</v>
      </c>
      <c r="H6" s="1" t="str">
        <f t="shared" si="0"/>
        <v/>
      </c>
      <c r="I6" s="1" t="str">
        <f t="shared" si="1"/>
        <v/>
      </c>
      <c r="J6" s="1" t="str">
        <f t="shared" si="2"/>
        <v>{#PHASEINDEX}: 不可接受的相位{#PHASEINDEX}输入电压(超出范围{$UPS.INPUT_VOLT.MIN.WARN}-{$UPS.INPUT_VOLT.MAX.WARN}伏{$TIME.PERIOD})</v>
      </c>
      <c r="K6" s="1" t="str">
        <f t="shared" si="3"/>
        <v/>
      </c>
    </row>
    <row r="7" spans="1:11">
      <c r="A7" s="1">
        <v>25</v>
      </c>
      <c r="B7" s="1" t="s">
        <v>9055</v>
      </c>
      <c r="C7" s="1" t="s">
        <v>9054</v>
      </c>
      <c r="D7" s="1" t="s">
        <v>22</v>
      </c>
      <c r="E7" s="1" t="s">
        <v>27</v>
      </c>
      <c r="F7" s="1" t="s">
        <v>19</v>
      </c>
      <c r="G7" s="1" t="s">
        <v>20</v>
      </c>
      <c r="H7" s="1" t="str">
        <f t="shared" si="0"/>
        <v/>
      </c>
      <c r="I7" s="1" t="str">
        <f t="shared" si="1"/>
        <v/>
      </c>
      <c r="J7" s="1" t="str">
        <f t="shared" si="2"/>
        <v>{#PHASEINDEX}: 不可接受的阶段{#PHASEINDEX}输出电压(超出范围{$UPS.INPUT_VOLT.MIN.WARN}-{$UPS.INPUT_VOLT.MAX.WARN}伏{$TIME.PERIOD})</v>
      </c>
      <c r="K7" s="1" t="str">
        <f t="shared" si="3"/>
        <v/>
      </c>
    </row>
    <row r="8" spans="1:11">
      <c r="A8" s="1">
        <v>28</v>
      </c>
      <c r="B8" s="1" t="s">
        <v>9056</v>
      </c>
      <c r="C8" s="1" t="s">
        <v>9052</v>
      </c>
      <c r="D8" s="1" t="s">
        <v>29</v>
      </c>
      <c r="E8" s="1" t="s">
        <v>30</v>
      </c>
      <c r="F8" s="1" t="s">
        <v>11</v>
      </c>
      <c r="G8" s="1" t="s">
        <v>12</v>
      </c>
      <c r="H8" s="1" t="str">
        <f t="shared" si="0"/>
        <v/>
      </c>
      <c r="I8" s="1" t="str">
        <f t="shared" si="1"/>
        <v/>
      </c>
      <c r="J8" s="1" t="str">
        <f t="shared" si="2"/>
        <v>{#BATTERY_PACK}.{#CARTRIDGE_INDEX}: 电池温度太高(超过{$BATTERY.TEMP.MAX.WARN}℃持续{$TIME.PERIOD})</v>
      </c>
      <c r="K8" s="1" t="str">
        <f t="shared" si="3"/>
        <v/>
      </c>
    </row>
    <row r="9" spans="1:11">
      <c r="A9" s="1">
        <v>35</v>
      </c>
      <c r="B9" s="1" t="s">
        <v>9056</v>
      </c>
      <c r="C9" s="1" t="s">
        <v>9053</v>
      </c>
      <c r="D9" s="1" t="s">
        <v>29</v>
      </c>
      <c r="E9" s="1" t="s">
        <v>32</v>
      </c>
      <c r="F9" s="1" t="s">
        <v>15</v>
      </c>
      <c r="G9" s="1" t="s">
        <v>16</v>
      </c>
      <c r="H9" s="1" t="str">
        <f t="shared" si="0"/>
        <v/>
      </c>
      <c r="I9" s="1" t="str">
        <f t="shared" si="1"/>
        <v/>
      </c>
      <c r="J9" s="1" t="str">
        <f t="shared" si="2"/>
        <v>{#PHASEINDEX}: 不可接受的相位{#PHASEINDEX}输入电压(超出范围{$UPS.INPUT_VOLT.MIN.WARN}-{$UPS.INPUT_VOLT.MAX.WARN}伏{$TIME.PERIOD})</v>
      </c>
      <c r="K9" s="1" t="str">
        <f t="shared" si="3"/>
        <v/>
      </c>
    </row>
    <row r="10" spans="1:11">
      <c r="A10" s="1">
        <v>36</v>
      </c>
      <c r="B10" s="1" t="s">
        <v>9056</v>
      </c>
      <c r="C10" s="1" t="s">
        <v>9054</v>
      </c>
      <c r="D10" s="1" t="s">
        <v>29</v>
      </c>
      <c r="E10" s="1" t="s">
        <v>34</v>
      </c>
      <c r="F10" s="1" t="s">
        <v>19</v>
      </c>
      <c r="G10" s="1" t="s">
        <v>20</v>
      </c>
      <c r="H10" s="1" t="str">
        <f t="shared" si="0"/>
        <v/>
      </c>
      <c r="I10" s="1" t="str">
        <f t="shared" si="1"/>
        <v/>
      </c>
      <c r="J10" s="1" t="str">
        <f t="shared" si="2"/>
        <v>{#PHASEINDEX}: 不可接受的阶段{#PHASEINDEX}输出电压(超出范围{$UPS.INPUT_VOLT.MIN.WARN}-{$UPS.INPUT_VOLT.MAX.WARN}伏{$TIME.PERIOD})</v>
      </c>
      <c r="K10" s="1" t="str">
        <f t="shared" si="3"/>
        <v/>
      </c>
    </row>
    <row r="11" spans="1:11">
      <c r="A11" s="1">
        <v>39</v>
      </c>
      <c r="B11" s="1" t="s">
        <v>9057</v>
      </c>
      <c r="C11" s="1" t="s">
        <v>9052</v>
      </c>
      <c r="D11" s="1" t="s">
        <v>36</v>
      </c>
      <c r="E11" s="1" t="s">
        <v>37</v>
      </c>
      <c r="F11" s="1" t="s">
        <v>11</v>
      </c>
      <c r="G11" s="1" t="s">
        <v>12</v>
      </c>
      <c r="H11" s="1" t="str">
        <f t="shared" si="0"/>
        <v/>
      </c>
      <c r="I11" s="1" t="str">
        <f t="shared" si="1"/>
        <v/>
      </c>
      <c r="J11" s="1" t="str">
        <f t="shared" si="2"/>
        <v>{#BATTERY_PACK}.{#CARTRIDGE_INDEX}: 电池温度太高(超过{$BATTERY.TEMP.MAX.WARN}℃持续{$TIME.PERIOD})</v>
      </c>
      <c r="K11" s="1" t="str">
        <f t="shared" si="3"/>
        <v/>
      </c>
    </row>
    <row r="12" spans="1:11">
      <c r="A12" s="1">
        <v>46</v>
      </c>
      <c r="B12" s="1" t="s">
        <v>9057</v>
      </c>
      <c r="C12" s="1" t="s">
        <v>9053</v>
      </c>
      <c r="D12" s="1" t="s">
        <v>36</v>
      </c>
      <c r="E12" s="1" t="s">
        <v>39</v>
      </c>
      <c r="F12" s="1" t="s">
        <v>15</v>
      </c>
      <c r="G12" s="1" t="s">
        <v>16</v>
      </c>
      <c r="H12" s="1" t="str">
        <f t="shared" si="0"/>
        <v/>
      </c>
      <c r="I12" s="1" t="str">
        <f t="shared" si="1"/>
        <v/>
      </c>
      <c r="J12" s="1" t="str">
        <f t="shared" si="2"/>
        <v>{#PHASEINDEX}: 不可接受的相位{#PHASEINDEX}输入电压(超出范围{$UPS.INPUT_VOLT.MIN.WARN}-{$UPS.INPUT_VOLT.MAX.WARN}伏{$TIME.PERIOD})</v>
      </c>
      <c r="K12" s="1" t="str">
        <f t="shared" si="3"/>
        <v/>
      </c>
    </row>
    <row r="13" spans="1:11">
      <c r="A13" s="1">
        <v>47</v>
      </c>
      <c r="B13" s="1" t="s">
        <v>9057</v>
      </c>
      <c r="C13" s="1" t="s">
        <v>9054</v>
      </c>
      <c r="D13" s="1" t="s">
        <v>36</v>
      </c>
      <c r="E13" s="1" t="s">
        <v>41</v>
      </c>
      <c r="F13" s="1" t="s">
        <v>19</v>
      </c>
      <c r="G13" s="1" t="s">
        <v>20</v>
      </c>
      <c r="H13" s="1" t="str">
        <f t="shared" si="0"/>
        <v/>
      </c>
      <c r="I13" s="1" t="str">
        <f t="shared" si="1"/>
        <v/>
      </c>
      <c r="J13" s="1" t="str">
        <f t="shared" si="2"/>
        <v>{#PHASEINDEX}: 不可接受的阶段{#PHASEINDEX}输出电压(超出范围{$UPS.INPUT_VOLT.MIN.WARN}-{$UPS.INPUT_VOLT.MAX.WARN}伏{$TIME.PERIOD})</v>
      </c>
      <c r="K13" s="1" t="str">
        <f t="shared" si="3"/>
        <v/>
      </c>
    </row>
    <row r="14" spans="1:11">
      <c r="A14" s="1">
        <v>50</v>
      </c>
      <c r="B14" s="1" t="s">
        <v>9058</v>
      </c>
      <c r="C14" s="1" t="s">
        <v>9052</v>
      </c>
      <c r="D14" s="1" t="s">
        <v>43</v>
      </c>
      <c r="E14" s="1" t="s">
        <v>44</v>
      </c>
      <c r="F14" s="1" t="s">
        <v>11</v>
      </c>
      <c r="G14" s="1" t="s">
        <v>12</v>
      </c>
      <c r="H14" s="1" t="str">
        <f t="shared" si="0"/>
        <v/>
      </c>
      <c r="I14" s="1" t="str">
        <f t="shared" si="1"/>
        <v/>
      </c>
      <c r="J14" s="1" t="str">
        <f t="shared" si="2"/>
        <v>{#BATTERY_PACK}.{#CARTRIDGE_INDEX}: 电池温度太高(超过{$BATTERY.TEMP.MAX.WARN}℃持续{$TIME.PERIOD})</v>
      </c>
      <c r="K14" s="1" t="str">
        <f t="shared" si="3"/>
        <v/>
      </c>
    </row>
    <row r="15" spans="1:11">
      <c r="A15" s="1">
        <v>57</v>
      </c>
      <c r="B15" s="1" t="s">
        <v>9058</v>
      </c>
      <c r="C15" s="1" t="s">
        <v>9053</v>
      </c>
      <c r="D15" s="1" t="s">
        <v>43</v>
      </c>
      <c r="E15" s="1" t="s">
        <v>46</v>
      </c>
      <c r="F15" s="1" t="s">
        <v>15</v>
      </c>
      <c r="G15" s="1" t="s">
        <v>16</v>
      </c>
      <c r="H15" s="1" t="str">
        <f t="shared" si="0"/>
        <v/>
      </c>
      <c r="I15" s="1" t="str">
        <f t="shared" si="1"/>
        <v/>
      </c>
      <c r="J15" s="1" t="str">
        <f t="shared" si="2"/>
        <v>{#PHASEINDEX}: 不可接受的相位{#PHASEINDEX}输入电压(超出范围{$UPS.INPUT_VOLT.MIN.WARN}-{$UPS.INPUT_VOLT.MAX.WARN}伏{$TIME.PERIOD})</v>
      </c>
      <c r="K15" s="1" t="str">
        <f t="shared" si="3"/>
        <v/>
      </c>
    </row>
    <row r="16" spans="1:11">
      <c r="A16" s="1">
        <v>58</v>
      </c>
      <c r="B16" s="1" t="s">
        <v>9058</v>
      </c>
      <c r="C16" s="1" t="s">
        <v>9054</v>
      </c>
      <c r="D16" s="1" t="s">
        <v>43</v>
      </c>
      <c r="E16" s="1" t="s">
        <v>48</v>
      </c>
      <c r="F16" s="1" t="s">
        <v>19</v>
      </c>
      <c r="G16" s="1" t="s">
        <v>20</v>
      </c>
      <c r="H16" s="1" t="str">
        <f t="shared" si="0"/>
        <v/>
      </c>
      <c r="I16" s="1" t="str">
        <f t="shared" si="1"/>
        <v/>
      </c>
      <c r="J16" s="1" t="str">
        <f t="shared" si="2"/>
        <v>{#PHASEINDEX}: 不可接受的阶段{#PHASEINDEX}输出电压(超出范围{$UPS.INPUT_VOLT.MIN.WARN}-{$UPS.INPUT_VOLT.MAX.WARN}伏{$TIME.PERIOD})</v>
      </c>
      <c r="K16" s="1" t="str">
        <f t="shared" si="3"/>
        <v/>
      </c>
    </row>
    <row r="17" spans="1:11">
      <c r="A17" s="1">
        <v>61</v>
      </c>
      <c r="B17" s="1" t="s">
        <v>9059</v>
      </c>
      <c r="C17" s="1" t="s">
        <v>9052</v>
      </c>
      <c r="D17" s="1" t="s">
        <v>50</v>
      </c>
      <c r="E17" s="1" t="s">
        <v>51</v>
      </c>
      <c r="F17" s="1" t="s">
        <v>11</v>
      </c>
      <c r="G17" s="1" t="s">
        <v>12</v>
      </c>
      <c r="H17" s="1" t="str">
        <f t="shared" si="0"/>
        <v/>
      </c>
      <c r="I17" s="1" t="str">
        <f t="shared" si="1"/>
        <v/>
      </c>
      <c r="J17" s="1" t="str">
        <f t="shared" si="2"/>
        <v>{#BATTERY_PACK}.{#CARTRIDGE_INDEX}: 电池温度太高(超过{$BATTERY.TEMP.MAX.WARN}℃持续{$TIME.PERIOD})</v>
      </c>
      <c r="K17" s="1" t="str">
        <f t="shared" si="3"/>
        <v/>
      </c>
    </row>
    <row r="18" spans="1:11">
      <c r="A18" s="1">
        <v>68</v>
      </c>
      <c r="B18" s="1" t="s">
        <v>9059</v>
      </c>
      <c r="C18" s="1" t="s">
        <v>9053</v>
      </c>
      <c r="D18" s="1" t="s">
        <v>50</v>
      </c>
      <c r="E18" s="1" t="s">
        <v>53</v>
      </c>
      <c r="F18" s="1" t="s">
        <v>15</v>
      </c>
      <c r="G18" s="1" t="s">
        <v>16</v>
      </c>
      <c r="H18" s="1" t="str">
        <f t="shared" si="0"/>
        <v/>
      </c>
      <c r="I18" s="1" t="str">
        <f t="shared" si="1"/>
        <v/>
      </c>
      <c r="J18" s="1" t="str">
        <f t="shared" si="2"/>
        <v>{#PHASEINDEX}: 不可接受的相位{#PHASEINDEX}输入电压(超出范围{$UPS.INPUT_VOLT.MIN.WARN}-{$UPS.INPUT_VOLT.MAX.WARN}伏{$TIME.PERIOD})</v>
      </c>
      <c r="K18" s="1" t="str">
        <f t="shared" si="3"/>
        <v/>
      </c>
    </row>
    <row r="19" spans="1:11">
      <c r="A19" s="1">
        <v>69</v>
      </c>
      <c r="B19" s="1" t="s">
        <v>9059</v>
      </c>
      <c r="C19" s="1" t="s">
        <v>9054</v>
      </c>
      <c r="D19" s="1" t="s">
        <v>50</v>
      </c>
      <c r="E19" s="1" t="s">
        <v>55</v>
      </c>
      <c r="F19" s="1" t="s">
        <v>19</v>
      </c>
      <c r="G19" s="1" t="s">
        <v>20</v>
      </c>
      <c r="H19" s="1" t="str">
        <f t="shared" si="0"/>
        <v/>
      </c>
      <c r="I19" s="1" t="str">
        <f t="shared" si="1"/>
        <v/>
      </c>
      <c r="J19" s="1" t="str">
        <f t="shared" si="2"/>
        <v>{#PHASEINDEX}: 不可接受的阶段{#PHASEINDEX}输出电压(超出范围{$UPS.INPUT_VOLT.MIN.WARN}-{$UPS.INPUT_VOLT.MAX.WARN}伏{$TIME.PERIOD})</v>
      </c>
      <c r="K19" s="1" t="str">
        <f t="shared" si="3"/>
        <v/>
      </c>
    </row>
    <row r="20" spans="1:11">
      <c r="A20" s="1">
        <v>72</v>
      </c>
      <c r="B20" s="1" t="s">
        <v>9060</v>
      </c>
      <c r="C20" s="1" t="s">
        <v>9052</v>
      </c>
      <c r="D20" s="1" t="s">
        <v>57</v>
      </c>
      <c r="E20" s="1" t="s">
        <v>58</v>
      </c>
      <c r="F20" s="1" t="s">
        <v>11</v>
      </c>
      <c r="G20" s="1" t="s">
        <v>12</v>
      </c>
      <c r="H20" s="1" t="str">
        <f t="shared" si="0"/>
        <v/>
      </c>
      <c r="I20" s="1" t="str">
        <f t="shared" si="1"/>
        <v/>
      </c>
      <c r="J20" s="1" t="str">
        <f t="shared" si="2"/>
        <v>{#BATTERY_PACK}.{#CARTRIDGE_INDEX}: 电池温度太高(超过{$BATTERY.TEMP.MAX.WARN}℃持续{$TIME.PERIOD})</v>
      </c>
      <c r="K20" s="1" t="str">
        <f t="shared" si="3"/>
        <v/>
      </c>
    </row>
    <row r="21" spans="1:11">
      <c r="A21" s="1">
        <v>79</v>
      </c>
      <c r="B21" s="1" t="s">
        <v>9060</v>
      </c>
      <c r="C21" s="1" t="s">
        <v>9053</v>
      </c>
      <c r="D21" s="1" t="s">
        <v>57</v>
      </c>
      <c r="E21" s="1" t="s">
        <v>60</v>
      </c>
      <c r="F21" s="1" t="s">
        <v>15</v>
      </c>
      <c r="G21" s="1" t="s">
        <v>16</v>
      </c>
      <c r="H21" s="1" t="str">
        <f t="shared" si="0"/>
        <v/>
      </c>
      <c r="I21" s="1" t="str">
        <f t="shared" si="1"/>
        <v/>
      </c>
      <c r="J21" s="1" t="str">
        <f t="shared" si="2"/>
        <v>{#PHASEINDEX}: 不可接受的相位{#PHASEINDEX}输入电压(超出范围{$UPS.INPUT_VOLT.MIN.WARN}-{$UPS.INPUT_VOLT.MAX.WARN}伏{$TIME.PERIOD})</v>
      </c>
      <c r="K21" s="1" t="str">
        <f t="shared" si="3"/>
        <v/>
      </c>
    </row>
    <row r="22" spans="1:11">
      <c r="A22" s="1">
        <v>80</v>
      </c>
      <c r="B22" s="1" t="s">
        <v>9060</v>
      </c>
      <c r="C22" s="1" t="s">
        <v>9054</v>
      </c>
      <c r="D22" s="1" t="s">
        <v>57</v>
      </c>
      <c r="E22" s="1" t="s">
        <v>62</v>
      </c>
      <c r="F22" s="1" t="s">
        <v>19</v>
      </c>
      <c r="G22" s="1" t="s">
        <v>20</v>
      </c>
      <c r="H22" s="1" t="str">
        <f t="shared" si="0"/>
        <v/>
      </c>
      <c r="I22" s="1" t="str">
        <f t="shared" si="1"/>
        <v/>
      </c>
      <c r="J22" s="1" t="str">
        <f t="shared" si="2"/>
        <v>{#PHASEINDEX}: 不可接受的阶段{#PHASEINDEX}输出电压(超出范围{$UPS.INPUT_VOLT.MIN.WARN}-{$UPS.INPUT_VOLT.MAX.WARN}伏{$TIME.PERIOD})</v>
      </c>
      <c r="K22" s="1" t="str">
        <f t="shared" si="3"/>
        <v/>
      </c>
    </row>
    <row r="23" spans="1:11">
      <c r="A23" s="1">
        <v>83</v>
      </c>
      <c r="B23" s="1" t="s">
        <v>9061</v>
      </c>
      <c r="C23" s="1" t="s">
        <v>9052</v>
      </c>
      <c r="D23" s="1" t="s">
        <v>64</v>
      </c>
      <c r="E23" s="1" t="s">
        <v>65</v>
      </c>
      <c r="F23" s="1" t="s">
        <v>11</v>
      </c>
      <c r="G23" s="1" t="s">
        <v>12</v>
      </c>
      <c r="H23" s="1" t="str">
        <f t="shared" si="0"/>
        <v/>
      </c>
      <c r="I23" s="1" t="str">
        <f t="shared" si="1"/>
        <v/>
      </c>
      <c r="J23" s="1" t="str">
        <f t="shared" si="2"/>
        <v>{#BATTERY_PACK}.{#CARTRIDGE_INDEX}: 电池温度太高(超过{$BATTERY.TEMP.MAX.WARN}℃持续{$TIME.PERIOD})</v>
      </c>
      <c r="K23" s="1" t="str">
        <f t="shared" si="3"/>
        <v/>
      </c>
    </row>
    <row r="24" spans="1:11">
      <c r="A24" s="1">
        <v>90</v>
      </c>
      <c r="B24" s="1" t="s">
        <v>9061</v>
      </c>
      <c r="C24" s="1" t="s">
        <v>9053</v>
      </c>
      <c r="D24" s="1" t="s">
        <v>64</v>
      </c>
      <c r="E24" s="1" t="s">
        <v>67</v>
      </c>
      <c r="F24" s="1" t="s">
        <v>15</v>
      </c>
      <c r="G24" s="1" t="s">
        <v>16</v>
      </c>
      <c r="H24" s="1" t="str">
        <f t="shared" si="0"/>
        <v/>
      </c>
      <c r="I24" s="1" t="str">
        <f t="shared" si="1"/>
        <v/>
      </c>
      <c r="J24" s="1" t="str">
        <f t="shared" si="2"/>
        <v>{#PHASEINDEX}: 不可接受的相位{#PHASEINDEX}输入电压(超出范围{$UPS.INPUT_VOLT.MIN.WARN}-{$UPS.INPUT_VOLT.MAX.WARN}伏{$TIME.PERIOD})</v>
      </c>
      <c r="K24" s="1" t="str">
        <f t="shared" si="3"/>
        <v/>
      </c>
    </row>
    <row r="25" spans="1:11">
      <c r="A25" s="1">
        <v>91</v>
      </c>
      <c r="B25" s="1" t="s">
        <v>9061</v>
      </c>
      <c r="C25" s="1" t="s">
        <v>9054</v>
      </c>
      <c r="D25" s="1" t="s">
        <v>64</v>
      </c>
      <c r="E25" s="1" t="s">
        <v>69</v>
      </c>
      <c r="F25" s="1" t="s">
        <v>19</v>
      </c>
      <c r="G25" s="1" t="s">
        <v>20</v>
      </c>
      <c r="H25" s="1" t="str">
        <f t="shared" si="0"/>
        <v/>
      </c>
      <c r="I25" s="1" t="str">
        <f t="shared" si="1"/>
        <v/>
      </c>
      <c r="J25" s="1" t="str">
        <f t="shared" si="2"/>
        <v>{#PHASEINDEX}: 不可接受的阶段{#PHASEINDEX}输出电压(超出范围{$UPS.INPUT_VOLT.MIN.WARN}-{$UPS.INPUT_VOLT.MAX.WARN}伏{$TIME.PERIOD})</v>
      </c>
      <c r="K25" s="1" t="str">
        <f t="shared" si="3"/>
        <v/>
      </c>
    </row>
    <row r="26" spans="1:11">
      <c r="A26" s="1">
        <v>94</v>
      </c>
      <c r="B26" s="1" t="s">
        <v>9062</v>
      </c>
      <c r="C26" s="1" t="s">
        <v>9052</v>
      </c>
      <c r="D26" s="1" t="s">
        <v>71</v>
      </c>
      <c r="E26" s="1" t="s">
        <v>72</v>
      </c>
      <c r="F26" s="1" t="s">
        <v>11</v>
      </c>
      <c r="G26" s="1" t="s">
        <v>12</v>
      </c>
      <c r="H26" s="1" t="str">
        <f t="shared" si="0"/>
        <v/>
      </c>
      <c r="I26" s="1" t="str">
        <f t="shared" si="1"/>
        <v/>
      </c>
      <c r="J26" s="1" t="str">
        <f t="shared" si="2"/>
        <v>{#BATTERY_PACK}.{#CARTRIDGE_INDEX}: 电池温度太高(超过{$BATTERY.TEMP.MAX.WARN}℃持续{$TIME.PERIOD})</v>
      </c>
      <c r="K26" s="1" t="str">
        <f t="shared" si="3"/>
        <v/>
      </c>
    </row>
    <row r="27" spans="1:11">
      <c r="A27" s="1">
        <v>101</v>
      </c>
      <c r="B27" s="1" t="s">
        <v>9062</v>
      </c>
      <c r="C27" s="1" t="s">
        <v>9053</v>
      </c>
      <c r="D27" s="1" t="s">
        <v>71</v>
      </c>
      <c r="E27" s="1" t="s">
        <v>74</v>
      </c>
      <c r="F27" s="1" t="s">
        <v>15</v>
      </c>
      <c r="G27" s="1" t="s">
        <v>16</v>
      </c>
      <c r="H27" s="1" t="str">
        <f t="shared" si="0"/>
        <v/>
      </c>
      <c r="I27" s="1" t="str">
        <f t="shared" si="1"/>
        <v/>
      </c>
      <c r="J27" s="1" t="str">
        <f t="shared" si="2"/>
        <v>{#PHASEINDEX}: 不可接受的相位{#PHASEINDEX}输入电压(超出范围{$UPS.INPUT_VOLT.MIN.WARN}-{$UPS.INPUT_VOLT.MAX.WARN}伏{$TIME.PERIOD})</v>
      </c>
      <c r="K27" s="1" t="str">
        <f t="shared" si="3"/>
        <v/>
      </c>
    </row>
    <row r="28" spans="1:11">
      <c r="A28" s="1">
        <v>102</v>
      </c>
      <c r="B28" s="1" t="s">
        <v>9062</v>
      </c>
      <c r="C28" s="1" t="s">
        <v>9054</v>
      </c>
      <c r="D28" s="1" t="s">
        <v>71</v>
      </c>
      <c r="E28" s="1" t="s">
        <v>76</v>
      </c>
      <c r="F28" s="1" t="s">
        <v>19</v>
      </c>
      <c r="G28" s="1" t="s">
        <v>20</v>
      </c>
      <c r="H28" s="1" t="str">
        <f t="shared" si="0"/>
        <v/>
      </c>
      <c r="I28" s="1" t="str">
        <f t="shared" si="1"/>
        <v/>
      </c>
      <c r="J28" s="1" t="str">
        <f t="shared" si="2"/>
        <v>{#PHASEINDEX}: 不可接受的阶段{#PHASEINDEX}输出电压(超出范围{$UPS.INPUT_VOLT.MIN.WARN}-{$UPS.INPUT_VOLT.MAX.WARN}伏{$TIME.PERIOD})</v>
      </c>
      <c r="K28" s="1" t="str">
        <f t="shared" si="3"/>
        <v/>
      </c>
    </row>
    <row r="29" spans="1:11">
      <c r="A29" s="1">
        <v>105</v>
      </c>
      <c r="B29" s="1" t="s">
        <v>9063</v>
      </c>
      <c r="C29" s="1" t="s">
        <v>9052</v>
      </c>
      <c r="D29" s="1" t="s">
        <v>78</v>
      </c>
      <c r="E29" s="1" t="s">
        <v>79</v>
      </c>
      <c r="F29" s="1" t="s">
        <v>11</v>
      </c>
      <c r="G29" s="1" t="s">
        <v>12</v>
      </c>
      <c r="H29" s="1" t="str">
        <f t="shared" si="0"/>
        <v/>
      </c>
      <c r="I29" s="1" t="str">
        <f t="shared" si="1"/>
        <v/>
      </c>
      <c r="J29" s="1" t="str">
        <f t="shared" si="2"/>
        <v>{#BATTERY_PACK}.{#CARTRIDGE_INDEX}: 电池温度太高(超过{$BATTERY.TEMP.MAX.WARN}℃持续{$TIME.PERIOD})</v>
      </c>
      <c r="K29" s="1" t="str">
        <f t="shared" si="3"/>
        <v/>
      </c>
    </row>
    <row r="30" spans="1:11">
      <c r="A30" s="1">
        <v>112</v>
      </c>
      <c r="B30" s="1" t="s">
        <v>9063</v>
      </c>
      <c r="C30" s="1" t="s">
        <v>9053</v>
      </c>
      <c r="D30" s="1" t="s">
        <v>78</v>
      </c>
      <c r="E30" s="1" t="s">
        <v>81</v>
      </c>
      <c r="F30" s="1" t="s">
        <v>15</v>
      </c>
      <c r="G30" s="1" t="s">
        <v>16</v>
      </c>
      <c r="H30" s="1" t="str">
        <f t="shared" si="0"/>
        <v/>
      </c>
      <c r="I30" s="1" t="str">
        <f t="shared" si="1"/>
        <v/>
      </c>
      <c r="J30" s="1" t="str">
        <f t="shared" si="2"/>
        <v>{#PHASEINDEX}: 不可接受的相位{#PHASEINDEX}输入电压(超出范围{$UPS.INPUT_VOLT.MIN.WARN}-{$UPS.INPUT_VOLT.MAX.WARN}伏{$TIME.PERIOD})</v>
      </c>
      <c r="K30" s="1" t="str">
        <f t="shared" si="3"/>
        <v/>
      </c>
    </row>
    <row r="31" spans="1:11">
      <c r="A31" s="1">
        <v>113</v>
      </c>
      <c r="B31" s="1" t="s">
        <v>9063</v>
      </c>
      <c r="C31" s="1" t="s">
        <v>9054</v>
      </c>
      <c r="D31" s="1" t="s">
        <v>78</v>
      </c>
      <c r="E31" s="1" t="s">
        <v>83</v>
      </c>
      <c r="F31" s="1" t="s">
        <v>19</v>
      </c>
      <c r="G31" s="1" t="s">
        <v>20</v>
      </c>
      <c r="H31" s="1" t="str">
        <f t="shared" si="0"/>
        <v/>
      </c>
      <c r="I31" s="1" t="str">
        <f t="shared" si="1"/>
        <v/>
      </c>
      <c r="J31" s="1" t="str">
        <f t="shared" si="2"/>
        <v>{#PHASEINDEX}: 不可接受的阶段{#PHASEINDEX}输出电压(超出范围{$UPS.INPUT_VOLT.MIN.WARN}-{$UPS.INPUT_VOLT.MAX.WARN}伏{$TIME.PERIOD})</v>
      </c>
      <c r="K31" s="1" t="str">
        <f t="shared" si="3"/>
        <v/>
      </c>
    </row>
    <row r="32" spans="1:11">
      <c r="A32" s="1">
        <v>116</v>
      </c>
      <c r="B32" s="1" t="s">
        <v>9064</v>
      </c>
      <c r="C32" s="1" t="s">
        <v>9052</v>
      </c>
      <c r="D32" s="1" t="s">
        <v>85</v>
      </c>
      <c r="E32" s="1" t="s">
        <v>86</v>
      </c>
      <c r="F32" s="1" t="s">
        <v>11</v>
      </c>
      <c r="G32" s="1" t="s">
        <v>12</v>
      </c>
      <c r="H32" s="1" t="str">
        <f t="shared" si="0"/>
        <v/>
      </c>
      <c r="I32" s="1" t="str">
        <f t="shared" si="1"/>
        <v/>
      </c>
      <c r="J32" s="1" t="str">
        <f t="shared" si="2"/>
        <v>{#BATTERY_PACK}.{#CARTRIDGE_INDEX}: 电池温度太高(超过{$BATTERY.TEMP.MAX.WARN}℃持续{$TIME.PERIOD})</v>
      </c>
      <c r="K32" s="1" t="str">
        <f t="shared" si="3"/>
        <v/>
      </c>
    </row>
    <row r="33" spans="1:11">
      <c r="A33" s="1">
        <v>123</v>
      </c>
      <c r="B33" s="1" t="s">
        <v>9064</v>
      </c>
      <c r="C33" s="1" t="s">
        <v>9053</v>
      </c>
      <c r="D33" s="1" t="s">
        <v>85</v>
      </c>
      <c r="E33" s="1" t="s">
        <v>88</v>
      </c>
      <c r="F33" s="1" t="s">
        <v>15</v>
      </c>
      <c r="G33" s="1" t="s">
        <v>16</v>
      </c>
      <c r="H33" s="1" t="str">
        <f t="shared" si="0"/>
        <v/>
      </c>
      <c r="I33" s="1" t="str">
        <f t="shared" si="1"/>
        <v/>
      </c>
      <c r="J33" s="1" t="str">
        <f t="shared" si="2"/>
        <v>{#PHASEINDEX}: 不可接受的相位{#PHASEINDEX}输入电压(超出范围{$UPS.INPUT_VOLT.MIN.WARN}-{$UPS.INPUT_VOLT.MAX.WARN}伏{$TIME.PERIOD})</v>
      </c>
      <c r="K33" s="1" t="str">
        <f t="shared" si="3"/>
        <v/>
      </c>
    </row>
    <row r="34" spans="1:11">
      <c r="A34" s="1">
        <v>124</v>
      </c>
      <c r="B34" s="1" t="s">
        <v>9064</v>
      </c>
      <c r="C34" s="1" t="s">
        <v>9054</v>
      </c>
      <c r="D34" s="1" t="s">
        <v>85</v>
      </c>
      <c r="E34" s="1" t="s">
        <v>90</v>
      </c>
      <c r="F34" s="1" t="s">
        <v>19</v>
      </c>
      <c r="G34" s="1" t="s">
        <v>20</v>
      </c>
      <c r="H34" s="1" t="str">
        <f t="shared" si="0"/>
        <v/>
      </c>
      <c r="I34" s="1" t="str">
        <f t="shared" si="1"/>
        <v/>
      </c>
      <c r="J34" s="1" t="str">
        <f t="shared" si="2"/>
        <v>{#PHASEINDEX}: 不可接受的阶段{#PHASEINDEX}输出电压(超出范围{$UPS.INPUT_VOLT.MIN.WARN}-{$UPS.INPUT_VOLT.MAX.WARN}伏{$TIME.PERIOD})</v>
      </c>
      <c r="K34" s="1" t="str">
        <f t="shared" si="3"/>
        <v/>
      </c>
    </row>
    <row r="35" spans="1:11">
      <c r="A35" s="1">
        <v>125</v>
      </c>
      <c r="B35" s="1" t="s">
        <v>9065</v>
      </c>
      <c r="C35" s="1" t="s">
        <v>9066</v>
      </c>
      <c r="D35" s="1" t="s">
        <v>92</v>
      </c>
      <c r="E35" s="1" t="s">
        <v>4741</v>
      </c>
      <c r="F35" s="1" t="s">
        <v>94</v>
      </c>
      <c r="G35" s="1" t="s">
        <v>95</v>
      </c>
      <c r="H35" s="1" t="str">
        <f t="shared" si="0"/>
        <v>AWS EBS</v>
      </c>
      <c r="I35" s="1" t="str">
        <f t="shared" si="1"/>
        <v>突发余额太低(减少{$AWS.EBS.BURST.CREDIT.BALANCE.MIN.WARN}%达5分钟)</v>
      </c>
      <c r="J35" s="1" t="str">
        <f t="shared" si="2"/>
        <v>AWS EBS: 突发余额太低(减少{$AWS.EBS.BURST.CREDIT.BALANCE.MIN.WARN}%达5分钟)</v>
      </c>
      <c r="K35" s="1" t="str">
        <f t="shared" si="3"/>
        <v>Burst balance is too low (less {$AWS.EBS.BURST.CREDIT.BALANCE.MIN.WARN}% for 5m)</v>
      </c>
    </row>
    <row r="36" spans="1:11">
      <c r="A36" s="1">
        <v>131</v>
      </c>
      <c r="B36" s="1" t="s">
        <v>9067</v>
      </c>
      <c r="C36" s="1" t="s">
        <v>9068</v>
      </c>
      <c r="D36" s="1" t="s">
        <v>97</v>
      </c>
      <c r="E36" s="1" t="s">
        <v>9069</v>
      </c>
      <c r="F36" s="1" t="s">
        <v>99</v>
      </c>
      <c r="G36" s="1" t="s">
        <v>9070</v>
      </c>
      <c r="H36" s="1" t="str">
        <f t="shared" si="0"/>
        <v/>
      </c>
      <c r="I36" s="1" t="str">
        <f t="shared" si="1"/>
        <v/>
      </c>
      <c r="J36" s="1" t="str">
        <f t="shared" si="2"/>
        <v>AWS ECS 集群服务：[{#AWS.ECS.SERVICE.NAME}]：CPU 使用率过高（超过 {$AWS.ECS.CLUSTER.SERVICE.CPU.UTIL.WARN}% 达 15 分钟）</v>
      </c>
      <c r="K36" s="1" t="str">
        <f t="shared" si="3"/>
        <v>[{#AWS.ECS.SERVICE.NAME}]: High CPU utilization (over {$AWS.ECS.CLUSTER.SERVICE.CPU.UTIL.WARN}% for 15m)</v>
      </c>
    </row>
    <row r="37" spans="1:11">
      <c r="A37" s="1">
        <v>132</v>
      </c>
      <c r="B37" s="1" t="s">
        <v>9067</v>
      </c>
      <c r="C37" s="1" t="s">
        <v>9071</v>
      </c>
      <c r="D37" s="1" t="s">
        <v>97</v>
      </c>
      <c r="E37" s="1" t="s">
        <v>9072</v>
      </c>
      <c r="F37" s="1" t="s">
        <v>103</v>
      </c>
      <c r="G37" s="1" t="s">
        <v>9073</v>
      </c>
      <c r="H37" s="1" t="str">
        <f t="shared" si="0"/>
        <v/>
      </c>
      <c r="I37" s="1" t="str">
        <f t="shared" si="1"/>
        <v/>
      </c>
      <c r="J37" s="1" t="str">
        <f t="shared" si="2"/>
        <v>AWS ECS 集群服务：[{#AWS.ECS.SERVICE.NAME}]：内存使用率过高（超过 {$AWS.ECS.CLUSTER.SERVICE.MEMORY.UTIL.WARN}% 达 15 分钟）</v>
      </c>
      <c r="K37" s="1" t="str">
        <f t="shared" si="3"/>
        <v>[{#AWS.ECS.SERVICE.NAME}]: High memory utilization (over {$AWS.ECS.CLUSTER.SERVICE.MEMORY.UTIL.WARN}% for 15m)</v>
      </c>
    </row>
    <row r="38" spans="1:11">
      <c r="A38" s="1">
        <v>135</v>
      </c>
      <c r="B38" s="1" t="s">
        <v>9074</v>
      </c>
      <c r="C38" s="1" t="s">
        <v>9068</v>
      </c>
      <c r="D38" s="1" t="s">
        <v>106</v>
      </c>
      <c r="E38" s="1" t="s">
        <v>9075</v>
      </c>
      <c r="F38" s="1" t="s">
        <v>99</v>
      </c>
      <c r="G38" s="1" t="s">
        <v>9070</v>
      </c>
      <c r="H38" s="1" t="str">
        <f t="shared" si="0"/>
        <v/>
      </c>
      <c r="I38" s="1" t="str">
        <f t="shared" si="1"/>
        <v/>
      </c>
      <c r="J38" s="1" t="str">
        <f t="shared" si="2"/>
        <v>AWS ECS 集群服务：[{#AWS.ECS.SERVICE.NAME}]：CPU 使用率过高（超过 {$AWS.ECS.CLUSTER.SERVICE.CPU.UTIL.WARN}% 达 15 分钟）</v>
      </c>
      <c r="K38" s="1" t="str">
        <f t="shared" si="3"/>
        <v>[{#AWS.ECS.SERVICE.NAME}]: High CPU utilization (over {$AWS.ECS.CLUSTER.SERVICE.CPU.UTIL.WARN}% for 15m)</v>
      </c>
    </row>
    <row r="39" spans="1:11">
      <c r="A39" s="1">
        <v>136</v>
      </c>
      <c r="B39" s="1" t="s">
        <v>9074</v>
      </c>
      <c r="C39" s="1" t="s">
        <v>9071</v>
      </c>
      <c r="D39" s="1" t="s">
        <v>106</v>
      </c>
      <c r="E39" s="1" t="s">
        <v>9076</v>
      </c>
      <c r="F39" s="1" t="s">
        <v>103</v>
      </c>
      <c r="G39" s="1" t="s">
        <v>9073</v>
      </c>
      <c r="H39" s="1" t="str">
        <f t="shared" si="0"/>
        <v/>
      </c>
      <c r="I39" s="1" t="str">
        <f t="shared" si="1"/>
        <v/>
      </c>
      <c r="J39" s="1" t="str">
        <f t="shared" si="2"/>
        <v>AWS ECS 集群服务：[{#AWS.ECS.SERVICE.NAME}]：内存使用率过高（超过 {$AWS.ECS.CLUSTER.SERVICE.MEMORY.UTIL.WARN}% 达 15 分钟）</v>
      </c>
      <c r="K39" s="1" t="str">
        <f t="shared" si="3"/>
        <v>[{#AWS.ECS.SERVICE.NAME}]: High memory utilization (over {$AWS.ECS.CLUSTER.SERVICE.MEMORY.UTIL.WARN}% for 15m)</v>
      </c>
    </row>
    <row r="40" spans="1:11">
      <c r="A40" s="1">
        <v>137</v>
      </c>
      <c r="B40" s="1" t="s">
        <v>9077</v>
      </c>
      <c r="C40" s="1" t="s">
        <v>9078</v>
      </c>
      <c r="D40" s="1" t="s">
        <v>111</v>
      </c>
      <c r="E40" s="1" t="s">
        <v>9079</v>
      </c>
      <c r="F40" s="1" t="s">
        <v>113</v>
      </c>
      <c r="G40" s="1" t="s">
        <v>9080</v>
      </c>
      <c r="H40" s="1" t="str">
        <f t="shared" si="0"/>
        <v/>
      </c>
      <c r="I40" s="1" t="str">
        <f t="shared" si="1"/>
        <v/>
      </c>
      <c r="J40" s="1" t="str">
        <f t="shared" si="2"/>
        <v>AWS ELB ALB 警报：[{#ALARM_NAME}] 处于 '警报' 状态（原因：{ITEM.LASTVALUE2}）</v>
      </c>
      <c r="K40" s="1" t="str">
        <f t="shared" si="3"/>
        <v>[{#ALARM_NAME}] has 'Alarm' state (reason: {ITEM.LASTVALUE2})</v>
      </c>
    </row>
    <row r="41" spans="1:11">
      <c r="A41" s="1">
        <v>138</v>
      </c>
      <c r="B41" s="1" t="s">
        <v>9077</v>
      </c>
      <c r="C41" s="1" t="s">
        <v>9081</v>
      </c>
      <c r="D41" s="1" t="s">
        <v>111</v>
      </c>
      <c r="E41" s="1" t="s">
        <v>9082</v>
      </c>
      <c r="F41" s="1" t="s">
        <v>117</v>
      </c>
      <c r="G41" s="1" t="s">
        <v>9083</v>
      </c>
      <c r="H41" s="1" t="str">
        <f t="shared" si="0"/>
        <v/>
      </c>
      <c r="I41" s="1" t="str">
        <f t="shared" si="1"/>
        <v/>
      </c>
      <c r="J41" s="1" t="str">
        <f t="shared" si="2"/>
        <v>AWS ELB ALB 警报：[{#ALARM_NAME}] 处于 '数据不足' 状态</v>
      </c>
      <c r="K41" s="1" t="str">
        <f t="shared" si="3"/>
        <v>[{#ALARM_NAME}] has 'Insufficient data' state</v>
      </c>
    </row>
    <row r="42" spans="1:11">
      <c r="A42" s="1">
        <v>143</v>
      </c>
      <c r="B42" s="1" t="s">
        <v>9084</v>
      </c>
      <c r="C42" s="1" t="s">
        <v>9085</v>
      </c>
      <c r="D42" s="1" t="s">
        <v>146</v>
      </c>
      <c r="E42" s="1" t="s">
        <v>1109</v>
      </c>
      <c r="F42" s="1" t="s">
        <v>148</v>
      </c>
      <c r="G42" s="1" t="s">
        <v>149</v>
      </c>
      <c r="H42" s="1" t="str">
        <f t="shared" si="0"/>
        <v/>
      </c>
      <c r="I42" s="1" t="str">
        <f t="shared" si="1"/>
        <v/>
      </c>
      <c r="J42" s="1" t="str">
        <f t="shared" si="2"/>
        <v>告警 [{#ALERT_ID}]: "critical" 级别告警</v>
      </c>
      <c r="K42" s="1" t="str">
        <f t="shared" si="3"/>
        <v/>
      </c>
    </row>
    <row r="43" spans="1:11">
      <c r="A43" s="1">
        <v>144</v>
      </c>
      <c r="B43" s="1" t="s">
        <v>9084</v>
      </c>
      <c r="C43" s="1" t="s">
        <v>9086</v>
      </c>
      <c r="D43" s="1" t="s">
        <v>146</v>
      </c>
      <c r="E43" s="1" t="s">
        <v>9087</v>
      </c>
      <c r="F43" s="1" t="s">
        <v>152</v>
      </c>
      <c r="G43" s="1" t="s">
        <v>153</v>
      </c>
      <c r="H43" s="1" t="str">
        <f t="shared" si="0"/>
        <v/>
      </c>
      <c r="I43" s="1" t="str">
        <f t="shared" si="1"/>
        <v/>
      </c>
      <c r="J43" s="1" t="str">
        <f t="shared" si="2"/>
        <v>告警 [{#ALERT_ID}]: "error" 级别告警</v>
      </c>
      <c r="K43" s="1" t="str">
        <f t="shared" si="3"/>
        <v/>
      </c>
    </row>
    <row r="44" spans="1:11">
      <c r="A44" s="1">
        <v>145</v>
      </c>
      <c r="B44" s="1" t="s">
        <v>9084</v>
      </c>
      <c r="C44" s="1" t="s">
        <v>9088</v>
      </c>
      <c r="D44" s="1" t="s">
        <v>146</v>
      </c>
      <c r="E44" s="1" t="s">
        <v>9089</v>
      </c>
      <c r="F44" s="1" t="s">
        <v>156</v>
      </c>
      <c r="G44" s="1" t="s">
        <v>157</v>
      </c>
      <c r="H44" s="1" t="str">
        <f t="shared" si="0"/>
        <v/>
      </c>
      <c r="I44" s="1" t="str">
        <f t="shared" si="1"/>
        <v/>
      </c>
      <c r="J44" s="1" t="str">
        <f t="shared" si="2"/>
        <v>告警 [{#ALERT_ID}]: "warning" 级别告警</v>
      </c>
      <c r="K44" s="1" t="str">
        <f t="shared" si="3"/>
        <v/>
      </c>
    </row>
    <row r="45" spans="1:11">
      <c r="A45" s="1">
        <v>162</v>
      </c>
      <c r="B45" s="1" t="s">
        <v>9090</v>
      </c>
      <c r="C45" s="1" t="s">
        <v>9091</v>
      </c>
      <c r="D45" s="1" t="s">
        <v>159</v>
      </c>
      <c r="E45" s="1" t="s">
        <v>160</v>
      </c>
      <c r="F45" s="1" t="s">
        <v>161</v>
      </c>
      <c r="G45" s="1" t="s">
        <v>162</v>
      </c>
      <c r="H45" s="1" t="str">
        <f t="shared" si="0"/>
        <v/>
      </c>
      <c r="I45" s="1" t="str">
        <f t="shared" si="1"/>
        <v/>
      </c>
      <c r="J45" s="1" t="str">
        <f t="shared" si="2"/>
        <v>接口{#IFNAME}({#IFALIAS}): 带宽使用率太高(&gt;{$IF.UTIL.MAX: "{#IFNAME}"}%)</v>
      </c>
      <c r="K45" s="1" t="str">
        <f t="shared" si="3"/>
        <v/>
      </c>
    </row>
    <row r="46" spans="1:11">
      <c r="A46" s="1">
        <v>164</v>
      </c>
      <c r="B46" s="1" t="s">
        <v>9090</v>
      </c>
      <c r="C46" s="1" t="s">
        <v>9092</v>
      </c>
      <c r="D46" s="1" t="s">
        <v>159</v>
      </c>
      <c r="E46" s="1" t="s">
        <v>164</v>
      </c>
      <c r="F46" s="1" t="s">
        <v>165</v>
      </c>
      <c r="G46" s="1" t="s">
        <v>166</v>
      </c>
      <c r="H46" s="1" t="str">
        <f t="shared" si="0"/>
        <v/>
      </c>
      <c r="I46" s="1" t="str">
        <f t="shared" si="1"/>
        <v/>
      </c>
      <c r="J46" s="1" t="str">
        <f t="shared" si="2"/>
        <v>接口{#IFNAME}({#IFALIAS}): 错误率太高(&gt;{$IF.ERRORS.WARN: "{#IFNAME}"}达5分钟)</v>
      </c>
      <c r="K46" s="1" t="str">
        <f t="shared" si="3"/>
        <v/>
      </c>
    </row>
    <row r="47" spans="1:11">
      <c r="A47" s="1">
        <v>167</v>
      </c>
      <c r="B47" s="1" t="s">
        <v>9090</v>
      </c>
      <c r="C47" s="1" t="s">
        <v>9093</v>
      </c>
      <c r="D47" s="1" t="s">
        <v>159</v>
      </c>
      <c r="E47" s="1" t="s">
        <v>168</v>
      </c>
      <c r="F47" s="1" t="s">
        <v>169</v>
      </c>
      <c r="G47" s="1" t="s">
        <v>170</v>
      </c>
      <c r="H47" s="1" t="str">
        <f t="shared" si="0"/>
        <v/>
      </c>
      <c r="I47" s="1" t="str">
        <f t="shared" si="1"/>
        <v/>
      </c>
      <c r="J47" s="1" t="str">
        <f t="shared" si="2"/>
        <v>{#ENT_NAME}: 设备已更换(收到新序列号)</v>
      </c>
      <c r="K47" s="1" t="str">
        <f t="shared" si="3"/>
        <v/>
      </c>
    </row>
    <row r="48" spans="1:11">
      <c r="A48" s="1">
        <v>168</v>
      </c>
      <c r="B48" s="1" t="s">
        <v>9090</v>
      </c>
      <c r="C48" s="1" t="s">
        <v>9094</v>
      </c>
      <c r="D48" s="1" t="s">
        <v>159</v>
      </c>
      <c r="E48" s="1" t="s">
        <v>172</v>
      </c>
      <c r="F48" s="1" t="s">
        <v>173</v>
      </c>
      <c r="G48" s="1" t="s">
        <v>174</v>
      </c>
      <c r="H48" s="1" t="str">
        <f t="shared" si="0"/>
        <v/>
      </c>
      <c r="I48" s="1" t="str">
        <f t="shared" si="1"/>
        <v/>
      </c>
      <c r="J48" s="1" t="str">
        <f t="shared" si="2"/>
        <v>{#SNMPVALUE}: 温度高于临界阈值: &gt;{$TEMP_CRIT: "{#SNMPVALUE}"}</v>
      </c>
      <c r="K48" s="1" t="str">
        <f t="shared" si="3"/>
        <v/>
      </c>
    </row>
    <row r="49" spans="1:11">
      <c r="A49" s="1">
        <v>169</v>
      </c>
      <c r="B49" s="1" t="s">
        <v>9090</v>
      </c>
      <c r="C49" s="1" t="s">
        <v>9095</v>
      </c>
      <c r="D49" s="1" t="s">
        <v>159</v>
      </c>
      <c r="E49" s="1" t="s">
        <v>176</v>
      </c>
      <c r="F49" s="1" t="s">
        <v>177</v>
      </c>
      <c r="G49" s="1" t="s">
        <v>178</v>
      </c>
      <c r="H49" s="1" t="str">
        <f t="shared" si="0"/>
        <v/>
      </c>
      <c r="I49" s="1" t="str">
        <f t="shared" si="1"/>
        <v/>
      </c>
      <c r="J49" s="1" t="str">
        <f t="shared" si="2"/>
        <v>{#SNMPVALUE}: 温度高于告警阈值: &gt;{$TEMP_WARN: "{#SNMPVALUE}"}</v>
      </c>
      <c r="K49" s="1" t="str">
        <f t="shared" si="3"/>
        <v/>
      </c>
    </row>
    <row r="50" spans="1:11">
      <c r="A50" s="1">
        <v>170</v>
      </c>
      <c r="B50" s="1" t="s">
        <v>9090</v>
      </c>
      <c r="C50" s="1" t="s">
        <v>9096</v>
      </c>
      <c r="D50" s="1" t="s">
        <v>159</v>
      </c>
      <c r="E50" s="1" t="s">
        <v>180</v>
      </c>
      <c r="F50" s="1" t="s">
        <v>181</v>
      </c>
      <c r="G50" s="1" t="s">
        <v>182</v>
      </c>
      <c r="H50" s="1" t="str">
        <f t="shared" si="0"/>
        <v/>
      </c>
      <c r="I50" s="1" t="str">
        <f t="shared" si="1"/>
        <v/>
      </c>
      <c r="J50" s="1" t="str">
        <f t="shared" si="2"/>
        <v>{#SNMPVALUE}: 温度太低: &lt;{$TEMP_CRIT_LOW: "{#SNMPVALUE}"}</v>
      </c>
      <c r="K50" s="1" t="str">
        <f t="shared" si="3"/>
        <v/>
      </c>
    </row>
    <row r="51" spans="1:11">
      <c r="A51" s="1">
        <v>171</v>
      </c>
      <c r="B51" s="1" t="s">
        <v>9097</v>
      </c>
      <c r="C51" s="1" t="s">
        <v>9098</v>
      </c>
      <c r="D51" s="1" t="s">
        <v>184</v>
      </c>
      <c r="E51" s="1" t="s">
        <v>185</v>
      </c>
      <c r="F51" s="1" t="s">
        <v>186</v>
      </c>
      <c r="G51" s="1" t="s">
        <v>9099</v>
      </c>
      <c r="H51" s="1" t="str">
        <f t="shared" si="0"/>
        <v/>
      </c>
      <c r="I51" s="1" t="str">
        <f t="shared" si="1"/>
        <v/>
      </c>
      <c r="J51" s="1" t="str">
        <f t="shared" si="2"/>
        <v>代理{#JMXBROKERNAME}: 消费者数量太少(少于{$ACTIVEMQ.BROKER.CONSUMERS.MIN.HIGH: "{#JMXBROKERNAME}"}达{$ACTIVEMQ.BROKER.CONSUMERS.MIN.TIME: "{#JMXBROKERNAME}"})</v>
      </c>
      <c r="K51" s="1" t="str">
        <f t="shared" si="3"/>
        <v/>
      </c>
    </row>
    <row r="52" spans="1:11">
      <c r="A52" s="1">
        <v>172</v>
      </c>
      <c r="B52" s="1" t="s">
        <v>9097</v>
      </c>
      <c r="C52" s="1" t="s">
        <v>9100</v>
      </c>
      <c r="D52" s="1" t="s">
        <v>184</v>
      </c>
      <c r="E52" s="1" t="s">
        <v>189</v>
      </c>
      <c r="F52" s="1" t="s">
        <v>190</v>
      </c>
      <c r="G52" s="1" t="s">
        <v>9101</v>
      </c>
      <c r="H52" s="1" t="str">
        <f t="shared" si="0"/>
        <v/>
      </c>
      <c r="I52" s="1" t="str">
        <f t="shared" si="1"/>
        <v/>
      </c>
      <c r="J52" s="1" t="str">
        <f t="shared" si="2"/>
        <v>代理{#JMXBROKERNAME}: Memory使用率太高(超过{$ACTIVEMQ.MEM.MAX.HIGH: "{#JMXBROKERNAME}"}%)</v>
      </c>
      <c r="K52" s="1" t="str">
        <f t="shared" si="3"/>
        <v/>
      </c>
    </row>
    <row r="53" spans="1:11">
      <c r="A53" s="1">
        <v>173</v>
      </c>
      <c r="B53" s="1" t="s">
        <v>9097</v>
      </c>
      <c r="C53" s="1" t="s">
        <v>9102</v>
      </c>
      <c r="D53" s="1" t="s">
        <v>184</v>
      </c>
      <c r="E53" s="1" t="s">
        <v>193</v>
      </c>
      <c r="F53" s="1" t="s">
        <v>194</v>
      </c>
      <c r="G53" s="1" t="s">
        <v>9103</v>
      </c>
      <c r="H53" s="1" t="str">
        <f t="shared" si="0"/>
        <v/>
      </c>
      <c r="I53" s="1" t="str">
        <f t="shared" si="1"/>
        <v/>
      </c>
      <c r="J53" s="1" t="str">
        <f t="shared" si="2"/>
        <v>代理{#JMXBROKERNAME}: Memory使用率太高(超过{$ACTIVEMQ.MEM.MAX.WARN: "{#JMXBROKERNAME}"}%)</v>
      </c>
      <c r="K53" s="1" t="str">
        <f t="shared" si="3"/>
        <v/>
      </c>
    </row>
    <row r="54" spans="1:11">
      <c r="A54" s="1">
        <v>174</v>
      </c>
      <c r="B54" s="1" t="s">
        <v>9097</v>
      </c>
      <c r="C54" s="1" t="s">
        <v>9104</v>
      </c>
      <c r="D54" s="1" t="s">
        <v>184</v>
      </c>
      <c r="E54" s="1" t="s">
        <v>197</v>
      </c>
      <c r="F54" s="1" t="s">
        <v>198</v>
      </c>
      <c r="G54" s="1" t="s">
        <v>9105</v>
      </c>
      <c r="H54" s="1" t="str">
        <f t="shared" si="0"/>
        <v/>
      </c>
      <c r="I54" s="1" t="str">
        <f t="shared" si="1"/>
        <v/>
      </c>
      <c r="J54" s="1" t="str">
        <f t="shared" si="2"/>
        <v>代理{#JMXBROKERNAME}: 消息入队率高于出队率达{$ACTIVEMQ.MSG.RATE.WARN.TIME: "{#JMXBROKERNAME}"}</v>
      </c>
      <c r="K54" s="1" t="str">
        <f t="shared" si="3"/>
        <v/>
      </c>
    </row>
    <row r="55" spans="1:11">
      <c r="A55" s="1">
        <v>175</v>
      </c>
      <c r="B55" s="1" t="s">
        <v>9097</v>
      </c>
      <c r="C55" s="1" t="s">
        <v>9106</v>
      </c>
      <c r="D55" s="1" t="s">
        <v>184</v>
      </c>
      <c r="E55" s="1" t="s">
        <v>201</v>
      </c>
      <c r="F55" s="1" t="s">
        <v>202</v>
      </c>
      <c r="G55" s="1" t="s">
        <v>9107</v>
      </c>
      <c r="H55" s="1" t="str">
        <f t="shared" si="0"/>
        <v/>
      </c>
      <c r="I55" s="1" t="str">
        <f t="shared" si="1"/>
        <v/>
      </c>
      <c r="J55" s="1" t="str">
        <f t="shared" si="2"/>
        <v>代理{#JMXBROKERNAME}: 生产者数量太少(少于{$ACTIVEMQ.BROKER.PRODUCERS.MIN.HIGH: "{#JMXBROKERNAME}"}达{$ACTIVEMQ.BROKER.PRODUCERS.MIN.TIME: "{#JMXBROKERNAME}"})</v>
      </c>
      <c r="K55" s="1" t="str">
        <f t="shared" si="3"/>
        <v/>
      </c>
    </row>
    <row r="56" spans="1:11">
      <c r="A56" s="1">
        <v>176</v>
      </c>
      <c r="B56" s="1" t="s">
        <v>9097</v>
      </c>
      <c r="C56" s="1" t="s">
        <v>9108</v>
      </c>
      <c r="D56" s="1" t="s">
        <v>184</v>
      </c>
      <c r="E56" s="1" t="s">
        <v>205</v>
      </c>
      <c r="F56" s="1" t="s">
        <v>206</v>
      </c>
      <c r="G56" s="1" t="s">
        <v>9109</v>
      </c>
      <c r="H56" s="1" t="str">
        <f t="shared" si="0"/>
        <v/>
      </c>
      <c r="I56" s="1" t="str">
        <f t="shared" si="1"/>
        <v/>
      </c>
      <c r="J56" s="1" t="str">
        <f t="shared" si="2"/>
        <v>代理{#JMXBROKERNAME}: 存储使用率太高(超过{$ACTIVEMQ.STORE.MAX.HIGH: "{#JMXBROKERNAME}"}%)</v>
      </c>
      <c r="K56" s="1" t="str">
        <f t="shared" si="3"/>
        <v/>
      </c>
    </row>
    <row r="57" spans="1:11">
      <c r="A57" s="1">
        <v>177</v>
      </c>
      <c r="B57" s="1" t="s">
        <v>9097</v>
      </c>
      <c r="C57" s="1" t="s">
        <v>9110</v>
      </c>
      <c r="D57" s="1" t="s">
        <v>184</v>
      </c>
      <c r="E57" s="1" t="s">
        <v>209</v>
      </c>
      <c r="F57" s="1" t="s">
        <v>210</v>
      </c>
      <c r="G57" s="1" t="s">
        <v>9111</v>
      </c>
      <c r="H57" s="1" t="str">
        <f t="shared" si="0"/>
        <v/>
      </c>
      <c r="I57" s="1" t="str">
        <f t="shared" si="1"/>
        <v/>
      </c>
      <c r="J57" s="1" t="str">
        <f t="shared" si="2"/>
        <v>代理{#JMXBROKERNAME}: 存储使用率太高(超过{$ACTIVEMQ.STORE.MAX.WARN: "{#JMXBROKERNAME}"}%)</v>
      </c>
      <c r="K57" s="1" t="str">
        <f t="shared" si="3"/>
        <v/>
      </c>
    </row>
    <row r="58" spans="1:11">
      <c r="A58" s="1">
        <v>178</v>
      </c>
      <c r="B58" s="1" t="s">
        <v>9097</v>
      </c>
      <c r="C58" s="1" t="s">
        <v>9112</v>
      </c>
      <c r="D58" s="1" t="s">
        <v>184</v>
      </c>
      <c r="E58" s="1" t="s">
        <v>213</v>
      </c>
      <c r="F58" s="1" t="s">
        <v>214</v>
      </c>
      <c r="G58" s="1" t="s">
        <v>9113</v>
      </c>
      <c r="H58" s="1" t="str">
        <f t="shared" si="0"/>
        <v/>
      </c>
      <c r="I58" s="1" t="str">
        <f t="shared" si="1"/>
        <v/>
      </c>
      <c r="J58" s="1" t="str">
        <f t="shared" si="2"/>
        <v>代理{#JMXBROKERNAME}: Temp使用率太高(超过{$ACTIVEMQ.TEMP.MAX.WARN: "{#JMXBROKERNAME}"}%)</v>
      </c>
      <c r="K58" s="1" t="str">
        <f t="shared" si="3"/>
        <v/>
      </c>
    </row>
    <row r="59" spans="1:11">
      <c r="A59" s="1">
        <v>179</v>
      </c>
      <c r="B59" s="1" t="s">
        <v>9097</v>
      </c>
      <c r="C59" s="1" t="s">
        <v>9114</v>
      </c>
      <c r="D59" s="1" t="s">
        <v>184</v>
      </c>
      <c r="E59" s="1" t="s">
        <v>217</v>
      </c>
      <c r="F59" s="1" t="s">
        <v>214</v>
      </c>
      <c r="G59" s="1" t="s">
        <v>9113</v>
      </c>
      <c r="H59" s="1" t="str">
        <f t="shared" si="0"/>
        <v/>
      </c>
      <c r="I59" s="1" t="str">
        <f t="shared" si="1"/>
        <v/>
      </c>
      <c r="J59" s="1" t="str">
        <f t="shared" si="2"/>
        <v>代理{#JMXBROKERNAME}: Temp使用率太高(超过{$ACTIVEMQ.TEMP.MAX.WARN: "{#JMXBROKERNAME}"}%)</v>
      </c>
      <c r="K59" s="1" t="str">
        <f t="shared" si="3"/>
        <v/>
      </c>
    </row>
    <row r="60" spans="1:11">
      <c r="A60" s="1">
        <v>180</v>
      </c>
      <c r="B60" s="1" t="s">
        <v>9097</v>
      </c>
      <c r="C60" s="1" t="s">
        <v>9115</v>
      </c>
      <c r="D60" s="1" t="s">
        <v>184</v>
      </c>
      <c r="E60" s="1" t="s">
        <v>219</v>
      </c>
      <c r="F60" s="1" t="s">
        <v>220</v>
      </c>
      <c r="G60" s="1" t="s">
        <v>9116</v>
      </c>
      <c r="H60" s="1" t="str">
        <f t="shared" si="0"/>
        <v/>
      </c>
      <c r="I60" s="1" t="str">
        <f t="shared" si="1"/>
        <v/>
      </c>
      <c r="J60" s="1" t="str">
        <f t="shared" si="2"/>
        <v>代理{#JMXBROKERNAME}: 代理已重启(正常运行时间&lt;10分钟)</v>
      </c>
      <c r="K60" s="1" t="str">
        <f t="shared" si="3"/>
        <v/>
      </c>
    </row>
    <row r="61" spans="1:11">
      <c r="A61" s="1">
        <v>181</v>
      </c>
      <c r="B61" s="1" t="s">
        <v>9097</v>
      </c>
      <c r="C61" s="1" t="s">
        <v>9117</v>
      </c>
      <c r="D61" s="1" t="s">
        <v>184</v>
      </c>
      <c r="E61" s="1" t="s">
        <v>223</v>
      </c>
      <c r="F61" s="1" t="s">
        <v>224</v>
      </c>
      <c r="G61" s="1" t="s">
        <v>9118</v>
      </c>
      <c r="H61" s="1" t="str">
        <f t="shared" si="0"/>
        <v/>
      </c>
      <c r="I61" s="1" t="str">
        <f t="shared" si="1"/>
        <v/>
      </c>
      <c r="J61" s="1" t="str">
        <f t="shared" si="2"/>
        <v>代理{#JMXBROKERNAME}: 版本已变更(新版本: {ITEM.VALUE})</v>
      </c>
      <c r="K61" s="1" t="str">
        <f t="shared" si="3"/>
        <v/>
      </c>
    </row>
    <row r="62" spans="1:11">
      <c r="A62" s="1">
        <v>182</v>
      </c>
      <c r="B62" s="1" t="s">
        <v>9097</v>
      </c>
      <c r="C62" s="1" t="s">
        <v>9119</v>
      </c>
      <c r="D62" s="1" t="s">
        <v>184</v>
      </c>
      <c r="E62" s="1" t="s">
        <v>227</v>
      </c>
      <c r="F62" s="1" t="s">
        <v>228</v>
      </c>
      <c r="G62" s="1" t="s">
        <v>229</v>
      </c>
      <c r="H62" s="1" t="str">
        <f t="shared" si="0"/>
        <v/>
      </c>
      <c r="I62" s="1" t="str">
        <f t="shared" si="1"/>
        <v/>
      </c>
      <c r="J62" s="1" t="str">
        <f t="shared" si="2"/>
        <v>{#JMXBROKERNAME}: {#JMXDESTINATIONTYPE}{#JMXDESTINATIONNAME}: 消费者数量太低(低于{$ACTIVEMQ.DESTINATION.CONSUMERS.MIN.HIGH: "{#JMXDESTINATIONNAME}"}达{$ACTIVEMQ.DESTINATION.CONSUMERS.MIN.TIME: "{#JMXDESTINATIONNAME}"})</v>
      </c>
      <c r="K62" s="1" t="str">
        <f t="shared" si="3"/>
        <v/>
      </c>
    </row>
    <row r="63" spans="1:11">
      <c r="A63" s="1">
        <v>183</v>
      </c>
      <c r="B63" s="1" t="s">
        <v>9097</v>
      </c>
      <c r="C63" s="1" t="s">
        <v>9120</v>
      </c>
      <c r="D63" s="1" t="s">
        <v>184</v>
      </c>
      <c r="E63" s="1" t="s">
        <v>231</v>
      </c>
      <c r="F63" s="1" t="s">
        <v>232</v>
      </c>
      <c r="G63" s="1" t="s">
        <v>233</v>
      </c>
      <c r="H63" s="1" t="str">
        <f t="shared" si="0"/>
        <v/>
      </c>
      <c r="I63" s="1" t="str">
        <f t="shared" si="1"/>
        <v/>
      </c>
      <c r="J63" s="1" t="str">
        <f t="shared" si="2"/>
        <v>{#JMXBROKERNAME}: {#JMXDESTINATIONTYPE}{#JMXDESTINATIONNAME}: 过期消息计数很高于{$ACTIVEMQ.EXPIRED.WARN: "{#JMXDESTINATIONNAME}"}</v>
      </c>
      <c r="K63" s="1" t="str">
        <f t="shared" si="3"/>
        <v/>
      </c>
    </row>
    <row r="64" spans="1:11">
      <c r="A64" s="1">
        <v>184</v>
      </c>
      <c r="B64" s="1" t="s">
        <v>9097</v>
      </c>
      <c r="C64" s="1" t="s">
        <v>9121</v>
      </c>
      <c r="D64" s="1" t="s">
        <v>184</v>
      </c>
      <c r="E64" s="1" t="s">
        <v>235</v>
      </c>
      <c r="F64" s="1" t="s">
        <v>236</v>
      </c>
      <c r="G64" s="1" t="s">
        <v>237</v>
      </c>
      <c r="H64" s="1" t="str">
        <f t="shared" si="0"/>
        <v/>
      </c>
      <c r="I64" s="1" t="str">
        <f t="shared" si="1"/>
        <v/>
      </c>
      <c r="J64" s="1" t="str">
        <f t="shared" si="2"/>
        <v>{#JMXBROKERNAME}: {#JMXDESTINATIONTYPE}{#JMXDESTINATIONNAME}: 内存使用率太高(超过{$ACTIVEMQ.MEM.MAX.HIGH: "{#JMXDESTINATIONNAME}"}%)</v>
      </c>
      <c r="K64" s="1" t="str">
        <f t="shared" si="3"/>
        <v/>
      </c>
    </row>
    <row r="65" spans="1:11">
      <c r="A65" s="1">
        <v>185</v>
      </c>
      <c r="B65" s="1" t="s">
        <v>9097</v>
      </c>
      <c r="C65" s="1" t="s">
        <v>9122</v>
      </c>
      <c r="D65" s="1" t="s">
        <v>184</v>
      </c>
      <c r="E65" s="1" t="s">
        <v>239</v>
      </c>
      <c r="F65" s="1" t="s">
        <v>240</v>
      </c>
      <c r="G65" s="1" t="s">
        <v>241</v>
      </c>
      <c r="H65" s="1" t="str">
        <f t="shared" si="0"/>
        <v/>
      </c>
      <c r="I65" s="1" t="str">
        <f t="shared" si="1"/>
        <v/>
      </c>
      <c r="J65" s="1" t="str">
        <f t="shared" si="2"/>
        <v>{#JMXBROKERNAME}: {#JMXDESTINATIONTYPE}{#JMXDESTINATIONNAME}: 内存使用率太高(超过{$ACTIVEMQ.MEM.MAX.WARN: "{#JMXDESTINATIONNAME}"}%)</v>
      </c>
      <c r="K65" s="1" t="str">
        <f t="shared" si="3"/>
        <v/>
      </c>
    </row>
    <row r="66" spans="1:11">
      <c r="A66" s="1">
        <v>186</v>
      </c>
      <c r="B66" s="1" t="s">
        <v>9097</v>
      </c>
      <c r="C66" s="1" t="s">
        <v>9123</v>
      </c>
      <c r="D66" s="1" t="s">
        <v>184</v>
      </c>
      <c r="E66" s="1" t="s">
        <v>243</v>
      </c>
      <c r="F66" s="1" t="s">
        <v>244</v>
      </c>
      <c r="G66" s="1" t="s">
        <v>245</v>
      </c>
      <c r="H66" s="1" t="str">
        <f t="shared" ref="H66:H129" si="4">IFERROR(IF(OR(MID(G66,FIND(":",G66)-1,1)="""",MID(G66,FIND(":",G66)-1,1)="}",MID(G66,FIND(":",G66)-1,1)=")",MID(G66,FIND(":",G66)-1,1)="]"),"",LEFT(F66,FIND(":",F66)-1)),"")</f>
        <v/>
      </c>
      <c r="I66" s="1" t="str">
        <f t="shared" ref="I66:I129" si="5">IFERROR(IF(OR(MID(G66,FIND(":",G66)-1,1)="""",MID(G66,FIND(":",G66)-1,1)="}",MID(G66,FIND(":",G66)-1,1)=")",MID(G66,FIND(":",G66)-1,1)="]"),"",RIGHT(G66,LEN(G66)-FIND(":",G66)-1)),"")</f>
        <v/>
      </c>
      <c r="J66" s="1" t="str">
        <f t="shared" ref="J66:J129" si="6">IF(AND(I66="",H66=""),G66,H66&amp;": "&amp;I66)</f>
        <v>{#JMXBROKERNAME}: {#JMXDESTINATIONTYPE}{#JMXDESTINATIONNAME}: 消息入队率高于出队率{$ACTIVEMQ.MSG.RATE.WARN.TIME: "{#JMXDESTINATIONNAME}"}</v>
      </c>
      <c r="K66" s="1" t="str">
        <f t="shared" ref="K66:K129" si="7">IFERROR(IF(OR(MID(F66,FIND(":",F66)-1,1)="""",MID(F66,FIND(":",F66)-1,1)="}",MID(F66,FIND(":",F66)-1,1)=")",MID(F66,FIND(":",F66)-1,1)="]"),"",RIGHT(F66,LEN(F66)-FIND(":",F66)-1)),"")</f>
        <v/>
      </c>
    </row>
    <row r="67" spans="1:11">
      <c r="A67" s="1">
        <v>187</v>
      </c>
      <c r="B67" s="1" t="s">
        <v>9097</v>
      </c>
      <c r="C67" s="1" t="s">
        <v>9124</v>
      </c>
      <c r="D67" s="1" t="s">
        <v>184</v>
      </c>
      <c r="E67" s="1" t="s">
        <v>247</v>
      </c>
      <c r="F67" s="1" t="s">
        <v>248</v>
      </c>
      <c r="G67" s="1" t="s">
        <v>249</v>
      </c>
      <c r="H67" s="1" t="str">
        <f t="shared" si="4"/>
        <v/>
      </c>
      <c r="I67" s="1" t="str">
        <f t="shared" si="5"/>
        <v/>
      </c>
      <c r="J67" s="1" t="str">
        <f t="shared" si="6"/>
        <v>{#JMXBROKERNAME}: {#JMXDESTINATIONTYPE}{#JMXDESTINATIONNAME}: 生产者数量太低(低于{$ACTIVEMQ.DESTINATION.PRODUCERS.MIN.HIGH: "{#JMXDESTINATIONNAME}"}达{$ACTIVEMQ.DESTINATION.PRODUCERS.MIN.TIME: "{#JMXDESTINATIONNAME}"})</v>
      </c>
      <c r="K67" s="1" t="str">
        <f t="shared" si="7"/>
        <v/>
      </c>
    </row>
    <row r="68" spans="1:11">
      <c r="A68" s="1">
        <v>188</v>
      </c>
      <c r="B68" s="1" t="s">
        <v>9097</v>
      </c>
      <c r="C68" s="1" t="s">
        <v>9125</v>
      </c>
      <c r="D68" s="1" t="s">
        <v>184</v>
      </c>
      <c r="E68" s="1" t="s">
        <v>251</v>
      </c>
      <c r="F68" s="1" t="s">
        <v>252</v>
      </c>
      <c r="G68" s="1" t="s">
        <v>253</v>
      </c>
      <c r="H68" s="1" t="str">
        <f t="shared" si="4"/>
        <v/>
      </c>
      <c r="I68" s="1" t="str">
        <f t="shared" si="5"/>
        <v/>
      </c>
      <c r="J68" s="1" t="str">
        <f t="shared" si="6"/>
        <v>{#JMXBROKERNAME}: {#JMXDESTINATIONTYPE}{#JMXDESTINATIONNAME}: 队列大小大于{$ACTIVEMQ.QUEUE.WARN: "{#JMXDESTINATIONNAME}"}{$ACTIVEMQ.QUEUE.TIME: "{#JMXDESTINATIONNAME}"}</v>
      </c>
      <c r="K68" s="1" t="str">
        <f t="shared" si="7"/>
        <v/>
      </c>
    </row>
    <row r="69" spans="1:11">
      <c r="A69" s="1">
        <v>189</v>
      </c>
      <c r="B69" s="1" t="s">
        <v>9126</v>
      </c>
      <c r="C69" s="1" t="s">
        <v>9078</v>
      </c>
      <c r="D69" s="1" t="s">
        <v>255</v>
      </c>
      <c r="E69" s="1" t="s">
        <v>256</v>
      </c>
      <c r="F69" s="1" t="s">
        <v>257</v>
      </c>
      <c r="G69" s="1" t="s">
        <v>258</v>
      </c>
      <c r="H69" s="1" t="str">
        <f t="shared" si="4"/>
        <v/>
      </c>
      <c r="I69" s="1" t="str">
        <f t="shared" si="5"/>
        <v/>
      </c>
      <c r="J69" s="1" t="str">
        <f t="shared" si="6"/>
        <v>{#JMXNAME}: 繁忙的工作线程数超过{$TOMCAT.THREADS.MAX.PCT: "{#JMXNAME}"}%的限制达{$TOMCAT.THREADS.MAX.TIME: "{#JMXNAME}"}</v>
      </c>
      <c r="K69" s="1" t="str">
        <f t="shared" si="7"/>
        <v/>
      </c>
    </row>
    <row r="70" spans="1:11">
      <c r="A70" s="1">
        <v>191</v>
      </c>
      <c r="B70" s="1" t="s">
        <v>9127</v>
      </c>
      <c r="C70" s="1" t="s">
        <v>9066</v>
      </c>
      <c r="D70" s="1" t="s">
        <v>4877</v>
      </c>
      <c r="E70" s="1" t="s">
        <v>4878</v>
      </c>
      <c r="F70" s="1" t="s">
        <v>4879</v>
      </c>
      <c r="G70" s="1" t="s">
        <v>9128</v>
      </c>
      <c r="H70" s="1" t="str">
        <f t="shared" si="4"/>
        <v/>
      </c>
      <c r="I70" s="1" t="str">
        <f t="shared" si="5"/>
        <v/>
      </c>
      <c r="J70" s="1" t="str">
        <f t="shared" si="6"/>
        <v>Apache：无法获取状态页面（或30分钟内无数据）</v>
      </c>
      <c r="K70" s="1" t="str">
        <f t="shared" si="7"/>
        <v>Failed to fetch status page (or no data for 30m)</v>
      </c>
    </row>
    <row r="71" spans="1:11">
      <c r="A71" s="1">
        <v>193</v>
      </c>
      <c r="B71" s="1" t="s">
        <v>9127</v>
      </c>
      <c r="C71" s="1" t="s">
        <v>9068</v>
      </c>
      <c r="D71" s="1" t="s">
        <v>4877</v>
      </c>
      <c r="E71" s="1" t="s">
        <v>4882</v>
      </c>
      <c r="F71" s="1" t="s">
        <v>4883</v>
      </c>
      <c r="G71" s="1" t="s">
        <v>9129</v>
      </c>
      <c r="H71" s="1" t="str">
        <f t="shared" si="4"/>
        <v/>
      </c>
      <c r="I71" s="1" t="str">
        <f t="shared" si="5"/>
        <v/>
      </c>
      <c r="J71" s="1" t="str">
        <f t="shared" si="6"/>
        <v>Apache：服务响应时间过高（5分钟内超过{$APACHE.RESPONSE_TIME.MAX.WARN}秒）</v>
      </c>
      <c r="K71" s="1" t="str">
        <f t="shared" si="7"/>
        <v>Service response time is too high (over {$APACHE.RESPONSE_TIME.MAX.WARN}s for 5m)</v>
      </c>
    </row>
    <row r="72" spans="1:11">
      <c r="A72" s="1">
        <v>195</v>
      </c>
      <c r="B72" s="1" t="s">
        <v>9130</v>
      </c>
      <c r="C72" s="1" t="s">
        <v>9131</v>
      </c>
      <c r="D72" s="1" t="s">
        <v>260</v>
      </c>
      <c r="E72" s="1" t="s">
        <v>261</v>
      </c>
      <c r="F72" s="1" t="s">
        <v>262</v>
      </c>
      <c r="G72" s="1" t="s">
        <v>263</v>
      </c>
      <c r="H72" s="1" t="str">
        <f t="shared" si="4"/>
        <v/>
      </c>
      <c r="I72" s="1" t="str">
        <f t="shared" si="5"/>
        <v/>
      </c>
      <c r="J72" s="1" t="str">
        <f t="shared" si="6"/>
        <v>{#METRIC}: "[{#GATEWAY_NAME}]{#SENSOR_NAME}"上的电池电压特别低(低于{$ARANET.BATT.VOLTAGE.MIN.CRIT: "{#SENSOR_NAME}"}{#UNIT}达5分钟)</v>
      </c>
      <c r="K72" s="1" t="str">
        <f t="shared" si="7"/>
        <v/>
      </c>
    </row>
    <row r="73" spans="1:11">
      <c r="A73" s="1">
        <v>196</v>
      </c>
      <c r="B73" s="1" t="s">
        <v>9130</v>
      </c>
      <c r="C73" s="1" t="s">
        <v>9132</v>
      </c>
      <c r="D73" s="1" t="s">
        <v>260</v>
      </c>
      <c r="E73" s="1" t="s">
        <v>265</v>
      </c>
      <c r="F73" s="1" t="s">
        <v>266</v>
      </c>
      <c r="G73" s="1" t="s">
        <v>267</v>
      </c>
      <c r="H73" s="1" t="str">
        <f t="shared" si="4"/>
        <v/>
      </c>
      <c r="I73" s="1" t="str">
        <f t="shared" si="5"/>
        <v/>
      </c>
      <c r="J73" s="1" t="str">
        <f t="shared" si="6"/>
        <v>{#METRIC}: "[{#GATEWAY_NAME}]{#SENSOR_NAME}"上的电池电压低(低于{$ARANET.BATT.VOLTAGE.MIN.WARN: "{#SENSOR_NAME}"}{#UNIT}达5分钟)</v>
      </c>
      <c r="K73" s="1" t="str">
        <f t="shared" si="7"/>
        <v/>
      </c>
    </row>
    <row r="74" spans="1:11">
      <c r="A74" s="1">
        <v>197</v>
      </c>
      <c r="B74" s="1" t="s">
        <v>9130</v>
      </c>
      <c r="C74" s="1" t="s">
        <v>9133</v>
      </c>
      <c r="D74" s="1" t="s">
        <v>260</v>
      </c>
      <c r="E74" s="1" t="s">
        <v>269</v>
      </c>
      <c r="F74" s="1" t="s">
        <v>270</v>
      </c>
      <c r="G74" s="1" t="s">
        <v>271</v>
      </c>
      <c r="H74" s="1" t="str">
        <f t="shared" si="4"/>
        <v/>
      </c>
      <c r="I74" s="1" t="str">
        <f t="shared" si="5"/>
        <v/>
      </c>
      <c r="J74" s="1" t="str">
        <f t="shared" si="6"/>
        <v>{#METRIC}: "[{#GATEWAY_NAME}]{#SENSOR_NAME}"上的CO2浓度非常高(超过{$ARANET.CO2.MAX.CRIT: "{#SENSOR_NAME}"}{#UNIT}达5分钟)</v>
      </c>
      <c r="K74" s="1" t="str">
        <f t="shared" si="7"/>
        <v/>
      </c>
    </row>
    <row r="75" spans="1:11">
      <c r="A75" s="1">
        <v>198</v>
      </c>
      <c r="B75" s="1" t="s">
        <v>9130</v>
      </c>
      <c r="C75" s="1" t="s">
        <v>9134</v>
      </c>
      <c r="D75" s="1" t="s">
        <v>260</v>
      </c>
      <c r="E75" s="1" t="s">
        <v>273</v>
      </c>
      <c r="F75" s="1" t="s">
        <v>274</v>
      </c>
      <c r="G75" s="1" t="s">
        <v>275</v>
      </c>
      <c r="H75" s="1" t="str">
        <f t="shared" si="4"/>
        <v/>
      </c>
      <c r="I75" s="1" t="str">
        <f t="shared" si="5"/>
        <v/>
      </c>
      <c r="J75" s="1" t="str">
        <f t="shared" si="6"/>
        <v>{#METRIC}: "[{#GATEWAY_NAME}]{#SENSOR_NAME}"上的高二氧化碳浓度(超过{$ARANET.CO2.MAX.WARN: "{#SENSOR_NAME}"}{#UNIT}达5分钟)</v>
      </c>
      <c r="K75" s="1" t="str">
        <f t="shared" si="7"/>
        <v/>
      </c>
    </row>
    <row r="76" spans="1:11">
      <c r="A76" s="1">
        <v>199</v>
      </c>
      <c r="B76" s="1" t="s">
        <v>9130</v>
      </c>
      <c r="C76" s="1" t="s">
        <v>9135</v>
      </c>
      <c r="D76" s="1" t="s">
        <v>260</v>
      </c>
      <c r="E76" s="1" t="s">
        <v>277</v>
      </c>
      <c r="F76" s="1" t="s">
        <v>278</v>
      </c>
      <c r="G76" s="1" t="s">
        <v>279</v>
      </c>
      <c r="H76" s="1" t="str">
        <f t="shared" si="4"/>
        <v/>
      </c>
      <c r="I76" s="1" t="str">
        <f t="shared" si="5"/>
        <v/>
      </c>
      <c r="J76" s="1" t="str">
        <f t="shared" si="6"/>
        <v>{#METRIC}: "[{#GATEWAY_NAME}]{#SENSOR_NAME}"湿度低(低于{$ARANET.HUMIDITY.MIN.WARN: "{#SENSOR_NAME}"}{#UNIT}达5分钟)</v>
      </c>
      <c r="K76" s="1" t="str">
        <f t="shared" si="7"/>
        <v/>
      </c>
    </row>
    <row r="77" spans="1:11">
      <c r="A77" s="1">
        <v>200</v>
      </c>
      <c r="B77" s="1" t="s">
        <v>9130</v>
      </c>
      <c r="C77" s="1" t="s">
        <v>9136</v>
      </c>
      <c r="D77" s="1" t="s">
        <v>260</v>
      </c>
      <c r="E77" s="1" t="s">
        <v>281</v>
      </c>
      <c r="F77" s="1" t="s">
        <v>282</v>
      </c>
      <c r="G77" s="1" t="s">
        <v>283</v>
      </c>
      <c r="H77" s="1" t="str">
        <f t="shared" si="4"/>
        <v/>
      </c>
      <c r="I77" s="1" t="str">
        <f t="shared" si="5"/>
        <v/>
      </c>
      <c r="J77" s="1" t="str">
        <f t="shared" si="6"/>
        <v>{#METRIC}: "[{#GATEWAY_NAME}]{#SENSOR_NAME}"湿度高(超过{$ARANET.HUMIDITY.MAX.WARN: "{#SENSOR_NAME}"}{#UNIT}达5分钟)</v>
      </c>
      <c r="K77" s="1" t="str">
        <f t="shared" si="7"/>
        <v/>
      </c>
    </row>
    <row r="78" spans="1:11">
      <c r="A78" s="1">
        <v>201</v>
      </c>
      <c r="B78" s="1" t="s">
        <v>9130</v>
      </c>
      <c r="C78" s="1" t="s">
        <v>9137</v>
      </c>
      <c r="D78" s="1" t="s">
        <v>260</v>
      </c>
      <c r="E78" s="1" t="s">
        <v>285</v>
      </c>
      <c r="F78" s="1" t="s">
        <v>286</v>
      </c>
      <c r="G78" s="1" t="s">
        <v>287</v>
      </c>
      <c r="H78" s="1" t="str">
        <f t="shared" si="4"/>
        <v/>
      </c>
      <c r="I78" s="1" t="str">
        <f t="shared" si="5"/>
        <v/>
      </c>
      <c r="J78" s="1" t="str">
        <f t="shared" si="6"/>
        <v>{#METRIC}: 传感器数据"[{#GATEWAY_NAME}]{#SENSOR_NAME}"未更新(超过{$ARANET.LAST_UPDATE.MAX.WARN: "{#SENSOR_NAME}"})</v>
      </c>
      <c r="K78" s="1" t="str">
        <f t="shared" si="7"/>
        <v/>
      </c>
    </row>
    <row r="79" spans="1:11">
      <c r="A79" s="1">
        <v>202</v>
      </c>
      <c r="B79" s="1" t="s">
        <v>9138</v>
      </c>
      <c r="C79" s="1" t="s">
        <v>9139</v>
      </c>
      <c r="D79" s="1" t="s">
        <v>289</v>
      </c>
      <c r="E79" s="1" t="s">
        <v>290</v>
      </c>
      <c r="F79" s="1" t="s">
        <v>161</v>
      </c>
      <c r="G79" s="1" t="s">
        <v>162</v>
      </c>
      <c r="H79" s="1" t="str">
        <f t="shared" si="4"/>
        <v/>
      </c>
      <c r="I79" s="1" t="str">
        <f t="shared" si="5"/>
        <v/>
      </c>
      <c r="J79" s="1" t="str">
        <f t="shared" si="6"/>
        <v>接口{#IFNAME}({#IFALIAS}): 带宽使用率太高(&gt;{$IF.UTIL.MAX: "{#IFNAME}"}%)</v>
      </c>
      <c r="K79" s="1" t="str">
        <f t="shared" si="7"/>
        <v/>
      </c>
    </row>
    <row r="80" spans="1:11">
      <c r="A80" s="1">
        <v>204</v>
      </c>
      <c r="B80" s="1" t="s">
        <v>9138</v>
      </c>
      <c r="C80" s="1" t="s">
        <v>9140</v>
      </c>
      <c r="D80" s="1" t="s">
        <v>289</v>
      </c>
      <c r="E80" s="1" t="s">
        <v>292</v>
      </c>
      <c r="F80" s="1" t="s">
        <v>165</v>
      </c>
      <c r="G80" s="1" t="s">
        <v>166</v>
      </c>
      <c r="H80" s="1" t="str">
        <f t="shared" si="4"/>
        <v/>
      </c>
      <c r="I80" s="1" t="str">
        <f t="shared" si="5"/>
        <v/>
      </c>
      <c r="J80" s="1" t="str">
        <f t="shared" si="6"/>
        <v>接口{#IFNAME}({#IFALIAS}): 错误率太高(&gt;{$IF.ERRORS.WARN: "{#IFNAME}"}达5分钟)</v>
      </c>
      <c r="K80" s="1" t="str">
        <f t="shared" si="7"/>
        <v/>
      </c>
    </row>
    <row r="81" spans="1:11">
      <c r="A81" s="1">
        <v>207</v>
      </c>
      <c r="B81" s="1" t="s">
        <v>9138</v>
      </c>
      <c r="C81" s="1" t="s">
        <v>9141</v>
      </c>
      <c r="D81" s="1" t="s">
        <v>289</v>
      </c>
      <c r="E81" s="1" t="s">
        <v>294</v>
      </c>
      <c r="F81" s="1" t="s">
        <v>169</v>
      </c>
      <c r="G81" s="1" t="s">
        <v>170</v>
      </c>
      <c r="H81" s="1" t="str">
        <f t="shared" si="4"/>
        <v/>
      </c>
      <c r="I81" s="1" t="str">
        <f t="shared" si="5"/>
        <v/>
      </c>
      <c r="J81" s="1" t="str">
        <f t="shared" si="6"/>
        <v>{#ENT_NAME}: 设备已更换(收到新序列号)</v>
      </c>
      <c r="K81" s="1" t="str">
        <f t="shared" si="7"/>
        <v/>
      </c>
    </row>
    <row r="82" spans="1:11">
      <c r="A82" s="1">
        <v>209</v>
      </c>
      <c r="B82" s="1" t="s">
        <v>9138</v>
      </c>
      <c r="C82" s="1" t="s">
        <v>9142</v>
      </c>
      <c r="D82" s="1" t="s">
        <v>289</v>
      </c>
      <c r="E82" s="1" t="s">
        <v>296</v>
      </c>
      <c r="F82" s="1" t="s">
        <v>297</v>
      </c>
      <c r="G82" s="1" t="s">
        <v>298</v>
      </c>
      <c r="H82" s="1" t="str">
        <f t="shared" si="4"/>
        <v/>
      </c>
      <c r="I82" s="1" t="str">
        <f t="shared" si="5"/>
        <v/>
      </c>
      <c r="J82" s="1" t="str">
        <f t="shared" si="6"/>
        <v>{#FSNAME}: 磁盘空间严重不足(已使用率&gt;{$VFS.FS.PUSED.MAX.CRIT: "{#FSNAME}"}%)</v>
      </c>
      <c r="K82" s="1" t="str">
        <f t="shared" si="7"/>
        <v/>
      </c>
    </row>
    <row r="83" spans="1:11">
      <c r="A83" s="1">
        <v>210</v>
      </c>
      <c r="B83" s="1" t="s">
        <v>9138</v>
      </c>
      <c r="C83" s="1" t="s">
        <v>9143</v>
      </c>
      <c r="D83" s="1" t="s">
        <v>289</v>
      </c>
      <c r="E83" s="1" t="s">
        <v>300</v>
      </c>
      <c r="F83" s="1" t="s">
        <v>301</v>
      </c>
      <c r="G83" s="1" t="s">
        <v>302</v>
      </c>
      <c r="H83" s="1" t="str">
        <f t="shared" si="4"/>
        <v/>
      </c>
      <c r="I83" s="1" t="str">
        <f t="shared" si="5"/>
        <v/>
      </c>
      <c r="J83" s="1" t="str">
        <f t="shared" si="6"/>
        <v>{#FSNAME}: 磁盘空间不足(已使用率&gt;{$VFS.FS.PUSED.MAX.WARN: "{#FSNAME}"}%)</v>
      </c>
      <c r="K83" s="1" t="str">
        <f t="shared" si="7"/>
        <v/>
      </c>
    </row>
    <row r="84" spans="1:11">
      <c r="A84" s="1">
        <v>211</v>
      </c>
      <c r="B84" s="1" t="s">
        <v>9138</v>
      </c>
      <c r="C84" s="1" t="s">
        <v>9144</v>
      </c>
      <c r="D84" s="1" t="s">
        <v>289</v>
      </c>
      <c r="E84" s="1" t="s">
        <v>304</v>
      </c>
      <c r="F84" s="1" t="s">
        <v>305</v>
      </c>
      <c r="G84" s="1" t="s">
        <v>306</v>
      </c>
      <c r="H84" s="1" t="str">
        <f t="shared" si="4"/>
        <v/>
      </c>
      <c r="I84" s="1" t="str">
        <f t="shared" si="5"/>
        <v/>
      </c>
      <c r="J84" s="1" t="str">
        <f t="shared" si="6"/>
        <v>{#MEMNAME}: 内存利用率高了(&gt;{$MEMORY.UTIL.MAX}%达5分钟)</v>
      </c>
      <c r="K84" s="1" t="str">
        <f t="shared" si="7"/>
        <v/>
      </c>
    </row>
    <row r="85" spans="1:11">
      <c r="A85" s="1">
        <v>212</v>
      </c>
      <c r="B85" s="1" t="s">
        <v>9138</v>
      </c>
      <c r="C85" s="1" t="s">
        <v>9145</v>
      </c>
      <c r="D85" s="1" t="s">
        <v>289</v>
      </c>
      <c r="E85" s="1" t="s">
        <v>308</v>
      </c>
      <c r="F85" s="1" t="s">
        <v>309</v>
      </c>
      <c r="G85" s="1" t="s">
        <v>310</v>
      </c>
      <c r="H85" s="1" t="str">
        <f t="shared" si="4"/>
        <v/>
      </c>
      <c r="I85" s="1" t="str">
        <f t="shared" si="5"/>
        <v/>
      </c>
      <c r="J85" s="1" t="str">
        <f t="shared" si="6"/>
        <v>{#SENSOR_INFO}: 风扇速度低于临界阈值{#THRESHOLD_LO_CRIT}rpm达5分钟</v>
      </c>
      <c r="K85" s="1" t="str">
        <f t="shared" si="7"/>
        <v/>
      </c>
    </row>
    <row r="86" spans="1:11">
      <c r="A86" s="1">
        <v>213</v>
      </c>
      <c r="B86" s="1" t="s">
        <v>9138</v>
      </c>
      <c r="C86" s="1" t="s">
        <v>9146</v>
      </c>
      <c r="D86" s="1" t="s">
        <v>289</v>
      </c>
      <c r="E86" s="1" t="s">
        <v>312</v>
      </c>
      <c r="F86" s="1" t="s">
        <v>313</v>
      </c>
      <c r="G86" s="1" t="s">
        <v>314</v>
      </c>
      <c r="H86" s="1" t="str">
        <f t="shared" si="4"/>
        <v/>
      </c>
      <c r="I86" s="1" t="str">
        <f t="shared" si="5"/>
        <v/>
      </c>
      <c r="J86" s="1" t="str">
        <f t="shared" si="6"/>
        <v>{#SENSOR_INFO}: 风扇速度低于告警阈值{#THRESHOLD_LO_WARN}rpm达5分钟</v>
      </c>
      <c r="K86" s="1" t="str">
        <f t="shared" si="7"/>
        <v/>
      </c>
    </row>
    <row r="87" spans="1:11">
      <c r="A87" s="1">
        <v>214</v>
      </c>
      <c r="B87" s="1" t="s">
        <v>9138</v>
      </c>
      <c r="C87" s="1" t="s">
        <v>9147</v>
      </c>
      <c r="D87" s="1" t="s">
        <v>289</v>
      </c>
      <c r="E87" s="1" t="s">
        <v>316</v>
      </c>
      <c r="F87" s="1" t="s">
        <v>317</v>
      </c>
      <c r="G87" s="1" t="s">
        <v>318</v>
      </c>
      <c r="H87" s="1" t="str">
        <f t="shared" si="4"/>
        <v/>
      </c>
      <c r="I87" s="1" t="str">
        <f t="shared" si="5"/>
        <v/>
      </c>
      <c r="J87" s="1" t="str">
        <f t="shared" si="6"/>
        <v>{#SENSOR_INFO}: 风扇速度超过临界阈值{#THRESHOLD_HI_CRIT}rpm达5分钟</v>
      </c>
      <c r="K87" s="1" t="str">
        <f t="shared" si="7"/>
        <v/>
      </c>
    </row>
    <row r="88" spans="1:11">
      <c r="A88" s="1">
        <v>215</v>
      </c>
      <c r="B88" s="1" t="s">
        <v>9138</v>
      </c>
      <c r="C88" s="1" t="s">
        <v>9148</v>
      </c>
      <c r="D88" s="1" t="s">
        <v>289</v>
      </c>
      <c r="E88" s="1" t="s">
        <v>320</v>
      </c>
      <c r="F88" s="1" t="s">
        <v>321</v>
      </c>
      <c r="G88" s="1" t="s">
        <v>322</v>
      </c>
      <c r="H88" s="1" t="str">
        <f t="shared" si="4"/>
        <v/>
      </c>
      <c r="I88" s="1" t="str">
        <f t="shared" si="5"/>
        <v/>
      </c>
      <c r="J88" s="1" t="str">
        <f t="shared" si="6"/>
        <v>{#SENSOR_INFO}: 风扇速度超过告警阈值{#THRESHOLD_HI_WARN}rpm达5分钟</v>
      </c>
      <c r="K88" s="1" t="str">
        <f t="shared" si="7"/>
        <v/>
      </c>
    </row>
    <row r="89" spans="1:11">
      <c r="A89" s="1">
        <v>217</v>
      </c>
      <c r="B89" s="1" t="s">
        <v>9138</v>
      </c>
      <c r="C89" s="1" t="s">
        <v>9149</v>
      </c>
      <c r="D89" s="1" t="s">
        <v>289</v>
      </c>
      <c r="E89" s="1" t="s">
        <v>324</v>
      </c>
      <c r="F89" s="1" t="s">
        <v>325</v>
      </c>
      <c r="G89" s="1" t="s">
        <v>326</v>
      </c>
      <c r="H89" s="1" t="str">
        <f t="shared" si="4"/>
        <v/>
      </c>
      <c r="I89" s="1" t="str">
        <f t="shared" si="5"/>
        <v/>
      </c>
      <c r="J89" s="1" t="str">
        <f t="shared" si="6"/>
        <v>{#SENSOR_INFO}: 温度低于临界阈值{#THRESHOLD_LO_CRIT}°C达5分钟</v>
      </c>
      <c r="K89" s="1" t="str">
        <f t="shared" si="7"/>
        <v/>
      </c>
    </row>
    <row r="90" spans="1:11">
      <c r="A90" s="1">
        <v>218</v>
      </c>
      <c r="B90" s="1" t="s">
        <v>9138</v>
      </c>
      <c r="C90" s="1" t="s">
        <v>9150</v>
      </c>
      <c r="D90" s="1" t="s">
        <v>289</v>
      </c>
      <c r="E90" s="1" t="s">
        <v>328</v>
      </c>
      <c r="F90" s="1" t="s">
        <v>329</v>
      </c>
      <c r="G90" s="1" t="s">
        <v>330</v>
      </c>
      <c r="H90" s="1" t="str">
        <f t="shared" si="4"/>
        <v/>
      </c>
      <c r="I90" s="1" t="str">
        <f t="shared" si="5"/>
        <v/>
      </c>
      <c r="J90" s="1" t="str">
        <f t="shared" si="6"/>
        <v>{#SENSOR_INFO}: 温度低于告警阈值{#THRESHOLD_LO_WARN}°C达5分钟</v>
      </c>
      <c r="K90" s="1" t="str">
        <f t="shared" si="7"/>
        <v/>
      </c>
    </row>
    <row r="91" spans="1:11">
      <c r="A91" s="1">
        <v>219</v>
      </c>
      <c r="B91" s="1" t="s">
        <v>9138</v>
      </c>
      <c r="C91" s="1" t="s">
        <v>9151</v>
      </c>
      <c r="D91" s="1" t="s">
        <v>289</v>
      </c>
      <c r="E91" s="1" t="s">
        <v>332</v>
      </c>
      <c r="F91" s="1" t="s">
        <v>333</v>
      </c>
      <c r="G91" s="1" t="s">
        <v>334</v>
      </c>
      <c r="H91" s="1" t="str">
        <f t="shared" si="4"/>
        <v/>
      </c>
      <c r="I91" s="1" t="str">
        <f t="shared" si="5"/>
        <v/>
      </c>
      <c r="J91" s="1" t="str">
        <f t="shared" si="6"/>
        <v>{#SENSOR_INFO}: 温度高于临界阈值{#THRESHOLD_HI_CRIT}°C达5分钟</v>
      </c>
      <c r="K91" s="1" t="str">
        <f t="shared" si="7"/>
        <v/>
      </c>
    </row>
    <row r="92" spans="1:11">
      <c r="A92" s="1">
        <v>220</v>
      </c>
      <c r="B92" s="1" t="s">
        <v>9138</v>
      </c>
      <c r="C92" s="1" t="s">
        <v>9152</v>
      </c>
      <c r="D92" s="1" t="s">
        <v>289</v>
      </c>
      <c r="E92" s="1" t="s">
        <v>336</v>
      </c>
      <c r="F92" s="1" t="s">
        <v>337</v>
      </c>
      <c r="G92" s="1" t="s">
        <v>338</v>
      </c>
      <c r="H92" s="1" t="str">
        <f t="shared" si="4"/>
        <v/>
      </c>
      <c r="I92" s="1" t="str">
        <f t="shared" si="5"/>
        <v/>
      </c>
      <c r="J92" s="1" t="str">
        <f t="shared" si="6"/>
        <v>{#SENSOR_INFO}: 温度超过告警阈值{#THRESHOLD_HI_WARN}°C达5分钟</v>
      </c>
      <c r="K92" s="1" t="str">
        <f t="shared" si="7"/>
        <v/>
      </c>
    </row>
    <row r="93" spans="1:11">
      <c r="A93" s="1">
        <v>221</v>
      </c>
      <c r="B93" s="1" t="s">
        <v>9138</v>
      </c>
      <c r="C93" s="1" t="s">
        <v>9153</v>
      </c>
      <c r="D93" s="1" t="s">
        <v>289</v>
      </c>
      <c r="E93" s="1" t="s">
        <v>340</v>
      </c>
      <c r="F93" s="1" t="s">
        <v>341</v>
      </c>
      <c r="G93" s="1" t="s">
        <v>342</v>
      </c>
      <c r="H93" s="1" t="str">
        <f t="shared" si="4"/>
        <v/>
      </c>
      <c r="I93" s="1" t="str">
        <f t="shared" si="5"/>
        <v/>
      </c>
      <c r="J93" s="1" t="str">
        <f t="shared" si="6"/>
        <v>{#SENSOR_INFO}: 电压低于临界阈值{#THRESHOLD_LO_CRIT}伏达5分钟</v>
      </c>
      <c r="K93" s="1" t="str">
        <f t="shared" si="7"/>
        <v/>
      </c>
    </row>
    <row r="94" spans="1:11">
      <c r="A94" s="1">
        <v>222</v>
      </c>
      <c r="B94" s="1" t="s">
        <v>9138</v>
      </c>
      <c r="C94" s="1" t="s">
        <v>9154</v>
      </c>
      <c r="D94" s="1" t="s">
        <v>289</v>
      </c>
      <c r="E94" s="1" t="s">
        <v>344</v>
      </c>
      <c r="F94" s="1" t="s">
        <v>345</v>
      </c>
      <c r="G94" s="1" t="s">
        <v>346</v>
      </c>
      <c r="H94" s="1" t="str">
        <f t="shared" si="4"/>
        <v/>
      </c>
      <c r="I94" s="1" t="str">
        <f t="shared" si="5"/>
        <v/>
      </c>
      <c r="J94" s="1" t="str">
        <f t="shared" si="6"/>
        <v>{#SENSOR_INFO}: 电压低于告警阈值{#THRESHOLD_LO_WARN}伏达5分钟</v>
      </c>
      <c r="K94" s="1" t="str">
        <f t="shared" si="7"/>
        <v/>
      </c>
    </row>
    <row r="95" spans="1:11">
      <c r="A95" s="1">
        <v>223</v>
      </c>
      <c r="B95" s="1" t="s">
        <v>9138</v>
      </c>
      <c r="C95" s="1" t="s">
        <v>9155</v>
      </c>
      <c r="D95" s="1" t="s">
        <v>289</v>
      </c>
      <c r="E95" s="1" t="s">
        <v>348</v>
      </c>
      <c r="F95" s="1" t="s">
        <v>349</v>
      </c>
      <c r="G95" s="1" t="s">
        <v>350</v>
      </c>
      <c r="H95" s="1" t="str">
        <f t="shared" si="4"/>
        <v/>
      </c>
      <c r="I95" s="1" t="str">
        <f t="shared" si="5"/>
        <v/>
      </c>
      <c r="J95" s="1" t="str">
        <f t="shared" si="6"/>
        <v>{#SENSOR_INFO}: 电压高于临界阈值{#THRESHOLD_HI_CRIT}伏达5分钟</v>
      </c>
      <c r="K95" s="1" t="str">
        <f t="shared" si="7"/>
        <v/>
      </c>
    </row>
    <row r="96" spans="1:11">
      <c r="A96" s="1">
        <v>224</v>
      </c>
      <c r="B96" s="1" t="s">
        <v>9138</v>
      </c>
      <c r="C96" s="1" t="s">
        <v>9156</v>
      </c>
      <c r="D96" s="1" t="s">
        <v>289</v>
      </c>
      <c r="E96" s="1" t="s">
        <v>352</v>
      </c>
      <c r="F96" s="1" t="s">
        <v>353</v>
      </c>
      <c r="G96" s="1" t="s">
        <v>354</v>
      </c>
      <c r="H96" s="1" t="str">
        <f t="shared" si="4"/>
        <v/>
      </c>
      <c r="I96" s="1" t="str">
        <f t="shared" si="5"/>
        <v/>
      </c>
      <c r="J96" s="1" t="str">
        <f t="shared" si="6"/>
        <v>{#SENSOR_INFO}: 电压高于告警阈值{#THRESHOLD_HI_WARN}伏达5分钟</v>
      </c>
      <c r="K96" s="1" t="str">
        <f t="shared" si="7"/>
        <v/>
      </c>
    </row>
    <row r="97" spans="1:11">
      <c r="A97" s="1">
        <v>225</v>
      </c>
      <c r="B97" s="1" t="s">
        <v>9157</v>
      </c>
      <c r="C97" s="1" t="s">
        <v>9131</v>
      </c>
      <c r="D97" s="1" t="s">
        <v>356</v>
      </c>
      <c r="E97" s="1" t="s">
        <v>357</v>
      </c>
      <c r="F97" s="1" t="s">
        <v>358</v>
      </c>
      <c r="G97" s="1" t="s">
        <v>359</v>
      </c>
      <c r="H97" s="1" t="str">
        <f t="shared" si="4"/>
        <v/>
      </c>
      <c r="I97" s="1" t="str">
        <f t="shared" si="5"/>
        <v/>
      </c>
      <c r="J97" s="1" t="str">
        <f t="shared" si="6"/>
        <v>"{#QUEUE}": 队列"{#QUEUE}"中的呼叫者数量太高(超过{$AMI.QUEUE_CALLERS.MAX.WARN: "{#QUEUE}"}达10分钟)</v>
      </c>
      <c r="K97" s="1" t="str">
        <f t="shared" si="7"/>
        <v/>
      </c>
    </row>
    <row r="98" spans="1:11">
      <c r="A98" s="1">
        <v>226</v>
      </c>
      <c r="B98" s="1" t="s">
        <v>9157</v>
      </c>
      <c r="C98" s="1" t="s">
        <v>9132</v>
      </c>
      <c r="D98" s="1" t="s">
        <v>356</v>
      </c>
      <c r="E98" s="1" t="s">
        <v>361</v>
      </c>
      <c r="F98" s="1" t="s">
        <v>362</v>
      </c>
      <c r="G98" s="1" t="s">
        <v>363</v>
      </c>
      <c r="H98" s="1" t="str">
        <f t="shared" si="4"/>
        <v/>
      </c>
      <c r="I98" s="1" t="str">
        <f t="shared" si="5"/>
        <v/>
      </c>
      <c r="J98" s="1" t="str">
        <f t="shared" si="6"/>
        <v>IAXtrunk"{#OBJECTNAME}": IAXtrunk"{#OBJECTNAME}"活跃信道数太高(超过{$AMI.TRUNK_ACTIVE_CHANNELS.MAX.WARN: "{#OBJECTNAME}"}达10分钟)</v>
      </c>
      <c r="K98" s="1" t="str">
        <f t="shared" si="7"/>
        <v/>
      </c>
    </row>
    <row r="99" spans="1:11">
      <c r="A99" s="1">
        <v>228</v>
      </c>
      <c r="B99" s="1" t="s">
        <v>9157</v>
      </c>
      <c r="C99" s="1" t="s">
        <v>9134</v>
      </c>
      <c r="D99" s="1" t="s">
        <v>356</v>
      </c>
      <c r="E99" s="1" t="s">
        <v>365</v>
      </c>
      <c r="F99" s="1" t="s">
        <v>366</v>
      </c>
      <c r="G99" s="1" t="s">
        <v>367</v>
      </c>
      <c r="H99" s="1" t="str">
        <f t="shared" si="4"/>
        <v/>
      </c>
      <c r="I99" s="1" t="str">
        <f t="shared" si="5"/>
        <v/>
      </c>
      <c r="J99" s="1" t="str">
        <f t="shared" si="6"/>
        <v>PJSIPtrunk"{#OBJECTNAME}": PJSIPtrunk"{#OBJECTNAME}"活动信道数太高(超过{$AMI.TRUNK_ACTIVE_CHANNELS.MAX.WARN: "{#OBJECTNAME}"}达10分钟)</v>
      </c>
      <c r="K99" s="1" t="str">
        <f t="shared" si="7"/>
        <v/>
      </c>
    </row>
    <row r="100" spans="1:11">
      <c r="A100" s="1">
        <v>230</v>
      </c>
      <c r="B100" s="1" t="s">
        <v>9157</v>
      </c>
      <c r="C100" s="1" t="s">
        <v>9136</v>
      </c>
      <c r="D100" s="1" t="s">
        <v>356</v>
      </c>
      <c r="E100" s="1" t="s">
        <v>369</v>
      </c>
      <c r="F100" s="1" t="s">
        <v>370</v>
      </c>
      <c r="G100" s="1" t="s">
        <v>371</v>
      </c>
      <c r="H100" s="1" t="str">
        <f t="shared" si="4"/>
        <v/>
      </c>
      <c r="I100" s="1" t="str">
        <f t="shared" si="5"/>
        <v/>
      </c>
      <c r="J100" s="1" t="str">
        <f t="shared" si="6"/>
        <v>SIPtrunk"{#OBJECTNAME}": SIPtrunk"{#OBJECTNAME}"活动信道数太高(超过{$AMI.TRUNK_ACTIVE_CHANNELS.MAX.WARN: "{#OBJECTNAME}"}达10分钟)</v>
      </c>
      <c r="K100" s="1" t="str">
        <f t="shared" si="7"/>
        <v/>
      </c>
    </row>
    <row r="101" spans="1:11">
      <c r="A101" s="1">
        <v>232</v>
      </c>
      <c r="B101" s="1" t="s">
        <v>9158</v>
      </c>
      <c r="C101" s="1" t="s">
        <v>9159</v>
      </c>
      <c r="D101" s="1" t="s">
        <v>373</v>
      </c>
      <c r="E101" s="1" t="s">
        <v>6233</v>
      </c>
      <c r="F101" s="1" t="s">
        <v>375</v>
      </c>
      <c r="G101" s="1" t="s">
        <v>9160</v>
      </c>
      <c r="H101" s="1" t="str">
        <f t="shared" si="4"/>
        <v>Azure</v>
      </c>
      <c r="I101" s="1" t="str">
        <f t="shared" si="5"/>
        <v>存储账户[{#NAME}]的可用性太低（低于{$AZURE.STORAGE.ACC.AVAILABILITY:"{#NAME}"}%）</v>
      </c>
      <c r="J101" s="1" t="str">
        <f t="shared" si="6"/>
        <v>Azure: 存储账户[{#NAME}]的可用性太低（低于{$AZURE.STORAGE.ACC.AVAILABILITY:"{#NAME}"}%）</v>
      </c>
      <c r="K101" s="1" t="str">
        <f t="shared" si="7"/>
        <v>Storage account [{#NAME} availability is too low (less than {$AZURE.STORAGE.ACC.AVAILABILITY:"{#NAME}"}%)</v>
      </c>
    </row>
    <row r="102" spans="1:11">
      <c r="A102" s="1">
        <v>233</v>
      </c>
      <c r="B102" s="1" t="s">
        <v>9158</v>
      </c>
      <c r="C102" s="1" t="s">
        <v>9161</v>
      </c>
      <c r="D102" s="1" t="s">
        <v>373</v>
      </c>
      <c r="E102" s="1" t="s">
        <v>6237</v>
      </c>
      <c r="F102" s="1" t="s">
        <v>379</v>
      </c>
      <c r="G102" s="1" t="s">
        <v>380</v>
      </c>
      <c r="H102" s="1" t="str">
        <f t="shared" si="4"/>
        <v>Azure</v>
      </c>
      <c r="I102" s="1" t="str">
        <f t="shared" si="5"/>
        <v>存储帐户[{#NAME}blob可用性太低(低于{$AZURE.STORAGE.ACC.BLOB.AVAILABILITY: "{#NAME}"}%)</v>
      </c>
      <c r="J102" s="1" t="str">
        <f t="shared" si="6"/>
        <v>Azure: 存储帐户[{#NAME}blob可用性太低(低于{$AZURE.STORAGE.ACC.BLOB.AVAILABILITY: "{#NAME}"}%)</v>
      </c>
      <c r="K102" s="1" t="str">
        <f t="shared" si="7"/>
        <v>Storage account [{#NAME} blob availability are too low (less than {$AZURE.STORAGE.ACC.BLOB.AVAILABILITY:"{#NAME}"}%)</v>
      </c>
    </row>
    <row r="103" spans="1:11">
      <c r="A103" s="1">
        <v>234</v>
      </c>
      <c r="B103" s="1" t="s">
        <v>9158</v>
      </c>
      <c r="C103" s="1" t="s">
        <v>9162</v>
      </c>
      <c r="D103" s="1" t="s">
        <v>373</v>
      </c>
      <c r="E103" s="1" t="s">
        <v>6241</v>
      </c>
      <c r="F103" s="1" t="s">
        <v>383</v>
      </c>
      <c r="G103" s="1" t="s">
        <v>9163</v>
      </c>
      <c r="H103" s="1" t="str">
        <f t="shared" si="4"/>
        <v>Azure</v>
      </c>
      <c r="I103" s="1" t="str">
        <f t="shared" si="5"/>
        <v>存储账户[{#NAME}]的表可用性太低（低于{$AZURE.STORAGE.ACC.TABLE.AVAILABILITY:"{#NAME}"}%）</v>
      </c>
      <c r="J103" s="1" t="str">
        <f t="shared" si="6"/>
        <v>Azure: 存储账户[{#NAME}]的表可用性太低（低于{$AZURE.STORAGE.ACC.TABLE.AVAILABILITY:"{#NAME}"}%）</v>
      </c>
      <c r="K103" s="1" t="str">
        <f t="shared" si="7"/>
        <v>Storage account [{#NAME} table availability is too low (less than {$AZURE.STORAGE.ACC.TABLE.AVAILABILITY:"{#NAME}"}%)</v>
      </c>
    </row>
    <row r="104" spans="1:11">
      <c r="A104" s="1">
        <v>235</v>
      </c>
      <c r="B104" s="1" t="s">
        <v>9164</v>
      </c>
      <c r="C104" s="1" t="s">
        <v>9165</v>
      </c>
      <c r="D104" s="1" t="s">
        <v>386</v>
      </c>
      <c r="E104" s="1" t="s">
        <v>387</v>
      </c>
      <c r="F104" s="1" t="s">
        <v>161</v>
      </c>
      <c r="G104" s="1" t="s">
        <v>162</v>
      </c>
      <c r="H104" s="1" t="str">
        <f t="shared" si="4"/>
        <v/>
      </c>
      <c r="I104" s="1" t="str">
        <f t="shared" si="5"/>
        <v/>
      </c>
      <c r="J104" s="1" t="str">
        <f t="shared" si="6"/>
        <v>接口{#IFNAME}({#IFALIAS}): 带宽使用率太高(&gt;{$IF.UTIL.MAX: "{#IFNAME}"}%)</v>
      </c>
      <c r="K104" s="1" t="str">
        <f t="shared" si="7"/>
        <v/>
      </c>
    </row>
    <row r="105" spans="1:11">
      <c r="A105" s="1">
        <v>236</v>
      </c>
      <c r="B105" s="1" t="s">
        <v>9164</v>
      </c>
      <c r="C105" s="1" t="s">
        <v>9166</v>
      </c>
      <c r="D105" s="1" t="s">
        <v>386</v>
      </c>
      <c r="E105" s="1" t="s">
        <v>389</v>
      </c>
      <c r="F105" s="1" t="s">
        <v>165</v>
      </c>
      <c r="G105" s="1" t="s">
        <v>166</v>
      </c>
      <c r="H105" s="1" t="str">
        <f t="shared" si="4"/>
        <v/>
      </c>
      <c r="I105" s="1" t="str">
        <f t="shared" si="5"/>
        <v/>
      </c>
      <c r="J105" s="1" t="str">
        <f t="shared" si="6"/>
        <v>接口{#IFNAME}({#IFALIAS}): 错误率太高(&gt;{$IF.ERRORS.WARN: "{#IFNAME}"}达5分钟)</v>
      </c>
      <c r="K105" s="1" t="str">
        <f t="shared" si="7"/>
        <v/>
      </c>
    </row>
    <row r="106" spans="1:11">
      <c r="A106" s="1">
        <v>243</v>
      </c>
      <c r="B106" s="1" t="s">
        <v>9164</v>
      </c>
      <c r="C106" s="1" t="s">
        <v>9167</v>
      </c>
      <c r="D106" s="1" t="s">
        <v>386</v>
      </c>
      <c r="E106" s="1" t="s">
        <v>391</v>
      </c>
      <c r="F106" s="1" t="s">
        <v>392</v>
      </c>
      <c r="G106" s="1" t="s">
        <v>393</v>
      </c>
      <c r="H106" s="1" t="str">
        <f t="shared" si="4"/>
        <v/>
      </c>
      <c r="I106" s="1" t="str">
        <f t="shared" si="5"/>
        <v/>
      </c>
      <c r="J106" s="1" t="str">
        <f t="shared" si="6"/>
        <v>{#SENSOR_INFO}: 温度高于告警阈值: &gt;{$TEMP_WARN: "{#SENSOR_INFO}"}</v>
      </c>
      <c r="K106" s="1" t="str">
        <f t="shared" si="7"/>
        <v/>
      </c>
    </row>
    <row r="107" spans="1:11">
      <c r="A107" s="1">
        <v>244</v>
      </c>
      <c r="B107" s="1" t="s">
        <v>9164</v>
      </c>
      <c r="C107" s="1" t="s">
        <v>9053</v>
      </c>
      <c r="D107" s="1" t="s">
        <v>386</v>
      </c>
      <c r="E107" s="1" t="s">
        <v>395</v>
      </c>
      <c r="F107" s="1" t="s">
        <v>396</v>
      </c>
      <c r="G107" s="1" t="s">
        <v>397</v>
      </c>
      <c r="H107" s="1" t="str">
        <f t="shared" si="4"/>
        <v/>
      </c>
      <c r="I107" s="1" t="str">
        <f t="shared" si="5"/>
        <v/>
      </c>
      <c r="J107" s="1" t="str">
        <f t="shared" si="6"/>
        <v>{#SENSOR_INFO}: 温度高于临界阈值: &gt;{$TEMP_CRIT: "{#SENSOR_INFO}"}</v>
      </c>
      <c r="K107" s="1" t="str">
        <f t="shared" si="7"/>
        <v/>
      </c>
    </row>
    <row r="108" spans="1:11">
      <c r="A108" s="1">
        <v>245</v>
      </c>
      <c r="B108" s="1" t="s">
        <v>9164</v>
      </c>
      <c r="C108" s="1" t="s">
        <v>9054</v>
      </c>
      <c r="D108" s="1" t="s">
        <v>386</v>
      </c>
      <c r="E108" s="1" t="s">
        <v>399</v>
      </c>
      <c r="F108" s="1" t="s">
        <v>400</v>
      </c>
      <c r="G108" s="1" t="s">
        <v>401</v>
      </c>
      <c r="H108" s="1" t="str">
        <f t="shared" si="4"/>
        <v/>
      </c>
      <c r="I108" s="1" t="str">
        <f t="shared" si="5"/>
        <v/>
      </c>
      <c r="J108" s="1" t="str">
        <f t="shared" si="6"/>
        <v>{#SENSOR_INFO}: 温度太低: &lt;{$TEMP_CRIT_LOW: "{#SENSOR_INFO}"}</v>
      </c>
      <c r="K108" s="1" t="str">
        <f t="shared" si="7"/>
        <v/>
      </c>
    </row>
    <row r="109" spans="1:11">
      <c r="A109" s="1">
        <v>246</v>
      </c>
      <c r="B109" s="1" t="s">
        <v>9168</v>
      </c>
      <c r="C109" s="1" t="s">
        <v>9169</v>
      </c>
      <c r="D109" s="1" t="s">
        <v>403</v>
      </c>
      <c r="E109" s="1" t="s">
        <v>404</v>
      </c>
      <c r="F109" s="1" t="s">
        <v>405</v>
      </c>
      <c r="G109" s="1" t="s">
        <v>406</v>
      </c>
      <c r="H109" s="1" t="str">
        <f t="shared" si="4"/>
        <v/>
      </c>
      <c r="I109" s="1" t="str">
        <f t="shared" si="5"/>
        <v/>
      </c>
      <c r="J109" s="1" t="str">
        <f t="shared" si="6"/>
        <v>主板#{#SNMPINDEX}: 温度高于告警阈值: &gt;{$TEMP_WARN: "Chassis"}</v>
      </c>
      <c r="K109" s="1" t="str">
        <f t="shared" si="7"/>
        <v/>
      </c>
    </row>
    <row r="110" spans="1:11">
      <c r="A110" s="1">
        <v>247</v>
      </c>
      <c r="B110" s="1" t="s">
        <v>9168</v>
      </c>
      <c r="C110" s="1" t="s">
        <v>9170</v>
      </c>
      <c r="D110" s="1" t="s">
        <v>403</v>
      </c>
      <c r="E110" s="1" t="s">
        <v>408</v>
      </c>
      <c r="F110" s="1" t="s">
        <v>409</v>
      </c>
      <c r="G110" s="1" t="s">
        <v>410</v>
      </c>
      <c r="H110" s="1" t="str">
        <f t="shared" si="4"/>
        <v/>
      </c>
      <c r="I110" s="1" t="str">
        <f t="shared" si="5"/>
        <v/>
      </c>
      <c r="J110" s="1" t="str">
        <f t="shared" si="6"/>
        <v>主板#{#SNMPINDEX}: 温度高于临界阈值: &gt;{$TEMP_CRIT: "Chassis"}</v>
      </c>
      <c r="K110" s="1" t="str">
        <f t="shared" si="7"/>
        <v/>
      </c>
    </row>
    <row r="111" spans="1:11">
      <c r="A111" s="1">
        <v>248</v>
      </c>
      <c r="B111" s="1" t="s">
        <v>9168</v>
      </c>
      <c r="C111" s="1" t="s">
        <v>9171</v>
      </c>
      <c r="D111" s="1" t="s">
        <v>403</v>
      </c>
      <c r="E111" s="1" t="s">
        <v>412</v>
      </c>
      <c r="F111" s="1" t="s">
        <v>413</v>
      </c>
      <c r="G111" s="1" t="s">
        <v>414</v>
      </c>
      <c r="H111" s="1" t="str">
        <f t="shared" si="4"/>
        <v/>
      </c>
      <c r="I111" s="1" t="str">
        <f t="shared" si="5"/>
        <v/>
      </c>
      <c r="J111" s="1" t="str">
        <f t="shared" si="6"/>
        <v>主板#{#SNMPINDEX}: 温度太低: &lt;{$TEMP_CRIT_LOW: "Chassis"}</v>
      </c>
      <c r="K111" s="1" t="str">
        <f t="shared" si="7"/>
        <v/>
      </c>
    </row>
    <row r="112" spans="1:11">
      <c r="A112" s="1">
        <v>251</v>
      </c>
      <c r="B112" s="1" t="s">
        <v>9168</v>
      </c>
      <c r="C112" s="1" t="s">
        <v>9172</v>
      </c>
      <c r="D112" s="1" t="s">
        <v>403</v>
      </c>
      <c r="E112" s="1" t="s">
        <v>416</v>
      </c>
      <c r="F112" s="1" t="s">
        <v>161</v>
      </c>
      <c r="G112" s="1" t="s">
        <v>162</v>
      </c>
      <c r="H112" s="1" t="str">
        <f t="shared" si="4"/>
        <v/>
      </c>
      <c r="I112" s="1" t="str">
        <f t="shared" si="5"/>
        <v/>
      </c>
      <c r="J112" s="1" t="str">
        <f t="shared" si="6"/>
        <v>接口{#IFNAME}({#IFALIAS}): 带宽使用率太高(&gt;{$IF.UTIL.MAX: "{#IFNAME}"}%)</v>
      </c>
      <c r="K112" s="1" t="str">
        <f t="shared" si="7"/>
        <v/>
      </c>
    </row>
    <row r="113" spans="1:11">
      <c r="A113" s="1">
        <v>252</v>
      </c>
      <c r="B113" s="1" t="s">
        <v>9168</v>
      </c>
      <c r="C113" s="1" t="s">
        <v>9173</v>
      </c>
      <c r="D113" s="1" t="s">
        <v>403</v>
      </c>
      <c r="E113" s="1" t="s">
        <v>418</v>
      </c>
      <c r="F113" s="1" t="s">
        <v>165</v>
      </c>
      <c r="G113" s="1" t="s">
        <v>166</v>
      </c>
      <c r="H113" s="1" t="str">
        <f t="shared" si="4"/>
        <v/>
      </c>
      <c r="I113" s="1" t="str">
        <f t="shared" si="5"/>
        <v/>
      </c>
      <c r="J113" s="1" t="str">
        <f t="shared" si="6"/>
        <v>接口{#IFNAME}({#IFALIAS}): 错误率太高(&gt;{$IF.ERRORS.WARN: "{#IFNAME}"}达5分钟)</v>
      </c>
      <c r="K113" s="1" t="str">
        <f t="shared" si="7"/>
        <v/>
      </c>
    </row>
    <row r="114" spans="1:11">
      <c r="A114" s="1">
        <v>257</v>
      </c>
      <c r="B114" s="1" t="s">
        <v>9168</v>
      </c>
      <c r="C114" s="1" t="s">
        <v>9174</v>
      </c>
      <c r="D114" s="1" t="s">
        <v>403</v>
      </c>
      <c r="E114" s="1" t="s">
        <v>420</v>
      </c>
      <c r="F114" s="1" t="s">
        <v>421</v>
      </c>
      <c r="G114" s="1" t="s">
        <v>422</v>
      </c>
      <c r="H114" s="1" t="str">
        <f t="shared" si="4"/>
        <v/>
      </c>
      <c r="I114" s="1" t="str">
        <f t="shared" si="5"/>
        <v/>
      </c>
      <c r="J114" s="1" t="str">
        <f t="shared" si="6"/>
        <v>{#SENSOR_DESCR}: 温度高于临界阈值: &gt;{$TEMP_CRIT: "{#SENSOR_DESCR}"}</v>
      </c>
      <c r="K114" s="1" t="str">
        <f t="shared" si="7"/>
        <v/>
      </c>
    </row>
    <row r="115" spans="1:11">
      <c r="A115" s="1">
        <v>258</v>
      </c>
      <c r="B115" s="1" t="s">
        <v>9168</v>
      </c>
      <c r="C115" s="1" t="s">
        <v>9175</v>
      </c>
      <c r="D115" s="1" t="s">
        <v>403</v>
      </c>
      <c r="E115" s="1" t="s">
        <v>424</v>
      </c>
      <c r="F115" s="1" t="s">
        <v>425</v>
      </c>
      <c r="G115" s="1" t="s">
        <v>426</v>
      </c>
      <c r="H115" s="1" t="str">
        <f t="shared" si="4"/>
        <v/>
      </c>
      <c r="I115" s="1" t="str">
        <f t="shared" si="5"/>
        <v/>
      </c>
      <c r="J115" s="1" t="str">
        <f t="shared" si="6"/>
        <v>{#SENSOR_DESCR}: 温度高于告警阈值: &gt;{$TEMP_WARN: "{#SENSOR_DESCR}"}</v>
      </c>
      <c r="K115" s="1" t="str">
        <f t="shared" si="7"/>
        <v/>
      </c>
    </row>
    <row r="116" spans="1:11">
      <c r="A116" s="1">
        <v>259</v>
      </c>
      <c r="B116" s="1" t="s">
        <v>9168</v>
      </c>
      <c r="C116" s="1" t="s">
        <v>9176</v>
      </c>
      <c r="D116" s="1" t="s">
        <v>403</v>
      </c>
      <c r="E116" s="1" t="s">
        <v>428</v>
      </c>
      <c r="F116" s="1" t="s">
        <v>429</v>
      </c>
      <c r="G116" s="1" t="s">
        <v>430</v>
      </c>
      <c r="H116" s="1" t="str">
        <f t="shared" si="4"/>
        <v/>
      </c>
      <c r="I116" s="1" t="str">
        <f t="shared" si="5"/>
        <v/>
      </c>
      <c r="J116" s="1" t="str">
        <f t="shared" si="6"/>
        <v>{#SENSOR_DESCR}: 温度太低: &lt;{$TEMP_CRIT_LOW: "{#SENSOR_DESCR}"}</v>
      </c>
      <c r="K116" s="1" t="str">
        <f t="shared" si="7"/>
        <v/>
      </c>
    </row>
    <row r="117" spans="1:11">
      <c r="A117" s="1">
        <v>260</v>
      </c>
      <c r="B117" s="1" t="s">
        <v>9177</v>
      </c>
      <c r="C117" s="1" t="s">
        <v>9178</v>
      </c>
      <c r="D117" s="1" t="s">
        <v>432</v>
      </c>
      <c r="E117" s="1" t="s">
        <v>433</v>
      </c>
      <c r="F117" s="1" t="s">
        <v>161</v>
      </c>
      <c r="G117" s="1" t="s">
        <v>162</v>
      </c>
      <c r="H117" s="1" t="str">
        <f t="shared" si="4"/>
        <v/>
      </c>
      <c r="I117" s="1" t="str">
        <f t="shared" si="5"/>
        <v/>
      </c>
      <c r="J117" s="1" t="str">
        <f t="shared" si="6"/>
        <v>接口{#IFNAME}({#IFALIAS}): 带宽使用率太高(&gt;{$IF.UTIL.MAX: "{#IFNAME}"}%)</v>
      </c>
      <c r="K117" s="1" t="str">
        <f t="shared" si="7"/>
        <v/>
      </c>
    </row>
    <row r="118" spans="1:11">
      <c r="A118" s="1">
        <v>261</v>
      </c>
      <c r="B118" s="1" t="s">
        <v>9177</v>
      </c>
      <c r="C118" s="1" t="s">
        <v>9179</v>
      </c>
      <c r="D118" s="1" t="s">
        <v>432</v>
      </c>
      <c r="E118" s="1" t="s">
        <v>435</v>
      </c>
      <c r="F118" s="1" t="s">
        <v>165</v>
      </c>
      <c r="G118" s="1" t="s">
        <v>166</v>
      </c>
      <c r="H118" s="1" t="str">
        <f t="shared" si="4"/>
        <v/>
      </c>
      <c r="I118" s="1" t="str">
        <f t="shared" si="5"/>
        <v/>
      </c>
      <c r="J118" s="1" t="str">
        <f t="shared" si="6"/>
        <v>接口{#IFNAME}({#IFALIAS}): 错误率太高(&gt;{$IF.ERRORS.WARN: "{#IFNAME}"}达5分钟)</v>
      </c>
      <c r="K118" s="1" t="str">
        <f t="shared" si="7"/>
        <v/>
      </c>
    </row>
    <row r="119" spans="1:11">
      <c r="A119" s="1">
        <v>268</v>
      </c>
      <c r="B119" s="1" t="s">
        <v>9177</v>
      </c>
      <c r="C119" s="1" t="s">
        <v>9093</v>
      </c>
      <c r="D119" s="1" t="s">
        <v>432</v>
      </c>
      <c r="E119" s="1" t="s">
        <v>437</v>
      </c>
      <c r="F119" s="1" t="s">
        <v>438</v>
      </c>
      <c r="G119" s="1" t="s">
        <v>439</v>
      </c>
      <c r="H119" s="1" t="str">
        <f t="shared" si="4"/>
        <v/>
      </c>
      <c r="I119" s="1" t="str">
        <f t="shared" si="5"/>
        <v/>
      </c>
      <c r="J119" s="1" t="str">
        <f t="shared" si="6"/>
        <v>单元{#SNMPVALUE}: 设备已更换(收到新序列号)</v>
      </c>
      <c r="K119" s="1" t="str">
        <f t="shared" si="7"/>
        <v/>
      </c>
    </row>
    <row r="120" spans="1:11">
      <c r="A120" s="1">
        <v>269</v>
      </c>
      <c r="B120" s="1" t="s">
        <v>9177</v>
      </c>
      <c r="C120" s="1" t="s">
        <v>9094</v>
      </c>
      <c r="D120" s="1" t="s">
        <v>432</v>
      </c>
      <c r="E120" s="1" t="s">
        <v>441</v>
      </c>
      <c r="F120" s="1" t="s">
        <v>421</v>
      </c>
      <c r="G120" s="1" t="s">
        <v>422</v>
      </c>
      <c r="H120" s="1" t="str">
        <f t="shared" si="4"/>
        <v/>
      </c>
      <c r="I120" s="1" t="str">
        <f t="shared" si="5"/>
        <v/>
      </c>
      <c r="J120" s="1" t="str">
        <f t="shared" si="6"/>
        <v>{#SENSOR_DESCR}: 温度高于临界阈值: &gt;{$TEMP_CRIT: "{#SENSOR_DESCR}"}</v>
      </c>
      <c r="K120" s="1" t="str">
        <f t="shared" si="7"/>
        <v/>
      </c>
    </row>
    <row r="121" spans="1:11">
      <c r="A121" s="1">
        <v>270</v>
      </c>
      <c r="B121" s="1" t="s">
        <v>9177</v>
      </c>
      <c r="C121" s="1" t="s">
        <v>9095</v>
      </c>
      <c r="D121" s="1" t="s">
        <v>432</v>
      </c>
      <c r="E121" s="1" t="s">
        <v>443</v>
      </c>
      <c r="F121" s="1" t="s">
        <v>425</v>
      </c>
      <c r="G121" s="1" t="s">
        <v>426</v>
      </c>
      <c r="H121" s="1" t="str">
        <f t="shared" si="4"/>
        <v/>
      </c>
      <c r="I121" s="1" t="str">
        <f t="shared" si="5"/>
        <v/>
      </c>
      <c r="J121" s="1" t="str">
        <f t="shared" si="6"/>
        <v>{#SENSOR_DESCR}: 温度高于告警阈值: &gt;{$TEMP_WARN: "{#SENSOR_DESCR}"}</v>
      </c>
      <c r="K121" s="1" t="str">
        <f t="shared" si="7"/>
        <v/>
      </c>
    </row>
    <row r="122" spans="1:11">
      <c r="A122" s="1">
        <v>271</v>
      </c>
      <c r="B122" s="1" t="s">
        <v>9177</v>
      </c>
      <c r="C122" s="1" t="s">
        <v>9096</v>
      </c>
      <c r="D122" s="1" t="s">
        <v>432</v>
      </c>
      <c r="E122" s="1" t="s">
        <v>445</v>
      </c>
      <c r="F122" s="1" t="s">
        <v>429</v>
      </c>
      <c r="G122" s="1" t="s">
        <v>430</v>
      </c>
      <c r="H122" s="1" t="str">
        <f t="shared" si="4"/>
        <v/>
      </c>
      <c r="I122" s="1" t="str">
        <f t="shared" si="5"/>
        <v/>
      </c>
      <c r="J122" s="1" t="str">
        <f t="shared" si="6"/>
        <v>{#SENSOR_DESCR}: 温度太低: &lt;{$TEMP_CRIT_LOW: "{#SENSOR_DESCR}"}</v>
      </c>
      <c r="K122" s="1" t="str">
        <f t="shared" si="7"/>
        <v/>
      </c>
    </row>
    <row r="123" spans="1:11">
      <c r="A123" s="1">
        <v>276</v>
      </c>
      <c r="B123" s="1" t="s">
        <v>9180</v>
      </c>
      <c r="C123" s="1" t="s">
        <v>9132</v>
      </c>
      <c r="D123" s="1" t="s">
        <v>447</v>
      </c>
      <c r="E123" s="1" t="s">
        <v>448</v>
      </c>
      <c r="F123" s="1" t="s">
        <v>449</v>
      </c>
      <c r="G123" s="1" t="s">
        <v>450</v>
      </c>
      <c r="H123" s="1" t="str">
        <f t="shared" si="4"/>
        <v>IPMI</v>
      </c>
      <c r="I123" s="1" t="str">
        <f t="shared" si="5"/>
        <v>{#SENSOR_ID}值触发了告警值(低于{#SENSOR_LO_WARN}达5分钟)</v>
      </c>
      <c r="J123" s="1" t="str">
        <f t="shared" si="6"/>
        <v>IPMI: {#SENSOR_ID}值触发了告警值(低于{#SENSOR_LO_WARN}达5分钟)</v>
      </c>
      <c r="K123" s="1" t="str">
        <f t="shared" si="7"/>
        <v>{#SENSOR_ID} value is below non-critical low (less than {#SENSOR_LO_WARN} for 5m)</v>
      </c>
    </row>
    <row r="124" spans="1:11">
      <c r="A124" s="1">
        <v>277</v>
      </c>
      <c r="B124" s="1" t="s">
        <v>9180</v>
      </c>
      <c r="C124" s="1" t="s">
        <v>9133</v>
      </c>
      <c r="D124" s="1" t="s">
        <v>447</v>
      </c>
      <c r="E124" s="1" t="s">
        <v>452</v>
      </c>
      <c r="F124" s="1" t="s">
        <v>453</v>
      </c>
      <c r="G124" s="1" t="s">
        <v>454</v>
      </c>
      <c r="H124" s="1" t="str">
        <f t="shared" si="4"/>
        <v>IPMI</v>
      </c>
      <c r="I124" s="1" t="str">
        <f t="shared" si="5"/>
        <v>{#SENSOR_ID}值触发了严重告警值(低于{#SENSOR_LO_CRIT}达5分钟)</v>
      </c>
      <c r="J124" s="1" t="str">
        <f t="shared" si="6"/>
        <v>IPMI: {#SENSOR_ID}值触发了严重告警值(低于{#SENSOR_LO_CRIT}达5分钟)</v>
      </c>
      <c r="K124" s="1" t="str">
        <f t="shared" si="7"/>
        <v>{#SENSOR_ID} value is below critical low (less than {#SENSOR_LO_CRIT} for 5m)</v>
      </c>
    </row>
    <row r="125" spans="1:11">
      <c r="A125" s="1">
        <v>278</v>
      </c>
      <c r="B125" s="1" t="s">
        <v>9180</v>
      </c>
      <c r="C125" s="1" t="s">
        <v>9134</v>
      </c>
      <c r="D125" s="1" t="s">
        <v>447</v>
      </c>
      <c r="E125" s="1" t="s">
        <v>456</v>
      </c>
      <c r="F125" s="1" t="s">
        <v>457</v>
      </c>
      <c r="G125" s="1" t="s">
        <v>458</v>
      </c>
      <c r="H125" s="1" t="str">
        <f t="shared" si="4"/>
        <v>IPMI</v>
      </c>
      <c r="I125" s="1" t="str">
        <f t="shared" si="5"/>
        <v>{#SENSOR_ID}值触发了灾难告警值(低于{#SENSOR_LO_DISAST}达5分钟)</v>
      </c>
      <c r="J125" s="1" t="str">
        <f t="shared" si="6"/>
        <v>IPMI: {#SENSOR_ID}值触发了灾难告警值(低于{#SENSOR_LO_DISAST}达5分钟)</v>
      </c>
      <c r="K125" s="1" t="str">
        <f t="shared" si="7"/>
        <v>{#SENSOR_ID} value is below non-recoverable low (less than {#SENSOR_LO_DISAST} for 5m)</v>
      </c>
    </row>
    <row r="126" spans="1:11">
      <c r="A126" s="1">
        <v>279</v>
      </c>
      <c r="B126" s="1" t="s">
        <v>9180</v>
      </c>
      <c r="C126" s="1" t="s">
        <v>9135</v>
      </c>
      <c r="D126" s="1" t="s">
        <v>447</v>
      </c>
      <c r="E126" s="1" t="s">
        <v>460</v>
      </c>
      <c r="F126" s="1" t="s">
        <v>461</v>
      </c>
      <c r="G126" s="1" t="s">
        <v>462</v>
      </c>
      <c r="H126" s="1" t="str">
        <f t="shared" si="4"/>
        <v>IPMI</v>
      </c>
      <c r="I126" s="1" t="str">
        <f t="shared" si="5"/>
        <v>{#SENSOR_ID}值触发了告警值(高于{#SENSOR_HI_WARN}达5分钟)</v>
      </c>
      <c r="J126" s="1" t="str">
        <f t="shared" si="6"/>
        <v>IPMI: {#SENSOR_ID}值触发了告警值(高于{#SENSOR_HI_WARN}达5分钟)</v>
      </c>
      <c r="K126" s="1" t="str">
        <f t="shared" si="7"/>
        <v>{#SENSOR_ID} value is above non-critical high (greater than {#SENSOR_HI_WARN} for 5m)</v>
      </c>
    </row>
    <row r="127" spans="1:11">
      <c r="A127" s="1">
        <v>280</v>
      </c>
      <c r="B127" s="1" t="s">
        <v>9180</v>
      </c>
      <c r="C127" s="1" t="s">
        <v>9136</v>
      </c>
      <c r="D127" s="1" t="s">
        <v>447</v>
      </c>
      <c r="E127" s="1" t="s">
        <v>464</v>
      </c>
      <c r="F127" s="1" t="s">
        <v>465</v>
      </c>
      <c r="G127" s="1" t="s">
        <v>466</v>
      </c>
      <c r="H127" s="1" t="str">
        <f t="shared" si="4"/>
        <v>IPMI</v>
      </c>
      <c r="I127" s="1" t="str">
        <f t="shared" si="5"/>
        <v>{#SENSOR_ID}值触发了严重告警值(高于{#SENSOR_HI_CRIT}达5分钟)</v>
      </c>
      <c r="J127" s="1" t="str">
        <f t="shared" si="6"/>
        <v>IPMI: {#SENSOR_ID}值触发了严重告警值(高于{#SENSOR_HI_CRIT}达5分钟)</v>
      </c>
      <c r="K127" s="1" t="str">
        <f t="shared" si="7"/>
        <v>{#SENSOR_ID} value is above critical high (greater than {#SENSOR_HI_CRIT} for 5m)</v>
      </c>
    </row>
    <row r="128" spans="1:11">
      <c r="A128" s="1">
        <v>281</v>
      </c>
      <c r="B128" s="1" t="s">
        <v>9180</v>
      </c>
      <c r="C128" s="1" t="s">
        <v>9137</v>
      </c>
      <c r="D128" s="1" t="s">
        <v>447</v>
      </c>
      <c r="E128" s="1" t="s">
        <v>468</v>
      </c>
      <c r="F128" s="1" t="s">
        <v>469</v>
      </c>
      <c r="G128" s="1" t="s">
        <v>470</v>
      </c>
      <c r="H128" s="1" t="str">
        <f t="shared" si="4"/>
        <v>IPMI</v>
      </c>
      <c r="I128" s="1" t="str">
        <f t="shared" si="5"/>
        <v>{#SENSOR_ID}值触发了灾难告警值(高于{#SENSOR_HI_DISAST}达5分钟)</v>
      </c>
      <c r="J128" s="1" t="str">
        <f t="shared" si="6"/>
        <v>IPMI: {#SENSOR_ID}值触发了灾难告警值(高于{#SENSOR_HI_DISAST}达5分钟)</v>
      </c>
      <c r="K128" s="1" t="str">
        <f t="shared" si="7"/>
        <v>{#SENSOR_ID} value is above non-recoverable high (greater than {#SENSOR_HI_DISAST} for 5m)</v>
      </c>
    </row>
    <row r="129" spans="1:11">
      <c r="A129" s="1">
        <v>282</v>
      </c>
      <c r="B129" s="1" t="s">
        <v>9181</v>
      </c>
      <c r="C129" s="1" t="s">
        <v>9182</v>
      </c>
      <c r="D129" s="1" t="s">
        <v>472</v>
      </c>
      <c r="E129" s="1" t="s">
        <v>9183</v>
      </c>
      <c r="F129" s="1" t="s">
        <v>474</v>
      </c>
      <c r="G129" s="1" t="s">
        <v>9184</v>
      </c>
      <c r="H129" s="1" t="str">
        <f t="shared" si="4"/>
        <v/>
      </c>
      <c r="I129" s="1" t="str">
        <f t="shared" si="5"/>
        <v/>
      </c>
      <c r="J129" s="1" t="str">
        <f t="shared" si="6"/>
        <v>Check Point 防火墙：丢弃的数据包数量已增加：&gt;{$FW.DROPPED.PACKETS.TH}</v>
      </c>
      <c r="K129" s="1" t="str">
        <f t="shared" si="7"/>
        <v>Number of dropped packets has been increased: &gt;{$FW.DROPPED.PACKETS.TH}</v>
      </c>
    </row>
    <row r="130" spans="1:11">
      <c r="A130" s="1">
        <v>284</v>
      </c>
      <c r="B130" s="1" t="s">
        <v>9181</v>
      </c>
      <c r="C130" s="1" t="s">
        <v>9185</v>
      </c>
      <c r="D130" s="1" t="s">
        <v>472</v>
      </c>
      <c r="E130" s="1" t="s">
        <v>9186</v>
      </c>
      <c r="F130" s="1" t="s">
        <v>478</v>
      </c>
      <c r="G130" s="1" t="s">
        <v>9187</v>
      </c>
      <c r="H130" s="1" t="str">
        <f t="shared" ref="H130:H193" si="8">IFERROR(IF(OR(MID(G130,FIND(":",G130)-1,1)="""",MID(G130,FIND(":",G130)-1,1)="}",MID(G130,FIND(":",G130)-1,1)=")",MID(G130,FIND(":",G130)-1,1)="]"),"",LEFT(F130,FIND(":",F130)-1)),"")</f>
        <v>Interface {#IFNAME}({#IFALIAS})</v>
      </c>
      <c r="I130" s="1" t="str">
        <f t="shared" ref="I130:I193" si="9">IFERROR(IF(OR(MID(G130,FIND(":",G130)-1,1)="""",MID(G130,FIND(":",G130)-1,1)="}",MID(G130,FIND(":",G130)-1,1)=")",MID(G130,FIND(":",G130)-1,1)="]"),"",RIGHT(G130,LEN(G130)-FIND(":",G130)-1)),"")</f>
        <v>{#IFNAME}"}%）</v>
      </c>
      <c r="J130" s="1" t="str">
        <f t="shared" ref="J130:J193" si="10">IF(AND(I130="",H130=""),G130,H130&amp;": "&amp;I130)</f>
        <v>Interface {#IFNAME}({#IFALIAS}): {#IFNAME}"}%）</v>
      </c>
      <c r="K130" s="1" t="str">
        <f t="shared" ref="K130:K193" si="11">IFERROR(IF(OR(MID(F130,FIND(":",F130)-1,1)="""",MID(F130,FIND(":",F130)-1,1)="}",MID(F130,FIND(":",F130)-1,1)=")",MID(F130,FIND(":",F130)-1,1)="]"),"",RIGHT(F130,LEN(F130)-FIND(":",F130)-1)),"")</f>
        <v/>
      </c>
    </row>
    <row r="131" spans="1:11">
      <c r="A131" s="1">
        <v>285</v>
      </c>
      <c r="B131" s="1" t="s">
        <v>9181</v>
      </c>
      <c r="C131" s="1" t="s">
        <v>9188</v>
      </c>
      <c r="D131" s="1" t="s">
        <v>472</v>
      </c>
      <c r="E131" s="1" t="s">
        <v>4278</v>
      </c>
      <c r="F131" s="1" t="s">
        <v>482</v>
      </c>
      <c r="G131" s="1" t="s">
        <v>9189</v>
      </c>
      <c r="H131" s="1" t="str">
        <f t="shared" si="8"/>
        <v>Interface {#IFNAME}({#IFALIAS})</v>
      </c>
      <c r="I131" s="1" t="str">
        <f t="shared" si="9"/>
        <v>{#IFNAME}"} 达 5 分钟）</v>
      </c>
      <c r="J131" s="1" t="str">
        <f t="shared" si="10"/>
        <v>Interface {#IFNAME}({#IFALIAS}): {#IFNAME}"} 达 5 分钟）</v>
      </c>
      <c r="K131" s="1" t="str">
        <f t="shared" si="11"/>
        <v/>
      </c>
    </row>
    <row r="132" spans="1:11">
      <c r="A132" s="1">
        <v>290</v>
      </c>
      <c r="B132" s="1" t="s">
        <v>9181</v>
      </c>
      <c r="C132" s="1" t="s">
        <v>9190</v>
      </c>
      <c r="D132" s="1" t="s">
        <v>472</v>
      </c>
      <c r="E132" s="1" t="s">
        <v>9191</v>
      </c>
      <c r="F132" s="1" t="s">
        <v>486</v>
      </c>
      <c r="G132" s="1" t="s">
        <v>9192</v>
      </c>
      <c r="H132" s="1" t="str">
        <f t="shared" si="8"/>
        <v>{#DISK.NAME}</v>
      </c>
      <c r="I132" s="1" t="str">
        <f t="shared" si="9"/>
        <v>{#DISK.NAME}"}%）</v>
      </c>
      <c r="J132" s="1" t="str">
        <f t="shared" si="10"/>
        <v>{#DISK.NAME}: {#DISK.NAME}"}%）</v>
      </c>
      <c r="K132" s="1" t="str">
        <f t="shared" si="11"/>
        <v/>
      </c>
    </row>
    <row r="133" spans="1:11">
      <c r="A133" s="1">
        <v>291</v>
      </c>
      <c r="B133" s="1" t="s">
        <v>9181</v>
      </c>
      <c r="C133" s="1" t="s">
        <v>9193</v>
      </c>
      <c r="D133" s="1" t="s">
        <v>472</v>
      </c>
      <c r="E133" s="1" t="s">
        <v>9194</v>
      </c>
      <c r="F133" s="1" t="s">
        <v>490</v>
      </c>
      <c r="G133" s="1" t="s">
        <v>9195</v>
      </c>
      <c r="H133" s="1" t="str">
        <f t="shared" si="8"/>
        <v>{#DISK.NAME}</v>
      </c>
      <c r="I133" s="1" t="str">
        <f t="shared" si="9"/>
        <v>{#DISK.NAME}"}%）</v>
      </c>
      <c r="J133" s="1" t="str">
        <f t="shared" si="10"/>
        <v>{#DISK.NAME}: {#DISK.NAME}"}%）</v>
      </c>
      <c r="K133" s="1" t="str">
        <f t="shared" si="11"/>
        <v/>
      </c>
    </row>
    <row r="134" spans="1:11">
      <c r="A134" s="1">
        <v>292</v>
      </c>
      <c r="B134" s="1" t="s">
        <v>9181</v>
      </c>
      <c r="C134" s="1" t="s">
        <v>9196</v>
      </c>
      <c r="D134" s="1" t="s">
        <v>472</v>
      </c>
      <c r="E134" s="1" t="s">
        <v>4289</v>
      </c>
      <c r="F134" s="1" t="s">
        <v>494</v>
      </c>
      <c r="G134" s="1" t="s">
        <v>9197</v>
      </c>
      <c r="H134" s="1" t="str">
        <f t="shared" si="8"/>
        <v>{#SENSOR.NAME}</v>
      </c>
      <c r="I134" s="1" t="str">
        <f t="shared" si="9"/>
        <v>{#SENSOR.NAME}"}</v>
      </c>
      <c r="J134" s="1" t="str">
        <f t="shared" si="10"/>
        <v>{#SENSOR.NAME}: {#SENSOR.NAME}"}</v>
      </c>
      <c r="K134" s="1" t="str">
        <f t="shared" si="11"/>
        <v/>
      </c>
    </row>
    <row r="135" spans="1:11">
      <c r="A135" s="1">
        <v>293</v>
      </c>
      <c r="B135" s="1" t="s">
        <v>9181</v>
      </c>
      <c r="C135" s="1" t="s">
        <v>9198</v>
      </c>
      <c r="D135" s="1" t="s">
        <v>472</v>
      </c>
      <c r="E135" s="1" t="s">
        <v>9199</v>
      </c>
      <c r="F135" s="1" t="s">
        <v>498</v>
      </c>
      <c r="G135" s="1" t="s">
        <v>9200</v>
      </c>
      <c r="H135" s="1" t="str">
        <f t="shared" si="8"/>
        <v>{#SENSOR.NAME}</v>
      </c>
      <c r="I135" s="1" t="str">
        <f t="shared" si="9"/>
        <v>{#SENSOR.NAME}"}</v>
      </c>
      <c r="J135" s="1" t="str">
        <f t="shared" si="10"/>
        <v>{#SENSOR.NAME}: {#SENSOR.NAME}"}</v>
      </c>
      <c r="K135" s="1" t="str">
        <f t="shared" si="11"/>
        <v/>
      </c>
    </row>
    <row r="136" spans="1:11">
      <c r="A136" s="1">
        <v>294</v>
      </c>
      <c r="B136" s="1" t="s">
        <v>9181</v>
      </c>
      <c r="C136" s="1" t="s">
        <v>9201</v>
      </c>
      <c r="D136" s="1" t="s">
        <v>472</v>
      </c>
      <c r="E136" s="1" t="s">
        <v>9202</v>
      </c>
      <c r="F136" s="1" t="s">
        <v>502</v>
      </c>
      <c r="G136" s="1" t="s">
        <v>9203</v>
      </c>
      <c r="H136" s="1" t="str">
        <f t="shared" si="8"/>
        <v>{#SENSOR.NAME}</v>
      </c>
      <c r="I136" s="1" t="str">
        <f t="shared" si="9"/>
        <v>{#SENSOR.NAME}"}</v>
      </c>
      <c r="J136" s="1" t="str">
        <f t="shared" si="10"/>
        <v>{#SENSOR.NAME}: {#SENSOR.NAME}"}</v>
      </c>
      <c r="K136" s="1" t="str">
        <f t="shared" si="11"/>
        <v/>
      </c>
    </row>
    <row r="137" spans="1:11">
      <c r="A137" s="1">
        <v>295</v>
      </c>
      <c r="B137" s="1" t="s">
        <v>9181</v>
      </c>
      <c r="C137" s="1" t="s">
        <v>9204</v>
      </c>
      <c r="D137" s="1" t="s">
        <v>472</v>
      </c>
      <c r="E137" s="1" t="s">
        <v>4296</v>
      </c>
      <c r="F137" s="1" t="s">
        <v>506</v>
      </c>
      <c r="G137" s="1" t="s">
        <v>9205</v>
      </c>
      <c r="H137" s="1" t="str">
        <f t="shared" si="8"/>
        <v>{#SW.NAME}</v>
      </c>
      <c r="I137" s="1" t="str">
        <f t="shared" si="9"/>
        <v>{#SW.NAME}"} 天）</v>
      </c>
      <c r="J137" s="1" t="str">
        <f t="shared" si="10"/>
        <v>{#SW.NAME}: {#SW.NAME}"} 天）</v>
      </c>
      <c r="K137" s="1" t="str">
        <f t="shared" si="11"/>
        <v/>
      </c>
    </row>
    <row r="138" spans="1:11">
      <c r="A138" s="1">
        <v>297</v>
      </c>
      <c r="B138" s="1" t="s">
        <v>9206</v>
      </c>
      <c r="C138" s="1" t="s">
        <v>9066</v>
      </c>
      <c r="D138" s="1" t="s">
        <v>509</v>
      </c>
      <c r="E138" s="1" t="s">
        <v>510</v>
      </c>
      <c r="F138" s="1" t="s">
        <v>511</v>
      </c>
      <c r="G138" s="1" t="s">
        <v>512</v>
      </c>
      <c r="H138" s="1" t="str">
        <f t="shared" si="8"/>
        <v>Cisco ASAv</v>
      </c>
      <c r="I138" s="1" t="str">
        <f t="shared" si="9"/>
        <v>CPU利用率高了(超过{$CPU.UTIL.CRIT}%达5分钟)</v>
      </c>
      <c r="J138" s="1" t="str">
        <f t="shared" si="10"/>
        <v>Cisco ASAv: CPU利用率高了(超过{$CPU.UTIL.CRIT}%达5分钟)</v>
      </c>
      <c r="K138" s="1" t="str">
        <f t="shared" si="11"/>
        <v>High CPU utilization (over {$CPU.UTIL.CRIT}% for 5m)</v>
      </c>
    </row>
    <row r="139" spans="1:11">
      <c r="A139" s="1">
        <v>298</v>
      </c>
      <c r="B139" s="1" t="s">
        <v>9206</v>
      </c>
      <c r="C139" s="1" t="s">
        <v>9207</v>
      </c>
      <c r="D139" s="1" t="s">
        <v>509</v>
      </c>
      <c r="E139" s="1" t="s">
        <v>514</v>
      </c>
      <c r="F139" s="1" t="s">
        <v>515</v>
      </c>
      <c r="G139" s="1" t="s">
        <v>516</v>
      </c>
      <c r="H139" s="1" t="str">
        <f t="shared" si="8"/>
        <v>Cisco ASAv</v>
      </c>
      <c r="I139" s="1" t="str">
        <f t="shared" si="9"/>
        <v>{#CISCO.ASAV.PHYS.NAME}已被替换(收到新序列号)</v>
      </c>
      <c r="J139" s="1" t="str">
        <f t="shared" si="10"/>
        <v>Cisco ASAv: {#CISCO.ASAV.PHYS.NAME}已被替换(收到新序列号)</v>
      </c>
      <c r="K139" s="1" t="str">
        <f t="shared" si="11"/>
        <v>{#CISCO.ASAV.PHYS.NAME} has been replaced (new serial number received)</v>
      </c>
    </row>
    <row r="140" spans="1:11">
      <c r="A140" s="1">
        <v>300</v>
      </c>
      <c r="B140" s="1" t="s">
        <v>9206</v>
      </c>
      <c r="C140" s="1" t="s">
        <v>9071</v>
      </c>
      <c r="D140" s="1" t="s">
        <v>509</v>
      </c>
      <c r="E140" s="1" t="s">
        <v>518</v>
      </c>
      <c r="F140" s="1" t="s">
        <v>519</v>
      </c>
      <c r="G140" s="1" t="s">
        <v>520</v>
      </c>
      <c r="H140" s="1" t="str">
        <f t="shared" si="8"/>
        <v>Cisco ASAv</v>
      </c>
      <c r="I140" s="1" t="str">
        <f t="shared" si="9"/>
        <v>内存利用率高了(&gt;{$MEMORY.UTIL.MAX}%达5分钟)</v>
      </c>
      <c r="J140" s="1" t="str">
        <f t="shared" si="10"/>
        <v>Cisco ASAv: 内存利用率高了(&gt;{$MEMORY.UTIL.MAX}%达5分钟)</v>
      </c>
      <c r="K140" s="1" t="str">
        <f t="shared" si="11"/>
        <v>High memory utilization (&gt;{$MEMORY.UTIL.MAX}% for 5m)</v>
      </c>
    </row>
    <row r="141" spans="1:11">
      <c r="A141" s="1">
        <v>301</v>
      </c>
      <c r="B141" s="1" t="s">
        <v>9208</v>
      </c>
      <c r="C141" s="1" t="s">
        <v>9209</v>
      </c>
      <c r="D141" s="1" t="s">
        <v>544</v>
      </c>
      <c r="E141" s="1" t="s">
        <v>545</v>
      </c>
      <c r="F141" s="1" t="s">
        <v>541</v>
      </c>
      <c r="G141" s="1" t="s">
        <v>542</v>
      </c>
      <c r="H141" s="1" t="str">
        <f t="shared" si="8"/>
        <v/>
      </c>
      <c r="I141" s="1" t="str">
        <f t="shared" si="9"/>
        <v/>
      </c>
      <c r="J141" s="1" t="str">
        <f t="shared" si="10"/>
        <v>#{#SNMPINDEX}: CPU使用率高了(超过{$CPU.UTIL.CRIT}%达5分钟)</v>
      </c>
      <c r="K141" s="1" t="str">
        <f t="shared" si="11"/>
        <v/>
      </c>
    </row>
    <row r="142" spans="1:11">
      <c r="A142" s="1">
        <v>302</v>
      </c>
      <c r="B142" s="1" t="s">
        <v>9208</v>
      </c>
      <c r="C142" s="1" t="s">
        <v>9210</v>
      </c>
      <c r="D142" s="1" t="s">
        <v>544</v>
      </c>
      <c r="E142" s="1" t="s">
        <v>547</v>
      </c>
      <c r="F142" s="1" t="s">
        <v>548</v>
      </c>
      <c r="G142" s="1" t="s">
        <v>549</v>
      </c>
      <c r="H142" s="1" t="str">
        <f t="shared" si="8"/>
        <v/>
      </c>
      <c r="I142" s="1" t="str">
        <f t="shared" si="9"/>
        <v/>
      </c>
      <c r="J142" s="1" t="str">
        <f t="shared" si="10"/>
        <v>接口{#IFNAME}({#IFALIAS}): 入方向带宽使用率高了(&gt;{$IF.UTIL.MAX: "{#IFNAME}"}%)</v>
      </c>
      <c r="K142" s="1" t="str">
        <f t="shared" si="11"/>
        <v/>
      </c>
    </row>
    <row r="143" spans="1:11">
      <c r="A143" s="1">
        <v>303</v>
      </c>
      <c r="B143" s="1" t="s">
        <v>9208</v>
      </c>
      <c r="C143" s="1" t="s">
        <v>9211</v>
      </c>
      <c r="D143" s="1" t="s">
        <v>544</v>
      </c>
      <c r="E143" s="1" t="s">
        <v>551</v>
      </c>
      <c r="F143" s="1" t="s">
        <v>552</v>
      </c>
      <c r="G143" s="1" t="s">
        <v>553</v>
      </c>
      <c r="H143" s="1" t="str">
        <f t="shared" si="8"/>
        <v/>
      </c>
      <c r="I143" s="1" t="str">
        <f t="shared" si="9"/>
        <v/>
      </c>
      <c r="J143" s="1" t="str">
        <f t="shared" si="10"/>
        <v>接口{#IFNAME}({#IFALIAS}): 出方向带宽使用率高了(&gt;{$IF.UTIL.MAX: "{#IFNAME}"}%)</v>
      </c>
      <c r="K143" s="1" t="str">
        <f t="shared" si="11"/>
        <v/>
      </c>
    </row>
    <row r="144" spans="1:11">
      <c r="A144" s="1">
        <v>305</v>
      </c>
      <c r="B144" s="1" t="s">
        <v>9208</v>
      </c>
      <c r="C144" s="1" t="s">
        <v>9212</v>
      </c>
      <c r="D144" s="1" t="s">
        <v>544</v>
      </c>
      <c r="E144" s="1" t="s">
        <v>555</v>
      </c>
      <c r="F144" s="1" t="s">
        <v>556</v>
      </c>
      <c r="G144" s="1" t="s">
        <v>557</v>
      </c>
      <c r="H144" s="1" t="str">
        <f t="shared" si="8"/>
        <v/>
      </c>
      <c r="I144" s="1" t="str">
        <f t="shared" si="9"/>
        <v/>
      </c>
      <c r="J144" s="1" t="str">
        <f t="shared" si="10"/>
        <v>接口{#IFNAME}({#IFALIAS}): 入方向错误率高了(&gt;{$IF.ERRORS.WARN: "{#IFNAME}"}达5分钟)</v>
      </c>
      <c r="K144" s="1" t="str">
        <f t="shared" si="11"/>
        <v/>
      </c>
    </row>
    <row r="145" spans="1:11">
      <c r="A145" s="1">
        <v>308</v>
      </c>
      <c r="B145" s="1" t="s">
        <v>9208</v>
      </c>
      <c r="C145" s="1" t="s">
        <v>9213</v>
      </c>
      <c r="D145" s="1" t="s">
        <v>544</v>
      </c>
      <c r="E145" s="1" t="s">
        <v>559</v>
      </c>
      <c r="F145" s="1" t="s">
        <v>560</v>
      </c>
      <c r="G145" s="1" t="s">
        <v>561</v>
      </c>
      <c r="H145" s="1" t="str">
        <f t="shared" si="8"/>
        <v/>
      </c>
      <c r="I145" s="1" t="str">
        <f t="shared" si="9"/>
        <v/>
      </c>
      <c r="J145" s="1" t="str">
        <f t="shared" si="10"/>
        <v>接口{#IFNAME}({#IFALIAS}): 出方向错误率高了(&gt;{$IF.ERRORS.WARN: "{#IFNAME}"}达5分钟)</v>
      </c>
      <c r="K145" s="1" t="str">
        <f t="shared" si="11"/>
        <v/>
      </c>
    </row>
    <row r="146" spans="1:11">
      <c r="A146" s="1">
        <v>309</v>
      </c>
      <c r="B146" s="1" t="s">
        <v>9208</v>
      </c>
      <c r="C146" s="1" t="s">
        <v>9214</v>
      </c>
      <c r="D146" s="1" t="s">
        <v>544</v>
      </c>
      <c r="E146" s="1" t="s">
        <v>563</v>
      </c>
      <c r="F146" s="1" t="s">
        <v>169</v>
      </c>
      <c r="G146" s="1" t="s">
        <v>170</v>
      </c>
      <c r="H146" s="1" t="str">
        <f t="shared" si="8"/>
        <v/>
      </c>
      <c r="I146" s="1" t="str">
        <f t="shared" si="9"/>
        <v/>
      </c>
      <c r="J146" s="1" t="str">
        <f t="shared" si="10"/>
        <v>{#ENT_NAME}: 设备已更换(收到新序列号)</v>
      </c>
      <c r="K146" s="1" t="str">
        <f t="shared" si="11"/>
        <v/>
      </c>
    </row>
    <row r="147" spans="1:11">
      <c r="A147" s="1">
        <v>312</v>
      </c>
      <c r="B147" s="1" t="s">
        <v>9208</v>
      </c>
      <c r="C147" s="1" t="s">
        <v>9215</v>
      </c>
      <c r="D147" s="1" t="s">
        <v>544</v>
      </c>
      <c r="E147" s="1" t="s">
        <v>565</v>
      </c>
      <c r="F147" s="1" t="s">
        <v>566</v>
      </c>
      <c r="G147" s="1" t="s">
        <v>532</v>
      </c>
      <c r="H147" s="1" t="str">
        <f t="shared" si="8"/>
        <v/>
      </c>
      <c r="I147" s="1" t="str">
        <f t="shared" si="9"/>
        <v/>
      </c>
      <c r="J147" s="1" t="str">
        <f t="shared" si="10"/>
        <v>{#SNMPVALUE}: 内存利用率高了(&gt;{$MEMORY.UTIL.MAX}%达5分钟)</v>
      </c>
      <c r="K147" s="1" t="str">
        <f t="shared" si="11"/>
        <v/>
      </c>
    </row>
    <row r="148" spans="1:11">
      <c r="A148" s="1">
        <v>315</v>
      </c>
      <c r="B148" s="1" t="s">
        <v>9208</v>
      </c>
      <c r="C148" s="1" t="s">
        <v>9216</v>
      </c>
      <c r="D148" s="1" t="s">
        <v>544</v>
      </c>
      <c r="E148" s="1" t="s">
        <v>568</v>
      </c>
      <c r="F148" s="1" t="s">
        <v>173</v>
      </c>
      <c r="G148" s="1" t="s">
        <v>174</v>
      </c>
      <c r="H148" s="1" t="str">
        <f t="shared" si="8"/>
        <v/>
      </c>
      <c r="I148" s="1" t="str">
        <f t="shared" si="9"/>
        <v/>
      </c>
      <c r="J148" s="1" t="str">
        <f t="shared" si="10"/>
        <v>{#SNMPVALUE}: 温度高于临界阈值: &gt;{$TEMP_CRIT: "{#SNMPVALUE}"}</v>
      </c>
      <c r="K148" s="1" t="str">
        <f t="shared" si="11"/>
        <v/>
      </c>
    </row>
    <row r="149" spans="1:11">
      <c r="A149" s="1">
        <v>316</v>
      </c>
      <c r="B149" s="1" t="s">
        <v>9208</v>
      </c>
      <c r="C149" s="1" t="s">
        <v>9217</v>
      </c>
      <c r="D149" s="1" t="s">
        <v>544</v>
      </c>
      <c r="E149" s="1" t="s">
        <v>570</v>
      </c>
      <c r="F149" s="1" t="s">
        <v>177</v>
      </c>
      <c r="G149" s="1" t="s">
        <v>178</v>
      </c>
      <c r="H149" s="1" t="str">
        <f t="shared" si="8"/>
        <v/>
      </c>
      <c r="I149" s="1" t="str">
        <f t="shared" si="9"/>
        <v/>
      </c>
      <c r="J149" s="1" t="str">
        <f t="shared" si="10"/>
        <v>{#SNMPVALUE}: 温度高于告警阈值: &gt;{$TEMP_WARN: "{#SNMPVALUE}"}</v>
      </c>
      <c r="K149" s="1" t="str">
        <f t="shared" si="11"/>
        <v/>
      </c>
    </row>
    <row r="150" spans="1:11">
      <c r="A150" s="1">
        <v>317</v>
      </c>
      <c r="B150" s="1" t="s">
        <v>9208</v>
      </c>
      <c r="C150" s="1" t="s">
        <v>9218</v>
      </c>
      <c r="D150" s="1" t="s">
        <v>544</v>
      </c>
      <c r="E150" s="1" t="s">
        <v>572</v>
      </c>
      <c r="F150" s="1" t="s">
        <v>181</v>
      </c>
      <c r="G150" s="1" t="s">
        <v>182</v>
      </c>
      <c r="H150" s="1" t="str">
        <f t="shared" si="8"/>
        <v/>
      </c>
      <c r="I150" s="1" t="str">
        <f t="shared" si="9"/>
        <v/>
      </c>
      <c r="J150" s="1" t="str">
        <f t="shared" si="10"/>
        <v>{#SNMPVALUE}: 温度太低: &lt;{$TEMP_CRIT_LOW: "{#SNMPVALUE}"}</v>
      </c>
      <c r="K150" s="1" t="str">
        <f t="shared" si="11"/>
        <v/>
      </c>
    </row>
    <row r="151" spans="1:11">
      <c r="A151" s="1">
        <v>320</v>
      </c>
      <c r="B151" s="1" t="s">
        <v>9219</v>
      </c>
      <c r="C151" s="1" t="s">
        <v>9209</v>
      </c>
      <c r="D151" s="1" t="s">
        <v>574</v>
      </c>
      <c r="E151" s="1" t="s">
        <v>575</v>
      </c>
      <c r="F151" s="1" t="s">
        <v>541</v>
      </c>
      <c r="G151" s="1" t="s">
        <v>542</v>
      </c>
      <c r="H151" s="1" t="str">
        <f t="shared" si="8"/>
        <v/>
      </c>
      <c r="I151" s="1" t="str">
        <f t="shared" si="9"/>
        <v/>
      </c>
      <c r="J151" s="1" t="str">
        <f t="shared" si="10"/>
        <v>#{#SNMPINDEX}: CPU使用率高了(超过{$CPU.UTIL.CRIT}%达5分钟)</v>
      </c>
      <c r="K151" s="1" t="str">
        <f t="shared" si="11"/>
        <v/>
      </c>
    </row>
    <row r="152" spans="1:11">
      <c r="A152" s="1">
        <v>321</v>
      </c>
      <c r="B152" s="1" t="s">
        <v>9219</v>
      </c>
      <c r="C152" s="1" t="s">
        <v>9210</v>
      </c>
      <c r="D152" s="1" t="s">
        <v>574</v>
      </c>
      <c r="E152" s="1" t="s">
        <v>577</v>
      </c>
      <c r="F152" s="1" t="s">
        <v>548</v>
      </c>
      <c r="G152" s="1" t="s">
        <v>549</v>
      </c>
      <c r="H152" s="1" t="str">
        <f t="shared" si="8"/>
        <v/>
      </c>
      <c r="I152" s="1" t="str">
        <f t="shared" si="9"/>
        <v/>
      </c>
      <c r="J152" s="1" t="str">
        <f t="shared" si="10"/>
        <v>接口{#IFNAME}({#IFALIAS}): 入方向带宽使用率高了(&gt;{$IF.UTIL.MAX: "{#IFNAME}"}%)</v>
      </c>
      <c r="K152" s="1" t="str">
        <f t="shared" si="11"/>
        <v/>
      </c>
    </row>
    <row r="153" spans="1:11">
      <c r="A153" s="1">
        <v>322</v>
      </c>
      <c r="B153" s="1" t="s">
        <v>9219</v>
      </c>
      <c r="C153" s="1" t="s">
        <v>9211</v>
      </c>
      <c r="D153" s="1" t="s">
        <v>574</v>
      </c>
      <c r="E153" s="1" t="s">
        <v>579</v>
      </c>
      <c r="F153" s="1" t="s">
        <v>552</v>
      </c>
      <c r="G153" s="1" t="s">
        <v>553</v>
      </c>
      <c r="H153" s="1" t="str">
        <f t="shared" si="8"/>
        <v/>
      </c>
      <c r="I153" s="1" t="str">
        <f t="shared" si="9"/>
        <v/>
      </c>
      <c r="J153" s="1" t="str">
        <f t="shared" si="10"/>
        <v>接口{#IFNAME}({#IFALIAS}): 出方向带宽使用率高了(&gt;{$IF.UTIL.MAX: "{#IFNAME}"}%)</v>
      </c>
      <c r="K153" s="1" t="str">
        <f t="shared" si="11"/>
        <v/>
      </c>
    </row>
    <row r="154" spans="1:11">
      <c r="A154" s="1">
        <v>324</v>
      </c>
      <c r="B154" s="1" t="s">
        <v>9219</v>
      </c>
      <c r="C154" s="1" t="s">
        <v>9212</v>
      </c>
      <c r="D154" s="1" t="s">
        <v>574</v>
      </c>
      <c r="E154" s="1" t="s">
        <v>581</v>
      </c>
      <c r="F154" s="1" t="s">
        <v>556</v>
      </c>
      <c r="G154" s="1" t="s">
        <v>557</v>
      </c>
      <c r="H154" s="1" t="str">
        <f t="shared" si="8"/>
        <v/>
      </c>
      <c r="I154" s="1" t="str">
        <f t="shared" si="9"/>
        <v/>
      </c>
      <c r="J154" s="1" t="str">
        <f t="shared" si="10"/>
        <v>接口{#IFNAME}({#IFALIAS}): 入方向错误率高了(&gt;{$IF.ERRORS.WARN: "{#IFNAME}"}达5分钟)</v>
      </c>
      <c r="K154" s="1" t="str">
        <f t="shared" si="11"/>
        <v/>
      </c>
    </row>
    <row r="155" spans="1:11">
      <c r="A155" s="1">
        <v>327</v>
      </c>
      <c r="B155" s="1" t="s">
        <v>9219</v>
      </c>
      <c r="C155" s="1" t="s">
        <v>9213</v>
      </c>
      <c r="D155" s="1" t="s">
        <v>574</v>
      </c>
      <c r="E155" s="1" t="s">
        <v>583</v>
      </c>
      <c r="F155" s="1" t="s">
        <v>560</v>
      </c>
      <c r="G155" s="1" t="s">
        <v>561</v>
      </c>
      <c r="H155" s="1" t="str">
        <f t="shared" si="8"/>
        <v/>
      </c>
      <c r="I155" s="1" t="str">
        <f t="shared" si="9"/>
        <v/>
      </c>
      <c r="J155" s="1" t="str">
        <f t="shared" si="10"/>
        <v>接口{#IFNAME}({#IFALIAS}): 出方向错误率高了(&gt;{$IF.ERRORS.WARN: "{#IFNAME}"}达5分钟)</v>
      </c>
      <c r="K155" s="1" t="str">
        <f t="shared" si="11"/>
        <v/>
      </c>
    </row>
    <row r="156" spans="1:11">
      <c r="A156" s="1">
        <v>328</v>
      </c>
      <c r="B156" s="1" t="s">
        <v>9219</v>
      </c>
      <c r="C156" s="1" t="s">
        <v>9214</v>
      </c>
      <c r="D156" s="1" t="s">
        <v>574</v>
      </c>
      <c r="E156" s="1" t="s">
        <v>585</v>
      </c>
      <c r="F156" s="1" t="s">
        <v>169</v>
      </c>
      <c r="G156" s="1" t="s">
        <v>170</v>
      </c>
      <c r="H156" s="1" t="str">
        <f t="shared" si="8"/>
        <v/>
      </c>
      <c r="I156" s="1" t="str">
        <f t="shared" si="9"/>
        <v/>
      </c>
      <c r="J156" s="1" t="str">
        <f t="shared" si="10"/>
        <v>{#ENT_NAME}: 设备已更换(收到新序列号)</v>
      </c>
      <c r="K156" s="1" t="str">
        <f t="shared" si="11"/>
        <v/>
      </c>
    </row>
    <row r="157" spans="1:11">
      <c r="A157" s="1">
        <v>331</v>
      </c>
      <c r="B157" s="1" t="s">
        <v>9219</v>
      </c>
      <c r="C157" s="1" t="s">
        <v>9215</v>
      </c>
      <c r="D157" s="1" t="s">
        <v>574</v>
      </c>
      <c r="E157" s="1" t="s">
        <v>587</v>
      </c>
      <c r="F157" s="1" t="s">
        <v>566</v>
      </c>
      <c r="G157" s="1" t="s">
        <v>532</v>
      </c>
      <c r="H157" s="1" t="str">
        <f t="shared" si="8"/>
        <v/>
      </c>
      <c r="I157" s="1" t="str">
        <f t="shared" si="9"/>
        <v/>
      </c>
      <c r="J157" s="1" t="str">
        <f t="shared" si="10"/>
        <v>{#SNMPVALUE}: 内存利用率高了(&gt;{$MEMORY.UTIL.MAX}%达5分钟)</v>
      </c>
      <c r="K157" s="1" t="str">
        <f t="shared" si="11"/>
        <v/>
      </c>
    </row>
    <row r="158" spans="1:11">
      <c r="A158" s="1">
        <v>334</v>
      </c>
      <c r="B158" s="1" t="s">
        <v>9219</v>
      </c>
      <c r="C158" s="1" t="s">
        <v>9216</v>
      </c>
      <c r="D158" s="1" t="s">
        <v>574</v>
      </c>
      <c r="E158" s="1" t="s">
        <v>589</v>
      </c>
      <c r="F158" s="1" t="s">
        <v>173</v>
      </c>
      <c r="G158" s="1" t="s">
        <v>174</v>
      </c>
      <c r="H158" s="1" t="str">
        <f t="shared" si="8"/>
        <v/>
      </c>
      <c r="I158" s="1" t="str">
        <f t="shared" si="9"/>
        <v/>
      </c>
      <c r="J158" s="1" t="str">
        <f t="shared" si="10"/>
        <v>{#SNMPVALUE}: 温度高于临界阈值: &gt;{$TEMP_CRIT: "{#SNMPVALUE}"}</v>
      </c>
      <c r="K158" s="1" t="str">
        <f t="shared" si="11"/>
        <v/>
      </c>
    </row>
    <row r="159" spans="1:11">
      <c r="A159" s="1">
        <v>335</v>
      </c>
      <c r="B159" s="1" t="s">
        <v>9219</v>
      </c>
      <c r="C159" s="1" t="s">
        <v>9217</v>
      </c>
      <c r="D159" s="1" t="s">
        <v>574</v>
      </c>
      <c r="E159" s="1" t="s">
        <v>591</v>
      </c>
      <c r="F159" s="1" t="s">
        <v>177</v>
      </c>
      <c r="G159" s="1" t="s">
        <v>178</v>
      </c>
      <c r="H159" s="1" t="str">
        <f t="shared" si="8"/>
        <v/>
      </c>
      <c r="I159" s="1" t="str">
        <f t="shared" si="9"/>
        <v/>
      </c>
      <c r="J159" s="1" t="str">
        <f t="shared" si="10"/>
        <v>{#SNMPVALUE}: 温度高于告警阈值: &gt;{$TEMP_WARN: "{#SNMPVALUE}"}</v>
      </c>
      <c r="K159" s="1" t="str">
        <f t="shared" si="11"/>
        <v/>
      </c>
    </row>
    <row r="160" spans="1:11">
      <c r="A160" s="1">
        <v>336</v>
      </c>
      <c r="B160" s="1" t="s">
        <v>9219</v>
      </c>
      <c r="C160" s="1" t="s">
        <v>9218</v>
      </c>
      <c r="D160" s="1" t="s">
        <v>574</v>
      </c>
      <c r="E160" s="1" t="s">
        <v>593</v>
      </c>
      <c r="F160" s="1" t="s">
        <v>181</v>
      </c>
      <c r="G160" s="1" t="s">
        <v>182</v>
      </c>
      <c r="H160" s="1" t="str">
        <f t="shared" si="8"/>
        <v/>
      </c>
      <c r="I160" s="1" t="str">
        <f t="shared" si="9"/>
        <v/>
      </c>
      <c r="J160" s="1" t="str">
        <f t="shared" si="10"/>
        <v>{#SNMPVALUE}: 温度太低: &lt;{$TEMP_CRIT_LOW: "{#SNMPVALUE}"}</v>
      </c>
      <c r="K160" s="1" t="str">
        <f t="shared" si="11"/>
        <v/>
      </c>
    </row>
    <row r="161" spans="1:11">
      <c r="A161" s="1">
        <v>339</v>
      </c>
      <c r="B161" s="1" t="s">
        <v>9220</v>
      </c>
      <c r="C161" s="1" t="s">
        <v>9209</v>
      </c>
      <c r="D161" s="1" t="s">
        <v>595</v>
      </c>
      <c r="E161" s="1" t="s">
        <v>596</v>
      </c>
      <c r="F161" s="1" t="s">
        <v>541</v>
      </c>
      <c r="G161" s="1" t="s">
        <v>542</v>
      </c>
      <c r="H161" s="1" t="str">
        <f t="shared" si="8"/>
        <v/>
      </c>
      <c r="I161" s="1" t="str">
        <f t="shared" si="9"/>
        <v/>
      </c>
      <c r="J161" s="1" t="str">
        <f t="shared" si="10"/>
        <v>#{#SNMPINDEX}: CPU使用率高了(超过{$CPU.UTIL.CRIT}%达5分钟)</v>
      </c>
      <c r="K161" s="1" t="str">
        <f t="shared" si="11"/>
        <v/>
      </c>
    </row>
    <row r="162" spans="1:11">
      <c r="A162" s="1">
        <v>340</v>
      </c>
      <c r="B162" s="1" t="s">
        <v>9220</v>
      </c>
      <c r="C162" s="1" t="s">
        <v>9210</v>
      </c>
      <c r="D162" s="1" t="s">
        <v>595</v>
      </c>
      <c r="E162" s="1" t="s">
        <v>598</v>
      </c>
      <c r="F162" s="1" t="s">
        <v>548</v>
      </c>
      <c r="G162" s="1" t="s">
        <v>549</v>
      </c>
      <c r="H162" s="1" t="str">
        <f t="shared" si="8"/>
        <v/>
      </c>
      <c r="I162" s="1" t="str">
        <f t="shared" si="9"/>
        <v/>
      </c>
      <c r="J162" s="1" t="str">
        <f t="shared" si="10"/>
        <v>接口{#IFNAME}({#IFALIAS}): 入方向带宽使用率高了(&gt;{$IF.UTIL.MAX: "{#IFNAME}"}%)</v>
      </c>
      <c r="K162" s="1" t="str">
        <f t="shared" si="11"/>
        <v/>
      </c>
    </row>
    <row r="163" spans="1:11">
      <c r="A163" s="1">
        <v>341</v>
      </c>
      <c r="B163" s="1" t="s">
        <v>9220</v>
      </c>
      <c r="C163" s="1" t="s">
        <v>9211</v>
      </c>
      <c r="D163" s="1" t="s">
        <v>595</v>
      </c>
      <c r="E163" s="1" t="s">
        <v>600</v>
      </c>
      <c r="F163" s="1" t="s">
        <v>552</v>
      </c>
      <c r="G163" s="1" t="s">
        <v>553</v>
      </c>
      <c r="H163" s="1" t="str">
        <f t="shared" si="8"/>
        <v/>
      </c>
      <c r="I163" s="1" t="str">
        <f t="shared" si="9"/>
        <v/>
      </c>
      <c r="J163" s="1" t="str">
        <f t="shared" si="10"/>
        <v>接口{#IFNAME}({#IFALIAS}): 出方向带宽使用率高了(&gt;{$IF.UTIL.MAX: "{#IFNAME}"}%)</v>
      </c>
      <c r="K163" s="1" t="str">
        <f t="shared" si="11"/>
        <v/>
      </c>
    </row>
    <row r="164" spans="1:11">
      <c r="A164" s="1">
        <v>343</v>
      </c>
      <c r="B164" s="1" t="s">
        <v>9220</v>
      </c>
      <c r="C164" s="1" t="s">
        <v>9212</v>
      </c>
      <c r="D164" s="1" t="s">
        <v>595</v>
      </c>
      <c r="E164" s="1" t="s">
        <v>602</v>
      </c>
      <c r="F164" s="1" t="s">
        <v>556</v>
      </c>
      <c r="G164" s="1" t="s">
        <v>557</v>
      </c>
      <c r="H164" s="1" t="str">
        <f t="shared" si="8"/>
        <v/>
      </c>
      <c r="I164" s="1" t="str">
        <f t="shared" si="9"/>
        <v/>
      </c>
      <c r="J164" s="1" t="str">
        <f t="shared" si="10"/>
        <v>接口{#IFNAME}({#IFALIAS}): 入方向错误率高了(&gt;{$IF.ERRORS.WARN: "{#IFNAME}"}达5分钟)</v>
      </c>
      <c r="K164" s="1" t="str">
        <f t="shared" si="11"/>
        <v/>
      </c>
    </row>
    <row r="165" spans="1:11">
      <c r="A165" s="1">
        <v>346</v>
      </c>
      <c r="B165" s="1" t="s">
        <v>9220</v>
      </c>
      <c r="C165" s="1" t="s">
        <v>9213</v>
      </c>
      <c r="D165" s="1" t="s">
        <v>595</v>
      </c>
      <c r="E165" s="1" t="s">
        <v>604</v>
      </c>
      <c r="F165" s="1" t="s">
        <v>560</v>
      </c>
      <c r="G165" s="1" t="s">
        <v>561</v>
      </c>
      <c r="H165" s="1" t="str">
        <f t="shared" si="8"/>
        <v/>
      </c>
      <c r="I165" s="1" t="str">
        <f t="shared" si="9"/>
        <v/>
      </c>
      <c r="J165" s="1" t="str">
        <f t="shared" si="10"/>
        <v>接口{#IFNAME}({#IFALIAS}): 出方向错误率高了(&gt;{$IF.ERRORS.WARN: "{#IFNAME}"}达5分钟)</v>
      </c>
      <c r="K165" s="1" t="str">
        <f t="shared" si="11"/>
        <v/>
      </c>
    </row>
    <row r="166" spans="1:11">
      <c r="A166" s="1">
        <v>347</v>
      </c>
      <c r="B166" s="1" t="s">
        <v>9220</v>
      </c>
      <c r="C166" s="1" t="s">
        <v>9214</v>
      </c>
      <c r="D166" s="1" t="s">
        <v>595</v>
      </c>
      <c r="E166" s="1" t="s">
        <v>606</v>
      </c>
      <c r="F166" s="1" t="s">
        <v>169</v>
      </c>
      <c r="G166" s="1" t="s">
        <v>170</v>
      </c>
      <c r="H166" s="1" t="str">
        <f t="shared" si="8"/>
        <v/>
      </c>
      <c r="I166" s="1" t="str">
        <f t="shared" si="9"/>
        <v/>
      </c>
      <c r="J166" s="1" t="str">
        <f t="shared" si="10"/>
        <v>{#ENT_NAME}: 设备已更换(收到新序列号)</v>
      </c>
      <c r="K166" s="1" t="str">
        <f t="shared" si="11"/>
        <v/>
      </c>
    </row>
    <row r="167" spans="1:11">
      <c r="A167" s="1">
        <v>350</v>
      </c>
      <c r="B167" s="1" t="s">
        <v>9220</v>
      </c>
      <c r="C167" s="1" t="s">
        <v>9215</v>
      </c>
      <c r="D167" s="1" t="s">
        <v>595</v>
      </c>
      <c r="E167" s="1" t="s">
        <v>608</v>
      </c>
      <c r="F167" s="1" t="s">
        <v>566</v>
      </c>
      <c r="G167" s="1" t="s">
        <v>532</v>
      </c>
      <c r="H167" s="1" t="str">
        <f t="shared" si="8"/>
        <v/>
      </c>
      <c r="I167" s="1" t="str">
        <f t="shared" si="9"/>
        <v/>
      </c>
      <c r="J167" s="1" t="str">
        <f t="shared" si="10"/>
        <v>{#SNMPVALUE}: 内存利用率高了(&gt;{$MEMORY.UTIL.MAX}%达5分钟)</v>
      </c>
      <c r="K167" s="1" t="str">
        <f t="shared" si="11"/>
        <v/>
      </c>
    </row>
    <row r="168" spans="1:11">
      <c r="A168" s="1">
        <v>353</v>
      </c>
      <c r="B168" s="1" t="s">
        <v>9220</v>
      </c>
      <c r="C168" s="1" t="s">
        <v>9216</v>
      </c>
      <c r="D168" s="1" t="s">
        <v>595</v>
      </c>
      <c r="E168" s="1" t="s">
        <v>610</v>
      </c>
      <c r="F168" s="1" t="s">
        <v>173</v>
      </c>
      <c r="G168" s="1" t="s">
        <v>174</v>
      </c>
      <c r="H168" s="1" t="str">
        <f t="shared" si="8"/>
        <v/>
      </c>
      <c r="I168" s="1" t="str">
        <f t="shared" si="9"/>
        <v/>
      </c>
      <c r="J168" s="1" t="str">
        <f t="shared" si="10"/>
        <v>{#SNMPVALUE}: 温度高于临界阈值: &gt;{$TEMP_CRIT: "{#SNMPVALUE}"}</v>
      </c>
      <c r="K168" s="1" t="str">
        <f t="shared" si="11"/>
        <v/>
      </c>
    </row>
    <row r="169" spans="1:11">
      <c r="A169" s="1">
        <v>354</v>
      </c>
      <c r="B169" s="1" t="s">
        <v>9220</v>
      </c>
      <c r="C169" s="1" t="s">
        <v>9217</v>
      </c>
      <c r="D169" s="1" t="s">
        <v>595</v>
      </c>
      <c r="E169" s="1" t="s">
        <v>612</v>
      </c>
      <c r="F169" s="1" t="s">
        <v>177</v>
      </c>
      <c r="G169" s="1" t="s">
        <v>178</v>
      </c>
      <c r="H169" s="1" t="str">
        <f t="shared" si="8"/>
        <v/>
      </c>
      <c r="I169" s="1" t="str">
        <f t="shared" si="9"/>
        <v/>
      </c>
      <c r="J169" s="1" t="str">
        <f t="shared" si="10"/>
        <v>{#SNMPVALUE}: 温度高于告警阈值: &gt;{$TEMP_WARN: "{#SNMPVALUE}"}</v>
      </c>
      <c r="K169" s="1" t="str">
        <f t="shared" si="11"/>
        <v/>
      </c>
    </row>
    <row r="170" spans="1:11">
      <c r="A170" s="1">
        <v>355</v>
      </c>
      <c r="B170" s="1" t="s">
        <v>9220</v>
      </c>
      <c r="C170" s="1" t="s">
        <v>9218</v>
      </c>
      <c r="D170" s="1" t="s">
        <v>595</v>
      </c>
      <c r="E170" s="1" t="s">
        <v>614</v>
      </c>
      <c r="F170" s="1" t="s">
        <v>181</v>
      </c>
      <c r="G170" s="1" t="s">
        <v>182</v>
      </c>
      <c r="H170" s="1" t="str">
        <f t="shared" si="8"/>
        <v/>
      </c>
      <c r="I170" s="1" t="str">
        <f t="shared" si="9"/>
        <v/>
      </c>
      <c r="J170" s="1" t="str">
        <f t="shared" si="10"/>
        <v>{#SNMPVALUE}: 温度太低: &lt;{$TEMP_CRIT_LOW: "{#SNMPVALUE}"}</v>
      </c>
      <c r="K170" s="1" t="str">
        <f t="shared" si="11"/>
        <v/>
      </c>
    </row>
    <row r="171" spans="1:11">
      <c r="A171" s="1">
        <v>358</v>
      </c>
      <c r="B171" s="1" t="s">
        <v>9221</v>
      </c>
      <c r="C171" s="1" t="s">
        <v>9209</v>
      </c>
      <c r="D171" s="1" t="s">
        <v>616</v>
      </c>
      <c r="E171" s="1" t="s">
        <v>617</v>
      </c>
      <c r="F171" s="1" t="s">
        <v>541</v>
      </c>
      <c r="G171" s="1" t="s">
        <v>542</v>
      </c>
      <c r="H171" s="1" t="str">
        <f t="shared" si="8"/>
        <v/>
      </c>
      <c r="I171" s="1" t="str">
        <f t="shared" si="9"/>
        <v/>
      </c>
      <c r="J171" s="1" t="str">
        <f t="shared" si="10"/>
        <v>#{#SNMPINDEX}: CPU使用率高了(超过{$CPU.UTIL.CRIT}%达5分钟)</v>
      </c>
      <c r="K171" s="1" t="str">
        <f t="shared" si="11"/>
        <v/>
      </c>
    </row>
    <row r="172" spans="1:11">
      <c r="A172" s="1">
        <v>359</v>
      </c>
      <c r="B172" s="1" t="s">
        <v>9221</v>
      </c>
      <c r="C172" s="1" t="s">
        <v>9210</v>
      </c>
      <c r="D172" s="1" t="s">
        <v>616</v>
      </c>
      <c r="E172" s="1" t="s">
        <v>619</v>
      </c>
      <c r="F172" s="1" t="s">
        <v>548</v>
      </c>
      <c r="G172" s="1" t="s">
        <v>549</v>
      </c>
      <c r="H172" s="1" t="str">
        <f t="shared" si="8"/>
        <v/>
      </c>
      <c r="I172" s="1" t="str">
        <f t="shared" si="9"/>
        <v/>
      </c>
      <c r="J172" s="1" t="str">
        <f t="shared" si="10"/>
        <v>接口{#IFNAME}({#IFALIAS}): 入方向带宽使用率高了(&gt;{$IF.UTIL.MAX: "{#IFNAME}"}%)</v>
      </c>
      <c r="K172" s="1" t="str">
        <f t="shared" si="11"/>
        <v/>
      </c>
    </row>
    <row r="173" spans="1:11">
      <c r="A173" s="1">
        <v>360</v>
      </c>
      <c r="B173" s="1" t="s">
        <v>9221</v>
      </c>
      <c r="C173" s="1" t="s">
        <v>9211</v>
      </c>
      <c r="D173" s="1" t="s">
        <v>616</v>
      </c>
      <c r="E173" s="1" t="s">
        <v>621</v>
      </c>
      <c r="F173" s="1" t="s">
        <v>552</v>
      </c>
      <c r="G173" s="1" t="s">
        <v>553</v>
      </c>
      <c r="H173" s="1" t="str">
        <f t="shared" si="8"/>
        <v/>
      </c>
      <c r="I173" s="1" t="str">
        <f t="shared" si="9"/>
        <v/>
      </c>
      <c r="J173" s="1" t="str">
        <f t="shared" si="10"/>
        <v>接口{#IFNAME}({#IFALIAS}): 出方向带宽使用率高了(&gt;{$IF.UTIL.MAX: "{#IFNAME}"}%)</v>
      </c>
      <c r="K173" s="1" t="str">
        <f t="shared" si="11"/>
        <v/>
      </c>
    </row>
    <row r="174" spans="1:11">
      <c r="A174" s="1">
        <v>362</v>
      </c>
      <c r="B174" s="1" t="s">
        <v>9221</v>
      </c>
      <c r="C174" s="1" t="s">
        <v>9212</v>
      </c>
      <c r="D174" s="1" t="s">
        <v>616</v>
      </c>
      <c r="E174" s="1" t="s">
        <v>623</v>
      </c>
      <c r="F174" s="1" t="s">
        <v>556</v>
      </c>
      <c r="G174" s="1" t="s">
        <v>557</v>
      </c>
      <c r="H174" s="1" t="str">
        <f t="shared" si="8"/>
        <v/>
      </c>
      <c r="I174" s="1" t="str">
        <f t="shared" si="9"/>
        <v/>
      </c>
      <c r="J174" s="1" t="str">
        <f t="shared" si="10"/>
        <v>接口{#IFNAME}({#IFALIAS}): 入方向错误率高了(&gt;{$IF.ERRORS.WARN: "{#IFNAME}"}达5分钟)</v>
      </c>
      <c r="K174" s="1" t="str">
        <f t="shared" si="11"/>
        <v/>
      </c>
    </row>
    <row r="175" spans="1:11">
      <c r="A175" s="1">
        <v>365</v>
      </c>
      <c r="B175" s="1" t="s">
        <v>9221</v>
      </c>
      <c r="C175" s="1" t="s">
        <v>9213</v>
      </c>
      <c r="D175" s="1" t="s">
        <v>616</v>
      </c>
      <c r="E175" s="1" t="s">
        <v>625</v>
      </c>
      <c r="F175" s="1" t="s">
        <v>560</v>
      </c>
      <c r="G175" s="1" t="s">
        <v>561</v>
      </c>
      <c r="H175" s="1" t="str">
        <f t="shared" si="8"/>
        <v/>
      </c>
      <c r="I175" s="1" t="str">
        <f t="shared" si="9"/>
        <v/>
      </c>
      <c r="J175" s="1" t="str">
        <f t="shared" si="10"/>
        <v>接口{#IFNAME}({#IFALIAS}): 出方向错误率高了(&gt;{$IF.ERRORS.WARN: "{#IFNAME}"}达5分钟)</v>
      </c>
      <c r="K175" s="1" t="str">
        <f t="shared" si="11"/>
        <v/>
      </c>
    </row>
    <row r="176" spans="1:11">
      <c r="A176" s="1">
        <v>366</v>
      </c>
      <c r="B176" s="1" t="s">
        <v>9221</v>
      </c>
      <c r="C176" s="1" t="s">
        <v>9214</v>
      </c>
      <c r="D176" s="1" t="s">
        <v>616</v>
      </c>
      <c r="E176" s="1" t="s">
        <v>627</v>
      </c>
      <c r="F176" s="1" t="s">
        <v>169</v>
      </c>
      <c r="G176" s="1" t="s">
        <v>170</v>
      </c>
      <c r="H176" s="1" t="str">
        <f t="shared" si="8"/>
        <v/>
      </c>
      <c r="I176" s="1" t="str">
        <f t="shared" si="9"/>
        <v/>
      </c>
      <c r="J176" s="1" t="str">
        <f t="shared" si="10"/>
        <v>{#ENT_NAME}: 设备已更换(收到新序列号)</v>
      </c>
      <c r="K176" s="1" t="str">
        <f t="shared" si="11"/>
        <v/>
      </c>
    </row>
    <row r="177" spans="1:11">
      <c r="A177" s="1">
        <v>369</v>
      </c>
      <c r="B177" s="1" t="s">
        <v>9221</v>
      </c>
      <c r="C177" s="1" t="s">
        <v>9215</v>
      </c>
      <c r="D177" s="1" t="s">
        <v>616</v>
      </c>
      <c r="E177" s="1" t="s">
        <v>629</v>
      </c>
      <c r="F177" s="1" t="s">
        <v>566</v>
      </c>
      <c r="G177" s="1" t="s">
        <v>532</v>
      </c>
      <c r="H177" s="1" t="str">
        <f t="shared" si="8"/>
        <v/>
      </c>
      <c r="I177" s="1" t="str">
        <f t="shared" si="9"/>
        <v/>
      </c>
      <c r="J177" s="1" t="str">
        <f t="shared" si="10"/>
        <v>{#SNMPVALUE}: 内存利用率高了(&gt;{$MEMORY.UTIL.MAX}%达5分钟)</v>
      </c>
      <c r="K177" s="1" t="str">
        <f t="shared" si="11"/>
        <v/>
      </c>
    </row>
    <row r="178" spans="1:11">
      <c r="A178" s="1">
        <v>372</v>
      </c>
      <c r="B178" s="1" t="s">
        <v>9221</v>
      </c>
      <c r="C178" s="1" t="s">
        <v>9216</v>
      </c>
      <c r="D178" s="1" t="s">
        <v>616</v>
      </c>
      <c r="E178" s="1" t="s">
        <v>631</v>
      </c>
      <c r="F178" s="1" t="s">
        <v>173</v>
      </c>
      <c r="G178" s="1" t="s">
        <v>174</v>
      </c>
      <c r="H178" s="1" t="str">
        <f t="shared" si="8"/>
        <v/>
      </c>
      <c r="I178" s="1" t="str">
        <f t="shared" si="9"/>
        <v/>
      </c>
      <c r="J178" s="1" t="str">
        <f t="shared" si="10"/>
        <v>{#SNMPVALUE}: 温度高于临界阈值: &gt;{$TEMP_CRIT: "{#SNMPVALUE}"}</v>
      </c>
      <c r="K178" s="1" t="str">
        <f t="shared" si="11"/>
        <v/>
      </c>
    </row>
    <row r="179" spans="1:11">
      <c r="A179" s="1">
        <v>373</v>
      </c>
      <c r="B179" s="1" t="s">
        <v>9221</v>
      </c>
      <c r="C179" s="1" t="s">
        <v>9217</v>
      </c>
      <c r="D179" s="1" t="s">
        <v>616</v>
      </c>
      <c r="E179" s="1" t="s">
        <v>633</v>
      </c>
      <c r="F179" s="1" t="s">
        <v>177</v>
      </c>
      <c r="G179" s="1" t="s">
        <v>178</v>
      </c>
      <c r="H179" s="1" t="str">
        <f t="shared" si="8"/>
        <v/>
      </c>
      <c r="I179" s="1" t="str">
        <f t="shared" si="9"/>
        <v/>
      </c>
      <c r="J179" s="1" t="str">
        <f t="shared" si="10"/>
        <v>{#SNMPVALUE}: 温度高于告警阈值: &gt;{$TEMP_WARN: "{#SNMPVALUE}"}</v>
      </c>
      <c r="K179" s="1" t="str">
        <f t="shared" si="11"/>
        <v/>
      </c>
    </row>
    <row r="180" spans="1:11">
      <c r="A180" s="1">
        <v>374</v>
      </c>
      <c r="B180" s="1" t="s">
        <v>9221</v>
      </c>
      <c r="C180" s="1" t="s">
        <v>9218</v>
      </c>
      <c r="D180" s="1" t="s">
        <v>616</v>
      </c>
      <c r="E180" s="1" t="s">
        <v>635</v>
      </c>
      <c r="F180" s="1" t="s">
        <v>181</v>
      </c>
      <c r="G180" s="1" t="s">
        <v>182</v>
      </c>
      <c r="H180" s="1" t="str">
        <f t="shared" si="8"/>
        <v/>
      </c>
      <c r="I180" s="1" t="str">
        <f t="shared" si="9"/>
        <v/>
      </c>
      <c r="J180" s="1" t="str">
        <f t="shared" si="10"/>
        <v>{#SNMPVALUE}: 温度太低: &lt;{$TEMP_CRIT_LOW: "{#SNMPVALUE}"}</v>
      </c>
      <c r="K180" s="1" t="str">
        <f t="shared" si="11"/>
        <v/>
      </c>
    </row>
    <row r="181" spans="1:11">
      <c r="A181" s="1">
        <v>377</v>
      </c>
      <c r="B181" s="1" t="s">
        <v>9222</v>
      </c>
      <c r="C181" s="1" t="s">
        <v>9209</v>
      </c>
      <c r="D181" s="1" t="s">
        <v>637</v>
      </c>
      <c r="E181" s="1" t="s">
        <v>638</v>
      </c>
      <c r="F181" s="1" t="s">
        <v>541</v>
      </c>
      <c r="G181" s="1" t="s">
        <v>542</v>
      </c>
      <c r="H181" s="1" t="str">
        <f t="shared" si="8"/>
        <v/>
      </c>
      <c r="I181" s="1" t="str">
        <f t="shared" si="9"/>
        <v/>
      </c>
      <c r="J181" s="1" t="str">
        <f t="shared" si="10"/>
        <v>#{#SNMPINDEX}: CPU使用率高了(超过{$CPU.UTIL.CRIT}%达5分钟)</v>
      </c>
      <c r="K181" s="1" t="str">
        <f t="shared" si="11"/>
        <v/>
      </c>
    </row>
    <row r="182" spans="1:11">
      <c r="A182" s="1">
        <v>378</v>
      </c>
      <c r="B182" s="1" t="s">
        <v>9222</v>
      </c>
      <c r="C182" s="1" t="s">
        <v>9210</v>
      </c>
      <c r="D182" s="1" t="s">
        <v>637</v>
      </c>
      <c r="E182" s="1" t="s">
        <v>640</v>
      </c>
      <c r="F182" s="1" t="s">
        <v>548</v>
      </c>
      <c r="G182" s="1" t="s">
        <v>549</v>
      </c>
      <c r="H182" s="1" t="str">
        <f t="shared" si="8"/>
        <v/>
      </c>
      <c r="I182" s="1" t="str">
        <f t="shared" si="9"/>
        <v/>
      </c>
      <c r="J182" s="1" t="str">
        <f t="shared" si="10"/>
        <v>接口{#IFNAME}({#IFALIAS}): 入方向带宽使用率高了(&gt;{$IF.UTIL.MAX: "{#IFNAME}"}%)</v>
      </c>
      <c r="K182" s="1" t="str">
        <f t="shared" si="11"/>
        <v/>
      </c>
    </row>
    <row r="183" spans="1:11">
      <c r="A183" s="1">
        <v>379</v>
      </c>
      <c r="B183" s="1" t="s">
        <v>9222</v>
      </c>
      <c r="C183" s="1" t="s">
        <v>9211</v>
      </c>
      <c r="D183" s="1" t="s">
        <v>637</v>
      </c>
      <c r="E183" s="1" t="s">
        <v>642</v>
      </c>
      <c r="F183" s="1" t="s">
        <v>552</v>
      </c>
      <c r="G183" s="1" t="s">
        <v>553</v>
      </c>
      <c r="H183" s="1" t="str">
        <f t="shared" si="8"/>
        <v/>
      </c>
      <c r="I183" s="1" t="str">
        <f t="shared" si="9"/>
        <v/>
      </c>
      <c r="J183" s="1" t="str">
        <f t="shared" si="10"/>
        <v>接口{#IFNAME}({#IFALIAS}): 出方向带宽使用率高了(&gt;{$IF.UTIL.MAX: "{#IFNAME}"}%)</v>
      </c>
      <c r="K183" s="1" t="str">
        <f t="shared" si="11"/>
        <v/>
      </c>
    </row>
    <row r="184" spans="1:11">
      <c r="A184" s="1">
        <v>381</v>
      </c>
      <c r="B184" s="1" t="s">
        <v>9222</v>
      </c>
      <c r="C184" s="1" t="s">
        <v>9212</v>
      </c>
      <c r="D184" s="1" t="s">
        <v>637</v>
      </c>
      <c r="E184" s="1" t="s">
        <v>644</v>
      </c>
      <c r="F184" s="1" t="s">
        <v>556</v>
      </c>
      <c r="G184" s="1" t="s">
        <v>557</v>
      </c>
      <c r="H184" s="1" t="str">
        <f t="shared" si="8"/>
        <v/>
      </c>
      <c r="I184" s="1" t="str">
        <f t="shared" si="9"/>
        <v/>
      </c>
      <c r="J184" s="1" t="str">
        <f t="shared" si="10"/>
        <v>接口{#IFNAME}({#IFALIAS}): 入方向错误率高了(&gt;{$IF.ERRORS.WARN: "{#IFNAME}"}达5分钟)</v>
      </c>
      <c r="K184" s="1" t="str">
        <f t="shared" si="11"/>
        <v/>
      </c>
    </row>
    <row r="185" spans="1:11">
      <c r="A185" s="1">
        <v>384</v>
      </c>
      <c r="B185" s="1" t="s">
        <v>9222</v>
      </c>
      <c r="C185" s="1" t="s">
        <v>9213</v>
      </c>
      <c r="D185" s="1" t="s">
        <v>637</v>
      </c>
      <c r="E185" s="1" t="s">
        <v>646</v>
      </c>
      <c r="F185" s="1" t="s">
        <v>560</v>
      </c>
      <c r="G185" s="1" t="s">
        <v>561</v>
      </c>
      <c r="H185" s="1" t="str">
        <f t="shared" si="8"/>
        <v/>
      </c>
      <c r="I185" s="1" t="str">
        <f t="shared" si="9"/>
        <v/>
      </c>
      <c r="J185" s="1" t="str">
        <f t="shared" si="10"/>
        <v>接口{#IFNAME}({#IFALIAS}): 出方向错误率高了(&gt;{$IF.ERRORS.WARN: "{#IFNAME}"}达5分钟)</v>
      </c>
      <c r="K185" s="1" t="str">
        <f t="shared" si="11"/>
        <v/>
      </c>
    </row>
    <row r="186" spans="1:11">
      <c r="A186" s="1">
        <v>385</v>
      </c>
      <c r="B186" s="1" t="s">
        <v>9222</v>
      </c>
      <c r="C186" s="1" t="s">
        <v>9214</v>
      </c>
      <c r="D186" s="1" t="s">
        <v>637</v>
      </c>
      <c r="E186" s="1" t="s">
        <v>648</v>
      </c>
      <c r="F186" s="1" t="s">
        <v>169</v>
      </c>
      <c r="G186" s="1" t="s">
        <v>170</v>
      </c>
      <c r="H186" s="1" t="str">
        <f t="shared" si="8"/>
        <v/>
      </c>
      <c r="I186" s="1" t="str">
        <f t="shared" si="9"/>
        <v/>
      </c>
      <c r="J186" s="1" t="str">
        <f t="shared" si="10"/>
        <v>{#ENT_NAME}: 设备已更换(收到新序列号)</v>
      </c>
      <c r="K186" s="1" t="str">
        <f t="shared" si="11"/>
        <v/>
      </c>
    </row>
    <row r="187" spans="1:11">
      <c r="A187" s="1">
        <v>388</v>
      </c>
      <c r="B187" s="1" t="s">
        <v>9222</v>
      </c>
      <c r="C187" s="1" t="s">
        <v>9215</v>
      </c>
      <c r="D187" s="1" t="s">
        <v>637</v>
      </c>
      <c r="E187" s="1" t="s">
        <v>650</v>
      </c>
      <c r="F187" s="1" t="s">
        <v>566</v>
      </c>
      <c r="G187" s="1" t="s">
        <v>532</v>
      </c>
      <c r="H187" s="1" t="str">
        <f t="shared" si="8"/>
        <v/>
      </c>
      <c r="I187" s="1" t="str">
        <f t="shared" si="9"/>
        <v/>
      </c>
      <c r="J187" s="1" t="str">
        <f t="shared" si="10"/>
        <v>{#SNMPVALUE}: 内存利用率高了(&gt;{$MEMORY.UTIL.MAX}%达5分钟)</v>
      </c>
      <c r="K187" s="1" t="str">
        <f t="shared" si="11"/>
        <v/>
      </c>
    </row>
    <row r="188" spans="1:11">
      <c r="A188" s="1">
        <v>391</v>
      </c>
      <c r="B188" s="1" t="s">
        <v>9222</v>
      </c>
      <c r="C188" s="1" t="s">
        <v>9216</v>
      </c>
      <c r="D188" s="1" t="s">
        <v>637</v>
      </c>
      <c r="E188" s="1" t="s">
        <v>652</v>
      </c>
      <c r="F188" s="1" t="s">
        <v>173</v>
      </c>
      <c r="G188" s="1" t="s">
        <v>174</v>
      </c>
      <c r="H188" s="1" t="str">
        <f t="shared" si="8"/>
        <v/>
      </c>
      <c r="I188" s="1" t="str">
        <f t="shared" si="9"/>
        <v/>
      </c>
      <c r="J188" s="1" t="str">
        <f t="shared" si="10"/>
        <v>{#SNMPVALUE}: 温度高于临界阈值: &gt;{$TEMP_CRIT: "{#SNMPVALUE}"}</v>
      </c>
      <c r="K188" s="1" t="str">
        <f t="shared" si="11"/>
        <v/>
      </c>
    </row>
    <row r="189" spans="1:11">
      <c r="A189" s="1">
        <v>392</v>
      </c>
      <c r="B189" s="1" t="s">
        <v>9222</v>
      </c>
      <c r="C189" s="1" t="s">
        <v>9217</v>
      </c>
      <c r="D189" s="1" t="s">
        <v>637</v>
      </c>
      <c r="E189" s="1" t="s">
        <v>654</v>
      </c>
      <c r="F189" s="1" t="s">
        <v>177</v>
      </c>
      <c r="G189" s="1" t="s">
        <v>178</v>
      </c>
      <c r="H189" s="1" t="str">
        <f t="shared" si="8"/>
        <v/>
      </c>
      <c r="I189" s="1" t="str">
        <f t="shared" si="9"/>
        <v/>
      </c>
      <c r="J189" s="1" t="str">
        <f t="shared" si="10"/>
        <v>{#SNMPVALUE}: 温度高于告警阈值: &gt;{$TEMP_WARN: "{#SNMPVALUE}"}</v>
      </c>
      <c r="K189" s="1" t="str">
        <f t="shared" si="11"/>
        <v/>
      </c>
    </row>
    <row r="190" spans="1:11">
      <c r="A190" s="1">
        <v>393</v>
      </c>
      <c r="B190" s="1" t="s">
        <v>9222</v>
      </c>
      <c r="C190" s="1" t="s">
        <v>9218</v>
      </c>
      <c r="D190" s="1" t="s">
        <v>637</v>
      </c>
      <c r="E190" s="1" t="s">
        <v>656</v>
      </c>
      <c r="F190" s="1" t="s">
        <v>181</v>
      </c>
      <c r="G190" s="1" t="s">
        <v>182</v>
      </c>
      <c r="H190" s="1" t="str">
        <f t="shared" si="8"/>
        <v/>
      </c>
      <c r="I190" s="1" t="str">
        <f t="shared" si="9"/>
        <v/>
      </c>
      <c r="J190" s="1" t="str">
        <f t="shared" si="10"/>
        <v>{#SNMPVALUE}: 温度太低: &lt;{$TEMP_CRIT_LOW: "{#SNMPVALUE}"}</v>
      </c>
      <c r="K190" s="1" t="str">
        <f t="shared" si="11"/>
        <v/>
      </c>
    </row>
    <row r="191" spans="1:11">
      <c r="A191" s="1">
        <v>396</v>
      </c>
      <c r="B191" s="1" t="s">
        <v>9223</v>
      </c>
      <c r="C191" s="1" t="s">
        <v>9182</v>
      </c>
      <c r="D191" s="1" t="s">
        <v>658</v>
      </c>
      <c r="E191" s="1" t="s">
        <v>659</v>
      </c>
      <c r="F191" s="1" t="s">
        <v>541</v>
      </c>
      <c r="G191" s="1" t="s">
        <v>542</v>
      </c>
      <c r="H191" s="1" t="str">
        <f t="shared" si="8"/>
        <v/>
      </c>
      <c r="I191" s="1" t="str">
        <f t="shared" si="9"/>
        <v/>
      </c>
      <c r="J191" s="1" t="str">
        <f t="shared" si="10"/>
        <v>#{#SNMPINDEX}: CPU使用率高了(超过{$CPU.UTIL.CRIT}%达5分钟)</v>
      </c>
      <c r="K191" s="1" t="str">
        <f t="shared" si="11"/>
        <v/>
      </c>
    </row>
    <row r="192" spans="1:11">
      <c r="A192" s="1">
        <v>397</v>
      </c>
      <c r="B192" s="1" t="s">
        <v>9223</v>
      </c>
      <c r="C192" s="1" t="s">
        <v>9224</v>
      </c>
      <c r="D192" s="1" t="s">
        <v>658</v>
      </c>
      <c r="E192" s="1" t="s">
        <v>661</v>
      </c>
      <c r="F192" s="1" t="s">
        <v>161</v>
      </c>
      <c r="G192" s="1" t="s">
        <v>162</v>
      </c>
      <c r="H192" s="1" t="str">
        <f t="shared" si="8"/>
        <v/>
      </c>
      <c r="I192" s="1" t="str">
        <f t="shared" si="9"/>
        <v/>
      </c>
      <c r="J192" s="1" t="str">
        <f t="shared" si="10"/>
        <v>接口{#IFNAME}({#IFALIAS}): 带宽使用率太高(&gt;{$IF.UTIL.MAX: "{#IFNAME}"}%)</v>
      </c>
      <c r="K192" s="1" t="str">
        <f t="shared" si="11"/>
        <v/>
      </c>
    </row>
    <row r="193" spans="1:11">
      <c r="A193" s="1">
        <v>399</v>
      </c>
      <c r="B193" s="1" t="s">
        <v>9223</v>
      </c>
      <c r="C193" s="1" t="s">
        <v>9188</v>
      </c>
      <c r="D193" s="1" t="s">
        <v>658</v>
      </c>
      <c r="E193" s="1" t="s">
        <v>663</v>
      </c>
      <c r="F193" s="1" t="s">
        <v>165</v>
      </c>
      <c r="G193" s="1" t="s">
        <v>166</v>
      </c>
      <c r="H193" s="1" t="str">
        <f t="shared" si="8"/>
        <v/>
      </c>
      <c r="I193" s="1" t="str">
        <f t="shared" si="9"/>
        <v/>
      </c>
      <c r="J193" s="1" t="str">
        <f t="shared" si="10"/>
        <v>接口{#IFNAME}({#IFALIAS}): 错误率太高(&gt;{$IF.ERRORS.WARN: "{#IFNAME}"}达5分钟)</v>
      </c>
      <c r="K193" s="1" t="str">
        <f t="shared" si="11"/>
        <v/>
      </c>
    </row>
    <row r="194" spans="1:11">
      <c r="A194" s="1">
        <v>402</v>
      </c>
      <c r="B194" s="1" t="s">
        <v>9223</v>
      </c>
      <c r="C194" s="1" t="s">
        <v>9225</v>
      </c>
      <c r="D194" s="1" t="s">
        <v>658</v>
      </c>
      <c r="E194" s="1" t="s">
        <v>665</v>
      </c>
      <c r="F194" s="1" t="s">
        <v>169</v>
      </c>
      <c r="G194" s="1" t="s">
        <v>170</v>
      </c>
      <c r="H194" s="1" t="str">
        <f t="shared" ref="H194:H257" si="12">IFERROR(IF(OR(MID(G194,FIND(":",G194)-1,1)="""",MID(G194,FIND(":",G194)-1,1)="}",MID(G194,FIND(":",G194)-1,1)=")",MID(G194,FIND(":",G194)-1,1)="]"),"",LEFT(F194,FIND(":",F194)-1)),"")</f>
        <v/>
      </c>
      <c r="I194" s="1" t="str">
        <f t="shared" ref="I194:I257" si="13">IFERROR(IF(OR(MID(G194,FIND(":",G194)-1,1)="""",MID(G194,FIND(":",G194)-1,1)="}",MID(G194,FIND(":",G194)-1,1)=")",MID(G194,FIND(":",G194)-1,1)="]"),"",RIGHT(G194,LEN(G194)-FIND(":",G194)-1)),"")</f>
        <v/>
      </c>
      <c r="J194" s="1" t="str">
        <f t="shared" ref="J194:J257" si="14">IF(AND(I194="",H194=""),G194,H194&amp;": "&amp;I194)</f>
        <v>{#ENT_NAME}: 设备已更换(收到新序列号)</v>
      </c>
      <c r="K194" s="1" t="str">
        <f t="shared" ref="K194:K257" si="15">IFERROR(IF(OR(MID(F194,FIND(":",F194)-1,1)="""",MID(F194,FIND(":",F194)-1,1)="}",MID(F194,FIND(":",F194)-1,1)=")",MID(F194,FIND(":",F194)-1,1)="]"),"",RIGHT(F194,LEN(F194)-FIND(":",F194)-1)),"")</f>
        <v/>
      </c>
    </row>
    <row r="195" spans="1:11">
      <c r="A195" s="1">
        <v>407</v>
      </c>
      <c r="B195" s="1" t="s">
        <v>9223</v>
      </c>
      <c r="C195" s="1" t="s">
        <v>9198</v>
      </c>
      <c r="D195" s="1" t="s">
        <v>658</v>
      </c>
      <c r="E195" s="1" t="s">
        <v>667</v>
      </c>
      <c r="F195" s="1" t="s">
        <v>531</v>
      </c>
      <c r="G195" s="1" t="s">
        <v>532</v>
      </c>
      <c r="H195" s="1" t="str">
        <f t="shared" si="12"/>
        <v/>
      </c>
      <c r="I195" s="1" t="str">
        <f t="shared" si="13"/>
        <v/>
      </c>
      <c r="J195" s="1" t="str">
        <f t="shared" si="14"/>
        <v>{#SNMPVALUE}: 内存利用率高了(&gt;{$MEMORY.UTIL.MAX}%达5分钟)</v>
      </c>
      <c r="K195" s="1" t="str">
        <f t="shared" si="15"/>
        <v/>
      </c>
    </row>
    <row r="196" spans="1:11">
      <c r="A196" s="1">
        <v>408</v>
      </c>
      <c r="B196" s="1" t="s">
        <v>9223</v>
      </c>
      <c r="C196" s="1" t="s">
        <v>9201</v>
      </c>
      <c r="D196" s="1" t="s">
        <v>658</v>
      </c>
      <c r="E196" s="1" t="s">
        <v>669</v>
      </c>
      <c r="F196" s="1" t="s">
        <v>173</v>
      </c>
      <c r="G196" s="1" t="s">
        <v>174</v>
      </c>
      <c r="H196" s="1" t="str">
        <f t="shared" si="12"/>
        <v/>
      </c>
      <c r="I196" s="1" t="str">
        <f t="shared" si="13"/>
        <v/>
      </c>
      <c r="J196" s="1" t="str">
        <f t="shared" si="14"/>
        <v>{#SNMPVALUE}: 温度高于临界阈值: &gt;{$TEMP_CRIT: "{#SNMPVALUE}"}</v>
      </c>
      <c r="K196" s="1" t="str">
        <f t="shared" si="15"/>
        <v/>
      </c>
    </row>
    <row r="197" spans="1:11">
      <c r="A197" s="1">
        <v>409</v>
      </c>
      <c r="B197" s="1" t="s">
        <v>9223</v>
      </c>
      <c r="C197" s="1" t="s">
        <v>9204</v>
      </c>
      <c r="D197" s="1" t="s">
        <v>658</v>
      </c>
      <c r="E197" s="1" t="s">
        <v>671</v>
      </c>
      <c r="F197" s="1" t="s">
        <v>177</v>
      </c>
      <c r="G197" s="1" t="s">
        <v>178</v>
      </c>
      <c r="H197" s="1" t="str">
        <f t="shared" si="12"/>
        <v/>
      </c>
      <c r="I197" s="1" t="str">
        <f t="shared" si="13"/>
        <v/>
      </c>
      <c r="J197" s="1" t="str">
        <f t="shared" si="14"/>
        <v>{#SNMPVALUE}: 温度高于告警阈值: &gt;{$TEMP_WARN: "{#SNMPVALUE}"}</v>
      </c>
      <c r="K197" s="1" t="str">
        <f t="shared" si="15"/>
        <v/>
      </c>
    </row>
    <row r="198" spans="1:11">
      <c r="A198" s="1">
        <v>410</v>
      </c>
      <c r="B198" s="1" t="s">
        <v>9223</v>
      </c>
      <c r="C198" s="1" t="s">
        <v>9226</v>
      </c>
      <c r="D198" s="1" t="s">
        <v>658</v>
      </c>
      <c r="E198" s="1" t="s">
        <v>673</v>
      </c>
      <c r="F198" s="1" t="s">
        <v>181</v>
      </c>
      <c r="G198" s="1" t="s">
        <v>182</v>
      </c>
      <c r="H198" s="1" t="str">
        <f t="shared" si="12"/>
        <v/>
      </c>
      <c r="I198" s="1" t="str">
        <f t="shared" si="13"/>
        <v/>
      </c>
      <c r="J198" s="1" t="str">
        <f t="shared" si="14"/>
        <v>{#SNMPVALUE}: 温度太低: &lt;{$TEMP_CRIT_LOW: "{#SNMPVALUE}"}</v>
      </c>
      <c r="K198" s="1" t="str">
        <f t="shared" si="15"/>
        <v/>
      </c>
    </row>
    <row r="199" spans="1:11">
      <c r="A199" s="1">
        <v>411</v>
      </c>
      <c r="B199" s="1" t="s">
        <v>9227</v>
      </c>
      <c r="C199" s="1" t="s">
        <v>9228</v>
      </c>
      <c r="D199" s="1" t="s">
        <v>675</v>
      </c>
      <c r="E199" s="1" t="s">
        <v>676</v>
      </c>
      <c r="F199" s="1" t="s">
        <v>169</v>
      </c>
      <c r="G199" s="1" t="s">
        <v>170</v>
      </c>
      <c r="H199" s="1" t="str">
        <f t="shared" si="12"/>
        <v/>
      </c>
      <c r="I199" s="1" t="str">
        <f t="shared" si="13"/>
        <v/>
      </c>
      <c r="J199" s="1" t="str">
        <f t="shared" si="14"/>
        <v>{#ENT_NAME}: 设备已更换(收到新序列号)</v>
      </c>
      <c r="K199" s="1" t="str">
        <f t="shared" si="15"/>
        <v/>
      </c>
    </row>
    <row r="200" spans="1:11">
      <c r="A200" s="1">
        <v>416</v>
      </c>
      <c r="B200" s="1" t="s">
        <v>9227</v>
      </c>
      <c r="C200" s="1" t="s">
        <v>9229</v>
      </c>
      <c r="D200" s="1" t="s">
        <v>675</v>
      </c>
      <c r="E200" s="1" t="s">
        <v>678</v>
      </c>
      <c r="F200" s="1" t="s">
        <v>531</v>
      </c>
      <c r="G200" s="1" t="s">
        <v>532</v>
      </c>
      <c r="H200" s="1" t="str">
        <f t="shared" si="12"/>
        <v/>
      </c>
      <c r="I200" s="1" t="str">
        <f t="shared" si="13"/>
        <v/>
      </c>
      <c r="J200" s="1" t="str">
        <f t="shared" si="14"/>
        <v>{#SNMPVALUE}: 内存利用率高了(&gt;{$MEMORY.UTIL.MAX}%达5分钟)</v>
      </c>
      <c r="K200" s="1" t="str">
        <f t="shared" si="15"/>
        <v/>
      </c>
    </row>
    <row r="201" spans="1:11">
      <c r="A201" s="1">
        <v>417</v>
      </c>
      <c r="B201" s="1" t="s">
        <v>9227</v>
      </c>
      <c r="C201" s="1" t="s">
        <v>9230</v>
      </c>
      <c r="D201" s="1" t="s">
        <v>675</v>
      </c>
      <c r="E201" s="1" t="s">
        <v>680</v>
      </c>
      <c r="F201" s="1" t="s">
        <v>173</v>
      </c>
      <c r="G201" s="1" t="s">
        <v>174</v>
      </c>
      <c r="H201" s="1" t="str">
        <f t="shared" si="12"/>
        <v/>
      </c>
      <c r="I201" s="1" t="str">
        <f t="shared" si="13"/>
        <v/>
      </c>
      <c r="J201" s="1" t="str">
        <f t="shared" si="14"/>
        <v>{#SNMPVALUE}: 温度高于临界阈值: &gt;{$TEMP_CRIT: "{#SNMPVALUE}"}</v>
      </c>
      <c r="K201" s="1" t="str">
        <f t="shared" si="15"/>
        <v/>
      </c>
    </row>
    <row r="202" spans="1:11">
      <c r="A202" s="1">
        <v>418</v>
      </c>
      <c r="B202" s="1" t="s">
        <v>9227</v>
      </c>
      <c r="C202" s="1" t="s">
        <v>9231</v>
      </c>
      <c r="D202" s="1" t="s">
        <v>675</v>
      </c>
      <c r="E202" s="1" t="s">
        <v>682</v>
      </c>
      <c r="F202" s="1" t="s">
        <v>177</v>
      </c>
      <c r="G202" s="1" t="s">
        <v>178</v>
      </c>
      <c r="H202" s="1" t="str">
        <f t="shared" si="12"/>
        <v/>
      </c>
      <c r="I202" s="1" t="str">
        <f t="shared" si="13"/>
        <v/>
      </c>
      <c r="J202" s="1" t="str">
        <f t="shared" si="14"/>
        <v>{#SNMPVALUE}: 温度高于告警阈值: &gt;{$TEMP_WARN: "{#SNMPVALUE}"}</v>
      </c>
      <c r="K202" s="1" t="str">
        <f t="shared" si="15"/>
        <v/>
      </c>
    </row>
    <row r="203" spans="1:11">
      <c r="A203" s="1">
        <v>419</v>
      </c>
      <c r="B203" s="1" t="s">
        <v>9227</v>
      </c>
      <c r="C203" s="1" t="s">
        <v>9232</v>
      </c>
      <c r="D203" s="1" t="s">
        <v>675</v>
      </c>
      <c r="E203" s="1" t="s">
        <v>684</v>
      </c>
      <c r="F203" s="1" t="s">
        <v>181</v>
      </c>
      <c r="G203" s="1" t="s">
        <v>182</v>
      </c>
      <c r="H203" s="1" t="str">
        <f t="shared" si="12"/>
        <v/>
      </c>
      <c r="I203" s="1" t="str">
        <f t="shared" si="13"/>
        <v/>
      </c>
      <c r="J203" s="1" t="str">
        <f t="shared" si="14"/>
        <v>{#SNMPVALUE}: 温度太低: &lt;{$TEMP_CRIT_LOW: "{#SNMPVALUE}"}</v>
      </c>
      <c r="K203" s="1" t="str">
        <f t="shared" si="15"/>
        <v/>
      </c>
    </row>
    <row r="204" spans="1:11">
      <c r="A204" s="1">
        <v>420</v>
      </c>
      <c r="B204" s="1" t="s">
        <v>9233</v>
      </c>
      <c r="C204" s="1" t="s">
        <v>9169</v>
      </c>
      <c r="D204" s="1" t="s">
        <v>686</v>
      </c>
      <c r="E204" s="1" t="s">
        <v>687</v>
      </c>
      <c r="F204" s="1" t="s">
        <v>161</v>
      </c>
      <c r="G204" s="1" t="s">
        <v>162</v>
      </c>
      <c r="H204" s="1" t="str">
        <f t="shared" si="12"/>
        <v/>
      </c>
      <c r="I204" s="1" t="str">
        <f t="shared" si="13"/>
        <v/>
      </c>
      <c r="J204" s="1" t="str">
        <f t="shared" si="14"/>
        <v>接口{#IFNAME}({#IFALIAS}): 带宽使用率太高(&gt;{$IF.UTIL.MAX: "{#IFNAME}"}%)</v>
      </c>
      <c r="K204" s="1" t="str">
        <f t="shared" si="15"/>
        <v/>
      </c>
    </row>
    <row r="205" spans="1:11">
      <c r="A205" s="1">
        <v>421</v>
      </c>
      <c r="B205" s="1" t="s">
        <v>9233</v>
      </c>
      <c r="C205" s="1" t="s">
        <v>9170</v>
      </c>
      <c r="D205" s="1" t="s">
        <v>686</v>
      </c>
      <c r="E205" s="1" t="s">
        <v>689</v>
      </c>
      <c r="F205" s="1" t="s">
        <v>165</v>
      </c>
      <c r="G205" s="1" t="s">
        <v>166</v>
      </c>
      <c r="H205" s="1" t="str">
        <f t="shared" si="12"/>
        <v/>
      </c>
      <c r="I205" s="1" t="str">
        <f t="shared" si="13"/>
        <v/>
      </c>
      <c r="J205" s="1" t="str">
        <f t="shared" si="14"/>
        <v>接口{#IFNAME}({#IFALIAS}): 错误率太高(&gt;{$IF.ERRORS.WARN: "{#IFNAME}"}达5分钟)</v>
      </c>
      <c r="K205" s="1" t="str">
        <f t="shared" si="15"/>
        <v/>
      </c>
    </row>
    <row r="206" spans="1:11">
      <c r="A206" s="1">
        <v>424</v>
      </c>
      <c r="B206" s="1" t="s">
        <v>9233</v>
      </c>
      <c r="C206" s="1" t="s">
        <v>9234</v>
      </c>
      <c r="D206" s="1" t="s">
        <v>686</v>
      </c>
      <c r="E206" s="1" t="s">
        <v>691</v>
      </c>
      <c r="F206" s="1" t="s">
        <v>169</v>
      </c>
      <c r="G206" s="1" t="s">
        <v>170</v>
      </c>
      <c r="H206" s="1" t="str">
        <f t="shared" si="12"/>
        <v/>
      </c>
      <c r="I206" s="1" t="str">
        <f t="shared" si="13"/>
        <v/>
      </c>
      <c r="J206" s="1" t="str">
        <f t="shared" si="14"/>
        <v>{#ENT_NAME}: 设备已更换(收到新序列号)</v>
      </c>
      <c r="K206" s="1" t="str">
        <f t="shared" si="15"/>
        <v/>
      </c>
    </row>
    <row r="207" spans="1:11">
      <c r="A207" s="1">
        <v>429</v>
      </c>
      <c r="B207" s="1" t="s">
        <v>9233</v>
      </c>
      <c r="C207" s="1" t="s">
        <v>9235</v>
      </c>
      <c r="D207" s="1" t="s">
        <v>686</v>
      </c>
      <c r="E207" s="1" t="s">
        <v>693</v>
      </c>
      <c r="F207" s="1" t="s">
        <v>536</v>
      </c>
      <c r="G207" s="1" t="s">
        <v>537</v>
      </c>
      <c r="H207" s="1" t="str">
        <f t="shared" si="12"/>
        <v/>
      </c>
      <c r="I207" s="1" t="str">
        <f t="shared" si="13"/>
        <v/>
      </c>
      <c r="J207" s="1" t="str">
        <f t="shared" si="14"/>
        <v>{#SNMPVALUE}: CPU使用率高了(超过{$CPU.UTIL.CRIT}%达5分钟)</v>
      </c>
      <c r="K207" s="1" t="str">
        <f t="shared" si="15"/>
        <v/>
      </c>
    </row>
    <row r="208" spans="1:11">
      <c r="A208" s="1">
        <v>430</v>
      </c>
      <c r="B208" s="1" t="s">
        <v>9233</v>
      </c>
      <c r="C208" s="1" t="s">
        <v>9236</v>
      </c>
      <c r="D208" s="1" t="s">
        <v>686</v>
      </c>
      <c r="E208" s="1" t="s">
        <v>695</v>
      </c>
      <c r="F208" s="1" t="s">
        <v>531</v>
      </c>
      <c r="G208" s="1" t="s">
        <v>532</v>
      </c>
      <c r="H208" s="1" t="str">
        <f t="shared" si="12"/>
        <v/>
      </c>
      <c r="I208" s="1" t="str">
        <f t="shared" si="13"/>
        <v/>
      </c>
      <c r="J208" s="1" t="str">
        <f t="shared" si="14"/>
        <v>{#SNMPVALUE}: 内存利用率高了(&gt;{$MEMORY.UTIL.MAX}%达5分钟)</v>
      </c>
      <c r="K208" s="1" t="str">
        <f t="shared" si="15"/>
        <v/>
      </c>
    </row>
    <row r="209" spans="1:11">
      <c r="A209" s="1">
        <v>431</v>
      </c>
      <c r="B209" s="1" t="s">
        <v>9233</v>
      </c>
      <c r="C209" s="1" t="s">
        <v>9174</v>
      </c>
      <c r="D209" s="1" t="s">
        <v>686</v>
      </c>
      <c r="E209" s="1" t="s">
        <v>697</v>
      </c>
      <c r="F209" s="1" t="s">
        <v>173</v>
      </c>
      <c r="G209" s="1" t="s">
        <v>174</v>
      </c>
      <c r="H209" s="1" t="str">
        <f t="shared" si="12"/>
        <v/>
      </c>
      <c r="I209" s="1" t="str">
        <f t="shared" si="13"/>
        <v/>
      </c>
      <c r="J209" s="1" t="str">
        <f t="shared" si="14"/>
        <v>{#SNMPVALUE}: 温度高于临界阈值: &gt;{$TEMP_CRIT: "{#SNMPVALUE}"}</v>
      </c>
      <c r="K209" s="1" t="str">
        <f t="shared" si="15"/>
        <v/>
      </c>
    </row>
    <row r="210" spans="1:11">
      <c r="A210" s="1">
        <v>432</v>
      </c>
      <c r="B210" s="1" t="s">
        <v>9233</v>
      </c>
      <c r="C210" s="1" t="s">
        <v>9175</v>
      </c>
      <c r="D210" s="1" t="s">
        <v>686</v>
      </c>
      <c r="E210" s="1" t="s">
        <v>699</v>
      </c>
      <c r="F210" s="1" t="s">
        <v>177</v>
      </c>
      <c r="G210" s="1" t="s">
        <v>178</v>
      </c>
      <c r="H210" s="1" t="str">
        <f t="shared" si="12"/>
        <v/>
      </c>
      <c r="I210" s="1" t="str">
        <f t="shared" si="13"/>
        <v/>
      </c>
      <c r="J210" s="1" t="str">
        <f t="shared" si="14"/>
        <v>{#SNMPVALUE}: 温度高于告警阈值: &gt;{$TEMP_WARN: "{#SNMPVALUE}"}</v>
      </c>
      <c r="K210" s="1" t="str">
        <f t="shared" si="15"/>
        <v/>
      </c>
    </row>
    <row r="211" spans="1:11">
      <c r="A211" s="1">
        <v>433</v>
      </c>
      <c r="B211" s="1" t="s">
        <v>9233</v>
      </c>
      <c r="C211" s="1" t="s">
        <v>9176</v>
      </c>
      <c r="D211" s="1" t="s">
        <v>686</v>
      </c>
      <c r="E211" s="1" t="s">
        <v>701</v>
      </c>
      <c r="F211" s="1" t="s">
        <v>181</v>
      </c>
      <c r="G211" s="1" t="s">
        <v>182</v>
      </c>
      <c r="H211" s="1" t="str">
        <f t="shared" si="12"/>
        <v/>
      </c>
      <c r="I211" s="1" t="str">
        <f t="shared" si="13"/>
        <v/>
      </c>
      <c r="J211" s="1" t="str">
        <f t="shared" si="14"/>
        <v>{#SNMPVALUE}: 温度太低: &lt;{$TEMP_CRIT_LOW: "{#SNMPVALUE}"}</v>
      </c>
      <c r="K211" s="1" t="str">
        <f t="shared" si="15"/>
        <v/>
      </c>
    </row>
    <row r="212" spans="1:11">
      <c r="A212" s="1">
        <v>437</v>
      </c>
      <c r="B212" s="1" t="s">
        <v>9237</v>
      </c>
      <c r="C212" s="1" t="s">
        <v>9081</v>
      </c>
      <c r="D212" s="1" t="s">
        <v>706</v>
      </c>
      <c r="E212" s="1" t="s">
        <v>9238</v>
      </c>
      <c r="F212" s="1" t="s">
        <v>708</v>
      </c>
      <c r="G212" s="1" t="s">
        <v>9239</v>
      </c>
      <c r="H212" s="1" t="str">
        <f t="shared" si="12"/>
        <v/>
      </c>
      <c r="I212" s="1" t="str">
        <f t="shared" si="13"/>
        <v/>
      </c>
      <c r="J212" s="1" t="str">
        <f t="shared" si="14"/>
        <v>VPN [{#NETWORK.NAME}][{#SENDER.UPLINK}]=&gt;[{#PEER.NETWORK.NAME}][{#RECEIVER.UPLINK}]:平均VPN连接丢失率高（超过&gt;= {$MERAKI.VPN.LOSS.PERCENTILE}%）</v>
      </c>
      <c r="K212" s="1" t="str">
        <f t="shared" si="15"/>
        <v/>
      </c>
    </row>
    <row r="213" spans="1:11">
      <c r="A213" s="1">
        <v>438</v>
      </c>
      <c r="B213" s="1" t="s">
        <v>9240</v>
      </c>
      <c r="C213" s="1" t="s">
        <v>9241</v>
      </c>
      <c r="D213" s="1" t="s">
        <v>711</v>
      </c>
      <c r="E213" s="1" t="s">
        <v>5332</v>
      </c>
      <c r="F213" s="1" t="s">
        <v>541</v>
      </c>
      <c r="G213" s="1" t="s">
        <v>542</v>
      </c>
      <c r="H213" s="1" t="str">
        <f t="shared" si="12"/>
        <v/>
      </c>
      <c r="I213" s="1" t="str">
        <f t="shared" si="13"/>
        <v/>
      </c>
      <c r="J213" s="1" t="str">
        <f t="shared" si="14"/>
        <v>#{#SNMPINDEX}: CPU使用率高了(超过{$CPU.UTIL.CRIT}%达5分钟)</v>
      </c>
      <c r="K213" s="1" t="str">
        <f t="shared" si="15"/>
        <v/>
      </c>
    </row>
    <row r="214" spans="1:11">
      <c r="A214" s="1">
        <v>439</v>
      </c>
      <c r="B214" s="1" t="s">
        <v>9240</v>
      </c>
      <c r="C214" s="1" t="s">
        <v>9242</v>
      </c>
      <c r="D214" s="1" t="s">
        <v>711</v>
      </c>
      <c r="E214" s="1" t="s">
        <v>5312</v>
      </c>
      <c r="F214" s="1" t="s">
        <v>548</v>
      </c>
      <c r="G214" s="1" t="s">
        <v>549</v>
      </c>
      <c r="H214" s="1" t="str">
        <f t="shared" si="12"/>
        <v/>
      </c>
      <c r="I214" s="1" t="str">
        <f t="shared" si="13"/>
        <v/>
      </c>
      <c r="J214" s="1" t="str">
        <f t="shared" si="14"/>
        <v>接口{#IFNAME}({#IFALIAS}): 入方向带宽使用率高了(&gt;{$IF.UTIL.MAX: "{#IFNAME}"}%)</v>
      </c>
      <c r="K214" s="1" t="str">
        <f t="shared" si="15"/>
        <v/>
      </c>
    </row>
    <row r="215" spans="1:11">
      <c r="A215" s="1">
        <v>440</v>
      </c>
      <c r="B215" s="1" t="s">
        <v>9240</v>
      </c>
      <c r="C215" s="1" t="s">
        <v>9243</v>
      </c>
      <c r="D215" s="1" t="s">
        <v>711</v>
      </c>
      <c r="E215" s="1" t="s">
        <v>5319</v>
      </c>
      <c r="F215" s="1" t="s">
        <v>552</v>
      </c>
      <c r="G215" s="1" t="s">
        <v>553</v>
      </c>
      <c r="H215" s="1" t="str">
        <f t="shared" si="12"/>
        <v/>
      </c>
      <c r="I215" s="1" t="str">
        <f t="shared" si="13"/>
        <v/>
      </c>
      <c r="J215" s="1" t="str">
        <f t="shared" si="14"/>
        <v>接口{#IFNAME}({#IFALIAS}): 出方向带宽使用率高了(&gt;{$IF.UTIL.MAX: "{#IFNAME}"}%)</v>
      </c>
      <c r="K215" s="1" t="str">
        <f t="shared" si="15"/>
        <v/>
      </c>
    </row>
    <row r="216" spans="1:11">
      <c r="A216" s="1">
        <v>442</v>
      </c>
      <c r="B216" s="1" t="s">
        <v>9240</v>
      </c>
      <c r="C216" s="1" t="s">
        <v>9244</v>
      </c>
      <c r="D216" s="1" t="s">
        <v>711</v>
      </c>
      <c r="E216" s="1" t="s">
        <v>5308</v>
      </c>
      <c r="F216" s="1" t="s">
        <v>556</v>
      </c>
      <c r="G216" s="1" t="s">
        <v>557</v>
      </c>
      <c r="H216" s="1" t="str">
        <f t="shared" si="12"/>
        <v/>
      </c>
      <c r="I216" s="1" t="str">
        <f t="shared" si="13"/>
        <v/>
      </c>
      <c r="J216" s="1" t="str">
        <f t="shared" si="14"/>
        <v>接口{#IFNAME}({#IFALIAS}): 入方向错误率高了(&gt;{$IF.ERRORS.WARN: "{#IFNAME}"}达5分钟)</v>
      </c>
      <c r="K216" s="1" t="str">
        <f t="shared" si="15"/>
        <v/>
      </c>
    </row>
    <row r="217" spans="1:11">
      <c r="A217" s="1">
        <v>445</v>
      </c>
      <c r="B217" s="1" t="s">
        <v>9240</v>
      </c>
      <c r="C217" s="1" t="s">
        <v>9245</v>
      </c>
      <c r="D217" s="1" t="s">
        <v>711</v>
      </c>
      <c r="E217" s="1" t="s">
        <v>3994</v>
      </c>
      <c r="F217" s="1" t="s">
        <v>560</v>
      </c>
      <c r="G217" s="1" t="s">
        <v>561</v>
      </c>
      <c r="H217" s="1" t="str">
        <f t="shared" si="12"/>
        <v/>
      </c>
      <c r="I217" s="1" t="str">
        <f t="shared" si="13"/>
        <v/>
      </c>
      <c r="J217" s="1" t="str">
        <f t="shared" si="14"/>
        <v>接口{#IFNAME}({#IFALIAS}): 出方向错误率高了(&gt;{$IF.ERRORS.WARN: "{#IFNAME}"}达5分钟)</v>
      </c>
      <c r="K217" s="1" t="str">
        <f t="shared" si="15"/>
        <v/>
      </c>
    </row>
    <row r="218" spans="1:11">
      <c r="A218" s="1">
        <v>446</v>
      </c>
      <c r="B218" s="1" t="s">
        <v>9240</v>
      </c>
      <c r="C218" s="1" t="s">
        <v>9246</v>
      </c>
      <c r="D218" s="1" t="s">
        <v>711</v>
      </c>
      <c r="E218" s="1" t="s">
        <v>5336</v>
      </c>
      <c r="F218" s="1" t="s">
        <v>169</v>
      </c>
      <c r="G218" s="1" t="s">
        <v>170</v>
      </c>
      <c r="H218" s="1" t="str">
        <f t="shared" si="12"/>
        <v/>
      </c>
      <c r="I218" s="1" t="str">
        <f t="shared" si="13"/>
        <v/>
      </c>
      <c r="J218" s="1" t="str">
        <f t="shared" si="14"/>
        <v>{#ENT_NAME}: 设备已更换(收到新序列号)</v>
      </c>
      <c r="K218" s="1" t="str">
        <f t="shared" si="15"/>
        <v/>
      </c>
    </row>
    <row r="219" spans="1:11">
      <c r="A219" s="1">
        <v>450</v>
      </c>
      <c r="B219" s="1" t="s">
        <v>9240</v>
      </c>
      <c r="C219" s="1" t="s">
        <v>9247</v>
      </c>
      <c r="D219" s="1" t="s">
        <v>711</v>
      </c>
      <c r="E219" s="1" t="s">
        <v>5340</v>
      </c>
      <c r="F219" s="1" t="s">
        <v>566</v>
      </c>
      <c r="G219" s="1" t="s">
        <v>532</v>
      </c>
      <c r="H219" s="1" t="str">
        <f t="shared" si="12"/>
        <v/>
      </c>
      <c r="I219" s="1" t="str">
        <f t="shared" si="13"/>
        <v/>
      </c>
      <c r="J219" s="1" t="str">
        <f t="shared" si="14"/>
        <v>{#SNMPVALUE}: 内存利用率高了(&gt;{$MEMORY.UTIL.MAX}%达5分钟)</v>
      </c>
      <c r="K219" s="1" t="str">
        <f t="shared" si="15"/>
        <v/>
      </c>
    </row>
    <row r="220" spans="1:11">
      <c r="A220" s="1">
        <v>454</v>
      </c>
      <c r="B220" s="1" t="s">
        <v>9240</v>
      </c>
      <c r="C220" s="1" t="s">
        <v>9248</v>
      </c>
      <c r="D220" s="1" t="s">
        <v>711</v>
      </c>
      <c r="E220" s="1" t="s">
        <v>4000</v>
      </c>
      <c r="F220" s="1" t="s">
        <v>727</v>
      </c>
      <c r="G220" s="1" t="s">
        <v>728</v>
      </c>
      <c r="H220" s="1" t="str">
        <f t="shared" si="12"/>
        <v/>
      </c>
      <c r="I220" s="1" t="str">
        <f t="shared" si="13"/>
        <v/>
      </c>
      <c r="J220" s="1" t="str">
        <f t="shared" si="14"/>
        <v>{#SNMPVALUE}: 温度高于临界阈值: &gt;{$TEMP_CRIT: "{#SNMPVALUE}"}°C</v>
      </c>
      <c r="K220" s="1" t="str">
        <f t="shared" si="15"/>
        <v/>
      </c>
    </row>
    <row r="221" spans="1:11">
      <c r="A221" s="1">
        <v>455</v>
      </c>
      <c r="B221" s="1" t="s">
        <v>9240</v>
      </c>
      <c r="C221" s="1" t="s">
        <v>9249</v>
      </c>
      <c r="D221" s="1" t="s">
        <v>711</v>
      </c>
      <c r="E221" s="1" t="s">
        <v>4020</v>
      </c>
      <c r="F221" s="1" t="s">
        <v>731</v>
      </c>
      <c r="G221" s="1" t="s">
        <v>732</v>
      </c>
      <c r="H221" s="1" t="str">
        <f t="shared" si="12"/>
        <v/>
      </c>
      <c r="I221" s="1" t="str">
        <f t="shared" si="13"/>
        <v/>
      </c>
      <c r="J221" s="1" t="str">
        <f t="shared" si="14"/>
        <v>{#SNMPVALUE}: 温度高于告警阈值: &gt;{$TEMP_WARN: "{#SNMPVALUE}°C"}</v>
      </c>
      <c r="K221" s="1" t="str">
        <f t="shared" si="15"/>
        <v/>
      </c>
    </row>
    <row r="222" spans="1:11">
      <c r="A222" s="1">
        <v>456</v>
      </c>
      <c r="B222" s="1" t="s">
        <v>9240</v>
      </c>
      <c r="C222" s="1" t="s">
        <v>9250</v>
      </c>
      <c r="D222" s="1" t="s">
        <v>711</v>
      </c>
      <c r="E222" s="1" t="s">
        <v>4024</v>
      </c>
      <c r="F222" s="1" t="s">
        <v>735</v>
      </c>
      <c r="G222" s="1" t="s">
        <v>736</v>
      </c>
      <c r="H222" s="1" t="str">
        <f t="shared" si="12"/>
        <v/>
      </c>
      <c r="I222" s="1" t="str">
        <f t="shared" si="13"/>
        <v/>
      </c>
      <c r="J222" s="1" t="str">
        <f t="shared" si="14"/>
        <v>{#SNMPVALUE}: 温度太低了: &lt;{$TEMP_CRIT_LOW: "{#SNMPVALUE}°C"}</v>
      </c>
      <c r="K222" s="1" t="str">
        <f t="shared" si="15"/>
        <v/>
      </c>
    </row>
    <row r="223" spans="1:11">
      <c r="A223" s="1">
        <v>459</v>
      </c>
      <c r="B223" s="1" t="s">
        <v>9251</v>
      </c>
      <c r="C223" s="1" t="s">
        <v>9252</v>
      </c>
      <c r="D223" s="1" t="s">
        <v>738</v>
      </c>
      <c r="E223" s="1" t="s">
        <v>7928</v>
      </c>
      <c r="F223" s="1" t="s">
        <v>740</v>
      </c>
      <c r="G223" s="1" t="s">
        <v>741</v>
      </c>
      <c r="H223" s="1" t="str">
        <f t="shared" si="12"/>
        <v/>
      </c>
      <c r="I223" s="1" t="str">
        <f t="shared" si="13"/>
        <v/>
      </c>
      <c r="J223" s="1" t="str">
        <f t="shared" si="14"/>
        <v>接口["{#IFNAME}"]: 带宽使用率高(&gt;{$SDWAN.IF.UTIL.MAX: "{#IFNAME}"}%)</v>
      </c>
      <c r="K223" s="1" t="str">
        <f t="shared" si="15"/>
        <v/>
      </c>
    </row>
    <row r="224" spans="1:11">
      <c r="A224" s="1">
        <v>460</v>
      </c>
      <c r="B224" s="1" t="s">
        <v>9251</v>
      </c>
      <c r="C224" s="1" t="s">
        <v>9253</v>
      </c>
      <c r="D224" s="1" t="s">
        <v>738</v>
      </c>
      <c r="E224" s="1" t="s">
        <v>9254</v>
      </c>
      <c r="F224" s="1" t="s">
        <v>744</v>
      </c>
      <c r="G224" s="1" t="s">
        <v>745</v>
      </c>
      <c r="H224" s="1" t="str">
        <f t="shared" si="12"/>
        <v/>
      </c>
      <c r="I224" s="1" t="str">
        <f t="shared" si="13"/>
        <v/>
      </c>
      <c r="J224" s="1" t="str">
        <f t="shared" si="14"/>
        <v>接口["{#IFNAME}"]: 错误率高(&gt;{$SDWAN.IF.ERRORS.WARN: "{#IFNAME}"}达5分钟)</v>
      </c>
      <c r="K224" s="1" t="str">
        <f t="shared" si="15"/>
        <v/>
      </c>
    </row>
    <row r="225" spans="1:11">
      <c r="A225" s="1">
        <v>463</v>
      </c>
      <c r="B225" s="1" t="s">
        <v>9251</v>
      </c>
      <c r="C225" s="1" t="s">
        <v>9255</v>
      </c>
      <c r="D225" s="1" t="s">
        <v>738</v>
      </c>
      <c r="E225" s="1" t="s">
        <v>9256</v>
      </c>
      <c r="F225" s="1" t="s">
        <v>748</v>
      </c>
      <c r="G225" s="1" t="s">
        <v>749</v>
      </c>
      <c r="H225" s="1" t="str">
        <f t="shared" si="12"/>
        <v/>
      </c>
      <c r="I225" s="1" t="str">
        <f t="shared" si="13"/>
        <v/>
      </c>
      <c r="J225" s="1" t="str">
        <f t="shared" si="14"/>
        <v>["{#FSNAME}"]: 磁盘空间严重不足(已使用率&gt;{$SDWAN.FS.PUSED.MAX.CRIT: "{#FSNAME}"}%)</v>
      </c>
      <c r="K225" s="1" t="str">
        <f t="shared" si="15"/>
        <v/>
      </c>
    </row>
    <row r="226" spans="1:11">
      <c r="A226" s="1">
        <v>464</v>
      </c>
      <c r="B226" s="1" t="s">
        <v>9251</v>
      </c>
      <c r="C226" s="1" t="s">
        <v>9257</v>
      </c>
      <c r="D226" s="1" t="s">
        <v>738</v>
      </c>
      <c r="E226" s="1" t="s">
        <v>7920</v>
      </c>
      <c r="F226" s="1" t="s">
        <v>752</v>
      </c>
      <c r="G226" s="1" t="s">
        <v>753</v>
      </c>
      <c r="H226" s="1" t="str">
        <f t="shared" si="12"/>
        <v/>
      </c>
      <c r="I226" s="1" t="str">
        <f t="shared" si="13"/>
        <v/>
      </c>
      <c r="J226" s="1" t="str">
        <f t="shared" si="14"/>
        <v>["{#FSNAME}"]: 磁盘空间不足(已使用率&gt;{$SDWAN.FS.PUSED.MAX.WARN: "{#FSNAME}"}%)</v>
      </c>
      <c r="K226" s="1" t="str">
        <f t="shared" si="15"/>
        <v/>
      </c>
    </row>
    <row r="227" spans="1:11">
      <c r="A227" s="1">
        <v>465</v>
      </c>
      <c r="B227" s="1" t="s">
        <v>9258</v>
      </c>
      <c r="C227" s="1" t="s">
        <v>9259</v>
      </c>
      <c r="D227" s="1" t="s">
        <v>755</v>
      </c>
      <c r="E227" s="1" t="s">
        <v>756</v>
      </c>
      <c r="F227" s="1" t="s">
        <v>757</v>
      </c>
      <c r="G227" s="1" t="s">
        <v>758</v>
      </c>
      <c r="H227" s="1" t="str">
        <f t="shared" si="12"/>
        <v/>
      </c>
      <c r="I227" s="1" t="str">
        <f t="shared" si="13"/>
        <v/>
      </c>
      <c r="J227" s="1" t="str">
        <f t="shared" si="14"/>
        <v>接口{#IFNAME}({#IFALIAS}): {#IFNAME}上的错误率高了(&gt;{$IF.ERRORS.WARN: "{#IFNAME}"}达5分钟)</v>
      </c>
      <c r="K227" s="1" t="str">
        <f t="shared" si="15"/>
        <v/>
      </c>
    </row>
    <row r="228" spans="1:11">
      <c r="A228" s="1">
        <v>472</v>
      </c>
      <c r="B228" s="1" t="s">
        <v>9258</v>
      </c>
      <c r="C228" s="1" t="s">
        <v>9260</v>
      </c>
      <c r="D228" s="1" t="s">
        <v>755</v>
      </c>
      <c r="E228" s="1" t="s">
        <v>760</v>
      </c>
      <c r="F228" s="1" t="s">
        <v>761</v>
      </c>
      <c r="G228" s="1" t="s">
        <v>762</v>
      </c>
      <c r="H228" s="1" t="str">
        <f t="shared" si="12"/>
        <v/>
      </c>
      <c r="I228" s="1" t="str">
        <f t="shared" si="13"/>
        <v/>
      </c>
      <c r="J228" s="1" t="str">
        <f t="shared" si="14"/>
        <v>{#DISK_LOCATION}: 磁盘已更换(收到新序列号)</v>
      </c>
      <c r="K228" s="1" t="str">
        <f t="shared" si="15"/>
        <v/>
      </c>
    </row>
    <row r="229" spans="1:11">
      <c r="A229" s="1">
        <v>479</v>
      </c>
      <c r="B229" s="1" t="s">
        <v>9258</v>
      </c>
      <c r="C229" s="1" t="s">
        <v>9261</v>
      </c>
      <c r="D229" s="1" t="s">
        <v>755</v>
      </c>
      <c r="E229" s="1" t="s">
        <v>764</v>
      </c>
      <c r="F229" s="1" t="s">
        <v>765</v>
      </c>
      <c r="G229" s="1" t="s">
        <v>766</v>
      </c>
      <c r="H229" s="1" t="str">
        <f t="shared" si="12"/>
        <v>{#SENSOR_LOCATION}.Ambient</v>
      </c>
      <c r="I229" s="1" t="str">
        <f t="shared" si="13"/>
        <v>温度高于临界阈值: &gt;{$TEMP.MAX.CRIT: "Ambient"}</v>
      </c>
      <c r="J229" s="1" t="str">
        <f t="shared" si="14"/>
        <v>{#SENSOR_LOCATION}.Ambient: 温度高于临界阈值: &gt;{$TEMP.MAX.CRIT: "Ambient"}</v>
      </c>
      <c r="K229" s="1" t="str">
        <f t="shared" si="15"/>
        <v>Temperature is above critical threshold: &gt;{$TEMP.MAX.CRIT:"Ambient"}</v>
      </c>
    </row>
    <row r="230" spans="1:11">
      <c r="A230" s="1">
        <v>480</v>
      </c>
      <c r="B230" s="1" t="s">
        <v>9258</v>
      </c>
      <c r="C230" s="1" t="s">
        <v>9262</v>
      </c>
      <c r="D230" s="1" t="s">
        <v>755</v>
      </c>
      <c r="E230" s="1" t="s">
        <v>768</v>
      </c>
      <c r="F230" s="1" t="s">
        <v>769</v>
      </c>
      <c r="G230" s="1" t="s">
        <v>770</v>
      </c>
      <c r="H230" s="1" t="str">
        <f t="shared" si="12"/>
        <v>{#SENSOR_LOCATION}.Ambient</v>
      </c>
      <c r="I230" s="1" t="str">
        <f t="shared" si="13"/>
        <v>温度高于告警阈值: &gt;{$TEMP.MAX.WARN: "Ambient"}</v>
      </c>
      <c r="J230" s="1" t="str">
        <f t="shared" si="14"/>
        <v>{#SENSOR_LOCATION}.Ambient: 温度高于告警阈值: &gt;{$TEMP.MAX.WARN: "Ambient"}</v>
      </c>
      <c r="K230" s="1" t="str">
        <f t="shared" si="15"/>
        <v>Temperature is above warning threshold: &gt;{$TEMP.MAX.WARN:"Ambient"}</v>
      </c>
    </row>
    <row r="231" spans="1:11">
      <c r="A231" s="1">
        <v>481</v>
      </c>
      <c r="B231" s="1" t="s">
        <v>9258</v>
      </c>
      <c r="C231" s="1" t="s">
        <v>9263</v>
      </c>
      <c r="D231" s="1" t="s">
        <v>755</v>
      </c>
      <c r="E231" s="1" t="s">
        <v>772</v>
      </c>
      <c r="F231" s="1" t="s">
        <v>773</v>
      </c>
      <c r="G231" s="1" t="s">
        <v>774</v>
      </c>
      <c r="H231" s="1" t="str">
        <f t="shared" si="12"/>
        <v>{#SENSOR_LOCATION}.Front</v>
      </c>
      <c r="I231" s="1" t="str">
        <f t="shared" si="13"/>
        <v>温度高于临界阈值: &gt;{$TEMP.MAX.CRIT: "Ambient"}</v>
      </c>
      <c r="J231" s="1" t="str">
        <f t="shared" si="14"/>
        <v>{#SENSOR_LOCATION}.Front: 温度高于临界阈值: &gt;{$TEMP.MAX.CRIT: "Ambient"}</v>
      </c>
      <c r="K231" s="1" t="str">
        <f t="shared" si="15"/>
        <v>Temperature is above critical threshold: &gt;{$TEMP.MAX.CRIT:"Ambient"}</v>
      </c>
    </row>
    <row r="232" spans="1:11">
      <c r="A232" s="1">
        <v>482</v>
      </c>
      <c r="B232" s="1" t="s">
        <v>9258</v>
      </c>
      <c r="C232" s="1" t="s">
        <v>9264</v>
      </c>
      <c r="D232" s="1" t="s">
        <v>755</v>
      </c>
      <c r="E232" s="1" t="s">
        <v>776</v>
      </c>
      <c r="F232" s="1" t="s">
        <v>777</v>
      </c>
      <c r="G232" s="1" t="s">
        <v>778</v>
      </c>
      <c r="H232" s="1" t="str">
        <f t="shared" si="12"/>
        <v>{#SENSOR_LOCATION}.Front</v>
      </c>
      <c r="I232" s="1" t="str">
        <f t="shared" si="13"/>
        <v>温度高于告警阈值: &gt;{$TEMP.MAX.WARN: "Ambient"}</v>
      </c>
      <c r="J232" s="1" t="str">
        <f t="shared" si="14"/>
        <v>{#SENSOR_LOCATION}.Front: 温度高于告警阈值: &gt;{$TEMP.MAX.WARN: "Ambient"}</v>
      </c>
      <c r="K232" s="1" t="str">
        <f t="shared" si="15"/>
        <v>Temperature is above warning threshold: &gt;{$TEMP.MAX.WARN:"Ambient"}</v>
      </c>
    </row>
    <row r="233" spans="1:11">
      <c r="A233" s="1">
        <v>483</v>
      </c>
      <c r="B233" s="1" t="s">
        <v>9258</v>
      </c>
      <c r="C233" s="1" t="s">
        <v>9265</v>
      </c>
      <c r="D233" s="1" t="s">
        <v>755</v>
      </c>
      <c r="E233" s="1" t="s">
        <v>780</v>
      </c>
      <c r="F233" s="1" t="s">
        <v>781</v>
      </c>
      <c r="G233" s="1" t="s">
        <v>782</v>
      </c>
      <c r="H233" s="1" t="str">
        <f t="shared" si="12"/>
        <v>{#SENSOR_LOCATION}.IOH</v>
      </c>
      <c r="I233" s="1" t="str">
        <f t="shared" si="13"/>
        <v>温度高于临界阈值: &gt;{$TEMP.MAX.CRIT: "Ambient"}</v>
      </c>
      <c r="J233" s="1" t="str">
        <f t="shared" si="14"/>
        <v>{#SENSOR_LOCATION}.IOH: 温度高于临界阈值: &gt;{$TEMP.MAX.CRIT: "Ambient"}</v>
      </c>
      <c r="K233" s="1" t="str">
        <f t="shared" si="15"/>
        <v>Temperature is above critical threshold: &gt;{$TEMP.MAX.CRIT:"Ambient"}</v>
      </c>
    </row>
    <row r="234" spans="1:11">
      <c r="A234" s="1">
        <v>484</v>
      </c>
      <c r="B234" s="1" t="s">
        <v>9258</v>
      </c>
      <c r="C234" s="1" t="s">
        <v>9266</v>
      </c>
      <c r="D234" s="1" t="s">
        <v>755</v>
      </c>
      <c r="E234" s="1" t="s">
        <v>784</v>
      </c>
      <c r="F234" s="1" t="s">
        <v>785</v>
      </c>
      <c r="G234" s="1" t="s">
        <v>786</v>
      </c>
      <c r="H234" s="1" t="str">
        <f t="shared" si="12"/>
        <v>{#SENSOR_LOCATION}.IOH</v>
      </c>
      <c r="I234" s="1" t="str">
        <f t="shared" si="13"/>
        <v>温度高于告警阈值: &gt;{$TEMP.MAX.WARN: "Ambient"}</v>
      </c>
      <c r="J234" s="1" t="str">
        <f t="shared" si="14"/>
        <v>{#SENSOR_LOCATION}.IOH: 温度高于告警阈值: &gt;{$TEMP.MAX.WARN: "Ambient"}</v>
      </c>
      <c r="K234" s="1" t="str">
        <f t="shared" si="15"/>
        <v>Temperature is above warning threshold: &gt;{$TEMP.MAX.WARN:"Ambient"}</v>
      </c>
    </row>
    <row r="235" spans="1:11">
      <c r="A235" s="1">
        <v>485</v>
      </c>
      <c r="B235" s="1" t="s">
        <v>9258</v>
      </c>
      <c r="C235" s="1" t="s">
        <v>9267</v>
      </c>
      <c r="D235" s="1" t="s">
        <v>755</v>
      </c>
      <c r="E235" s="1" t="s">
        <v>788</v>
      </c>
      <c r="F235" s="1" t="s">
        <v>789</v>
      </c>
      <c r="G235" s="1" t="s">
        <v>790</v>
      </c>
      <c r="H235" s="1" t="str">
        <f t="shared" si="12"/>
        <v>{#SENSOR_LOCATION}.Rear</v>
      </c>
      <c r="I235" s="1" t="str">
        <f t="shared" si="13"/>
        <v>温度高于临界阈值: &gt;{$TEMP.MAX.CRIT: "Ambient"}</v>
      </c>
      <c r="J235" s="1" t="str">
        <f t="shared" si="14"/>
        <v>{#SENSOR_LOCATION}.Rear: 温度高于临界阈值: &gt;{$TEMP.MAX.CRIT: "Ambient"}</v>
      </c>
      <c r="K235" s="1" t="str">
        <f t="shared" si="15"/>
        <v>Temperature is above critical threshold: &gt;{$TEMP.MAX.CRIT:"Ambient"}</v>
      </c>
    </row>
    <row r="236" spans="1:11">
      <c r="A236" s="1">
        <v>486</v>
      </c>
      <c r="B236" s="1" t="s">
        <v>9258</v>
      </c>
      <c r="C236" s="1" t="s">
        <v>9268</v>
      </c>
      <c r="D236" s="1" t="s">
        <v>755</v>
      </c>
      <c r="E236" s="1" t="s">
        <v>792</v>
      </c>
      <c r="F236" s="1" t="s">
        <v>793</v>
      </c>
      <c r="G236" s="1" t="s">
        <v>794</v>
      </c>
      <c r="H236" s="1" t="str">
        <f t="shared" si="12"/>
        <v>{#SENSOR_LOCATION}.Rear</v>
      </c>
      <c r="I236" s="1" t="str">
        <f t="shared" si="13"/>
        <v>温度高于告警阈值: &gt;{$TEMP.MAX.WARN: "Ambient"}</v>
      </c>
      <c r="J236" s="1" t="str">
        <f t="shared" si="14"/>
        <v>{#SENSOR_LOCATION}.Rear: 温度高于告警阈值: &gt;{$TEMP.MAX.WARN: "Ambient"}</v>
      </c>
      <c r="K236" s="1" t="str">
        <f t="shared" si="15"/>
        <v>Temperature is above warning threshold: &gt;{$TEMP.MAX.WARN:"Ambient"}</v>
      </c>
    </row>
    <row r="237" spans="1:11">
      <c r="A237" s="1">
        <v>487</v>
      </c>
      <c r="B237" s="1" t="s">
        <v>9258</v>
      </c>
      <c r="C237" s="1" t="s">
        <v>9269</v>
      </c>
      <c r="D237" s="1" t="s">
        <v>755</v>
      </c>
      <c r="E237" s="1" t="s">
        <v>796</v>
      </c>
      <c r="F237" s="1" t="s">
        <v>797</v>
      </c>
      <c r="G237" s="1" t="s">
        <v>798</v>
      </c>
      <c r="H237" s="1" t="str">
        <f t="shared" si="12"/>
        <v/>
      </c>
      <c r="I237" s="1" t="str">
        <f t="shared" si="13"/>
        <v/>
      </c>
      <c r="J237" s="1" t="str">
        <f t="shared" si="14"/>
        <v>{#SENSOR_LOCATION}: 温度高于临界阈值: &gt;{$TEMP.MAX.CRIT: "CPU"}</v>
      </c>
      <c r="K237" s="1" t="str">
        <f t="shared" si="15"/>
        <v/>
      </c>
    </row>
    <row r="238" spans="1:11">
      <c r="A238" s="1">
        <v>488</v>
      </c>
      <c r="B238" s="1" t="s">
        <v>9258</v>
      </c>
      <c r="C238" s="1" t="s">
        <v>9270</v>
      </c>
      <c r="D238" s="1" t="s">
        <v>755</v>
      </c>
      <c r="E238" s="1" t="s">
        <v>800</v>
      </c>
      <c r="F238" s="1" t="s">
        <v>801</v>
      </c>
      <c r="G238" s="1" t="s">
        <v>802</v>
      </c>
      <c r="H238" s="1" t="str">
        <f t="shared" si="12"/>
        <v/>
      </c>
      <c r="I238" s="1" t="str">
        <f t="shared" si="13"/>
        <v/>
      </c>
      <c r="J238" s="1" t="str">
        <f t="shared" si="14"/>
        <v>{#SENSOR_LOCATION}: 温度高于告警阈值: &gt;{$TEMP.MAX.WARN: "CPU"}</v>
      </c>
      <c r="K238" s="1" t="str">
        <f t="shared" si="15"/>
        <v/>
      </c>
    </row>
    <row r="239" spans="1:11">
      <c r="A239" s="1">
        <v>489</v>
      </c>
      <c r="B239" s="1" t="s">
        <v>9258</v>
      </c>
      <c r="C239" s="1" t="s">
        <v>9271</v>
      </c>
      <c r="D239" s="1" t="s">
        <v>755</v>
      </c>
      <c r="E239" s="1" t="s">
        <v>804</v>
      </c>
      <c r="F239" s="1" t="s">
        <v>805</v>
      </c>
      <c r="G239" s="1" t="s">
        <v>806</v>
      </c>
      <c r="H239" s="1" t="str">
        <f t="shared" si="12"/>
        <v/>
      </c>
      <c r="I239" s="1" t="str">
        <f t="shared" si="13"/>
        <v/>
      </c>
      <c r="J239" s="1" t="str">
        <f t="shared" si="14"/>
        <v>{#UNIT_LOCATION}: 设备已更换(收到新序列号)</v>
      </c>
      <c r="K239" s="1" t="str">
        <f t="shared" si="15"/>
        <v/>
      </c>
    </row>
    <row r="240" spans="1:11">
      <c r="A240" s="1">
        <v>504</v>
      </c>
      <c r="B240" s="1" t="s">
        <v>9272</v>
      </c>
      <c r="C240" s="1" t="s">
        <v>9273</v>
      </c>
      <c r="D240" s="1" t="s">
        <v>808</v>
      </c>
      <c r="E240" s="1" t="s">
        <v>809</v>
      </c>
      <c r="F240" s="1" t="s">
        <v>810</v>
      </c>
      <c r="G240" s="1" t="s">
        <v>811</v>
      </c>
      <c r="H240" s="1" t="str">
        <f t="shared" si="12"/>
        <v>{#SENSOR_LOCATION}.Ambient</v>
      </c>
      <c r="I240" s="1" t="str">
        <f t="shared" si="13"/>
        <v>温度高于告警阈值: &gt;{$TEMP_WARN: "Ambient"}</v>
      </c>
      <c r="J240" s="1" t="str">
        <f t="shared" si="14"/>
        <v>{#SENSOR_LOCATION}.Ambient: 温度高于告警阈值: &gt;{$TEMP_WARN: "Ambient"}</v>
      </c>
      <c r="K240" s="1" t="str">
        <f t="shared" si="15"/>
        <v>Temperature is above warning threshold: &gt;{$TEMP_WARN:"Ambient"}</v>
      </c>
    </row>
    <row r="241" spans="1:11">
      <c r="A241" s="1">
        <v>505</v>
      </c>
      <c r="B241" s="1" t="s">
        <v>9272</v>
      </c>
      <c r="C241" s="1" t="s">
        <v>9274</v>
      </c>
      <c r="D241" s="1" t="s">
        <v>808</v>
      </c>
      <c r="E241" s="1" t="s">
        <v>813</v>
      </c>
      <c r="F241" s="1" t="s">
        <v>814</v>
      </c>
      <c r="G241" s="1" t="s">
        <v>815</v>
      </c>
      <c r="H241" s="1" t="str">
        <f t="shared" si="12"/>
        <v>{#SENSOR_LOCATION}.Ambient</v>
      </c>
      <c r="I241" s="1" t="str">
        <f t="shared" si="13"/>
        <v>温度高于临界阈值: &gt;{$TEMP_CRIT: "Ambient"}</v>
      </c>
      <c r="J241" s="1" t="str">
        <f t="shared" si="14"/>
        <v>{#SENSOR_LOCATION}.Ambient: 温度高于临界阈值: &gt;{$TEMP_CRIT: "Ambient"}</v>
      </c>
      <c r="K241" s="1" t="str">
        <f t="shared" si="15"/>
        <v>Temperature is above critical threshold: &gt;{$TEMP_CRIT:"Ambient"}</v>
      </c>
    </row>
    <row r="242" spans="1:11">
      <c r="A242" s="1">
        <v>506</v>
      </c>
      <c r="B242" s="1" t="s">
        <v>9272</v>
      </c>
      <c r="C242" s="1" t="s">
        <v>9275</v>
      </c>
      <c r="D242" s="1" t="s">
        <v>808</v>
      </c>
      <c r="E242" s="1" t="s">
        <v>817</v>
      </c>
      <c r="F242" s="1" t="s">
        <v>818</v>
      </c>
      <c r="G242" s="1" t="s">
        <v>819</v>
      </c>
      <c r="H242" s="1" t="str">
        <f t="shared" si="12"/>
        <v>{#SENSOR_LOCATION}.Ambient</v>
      </c>
      <c r="I242" s="1" t="str">
        <f t="shared" si="13"/>
        <v>温度太低: &lt;{$TEMP_CRIT_LOW: "Ambient"}</v>
      </c>
      <c r="J242" s="1" t="str">
        <f t="shared" si="14"/>
        <v>{#SENSOR_LOCATION}.Ambient: 温度太低: &lt;{$TEMP_CRIT_LOW: "Ambient"}</v>
      </c>
      <c r="K242" s="1" t="str">
        <f t="shared" si="15"/>
        <v>Temperature is too low: &lt;{$TEMP_CRIT_LOW:"Ambient"}</v>
      </c>
    </row>
    <row r="243" spans="1:11">
      <c r="A243" s="1">
        <v>507</v>
      </c>
      <c r="B243" s="1" t="s">
        <v>9272</v>
      </c>
      <c r="C243" s="1" t="s">
        <v>9276</v>
      </c>
      <c r="D243" s="1" t="s">
        <v>808</v>
      </c>
      <c r="E243" s="1" t="s">
        <v>821</v>
      </c>
      <c r="F243" s="1" t="s">
        <v>822</v>
      </c>
      <c r="G243" s="1" t="s">
        <v>823</v>
      </c>
      <c r="H243" s="1" t="str">
        <f t="shared" si="12"/>
        <v>{#SENSOR_LOCATION}.Front</v>
      </c>
      <c r="I243" s="1" t="str">
        <f t="shared" si="13"/>
        <v>温度高于告警阈值: &gt;{$TEMP_WARN: "Ambient"}</v>
      </c>
      <c r="J243" s="1" t="str">
        <f t="shared" si="14"/>
        <v>{#SENSOR_LOCATION}.Front: 温度高于告警阈值: &gt;{$TEMP_WARN: "Ambient"}</v>
      </c>
      <c r="K243" s="1" t="str">
        <f t="shared" si="15"/>
        <v>Temperature is above warning threshold: &gt;{$TEMP_WARN:"Ambient"}</v>
      </c>
    </row>
    <row r="244" spans="1:11">
      <c r="A244" s="1">
        <v>508</v>
      </c>
      <c r="B244" s="1" t="s">
        <v>9272</v>
      </c>
      <c r="C244" s="1" t="s">
        <v>9277</v>
      </c>
      <c r="D244" s="1" t="s">
        <v>808</v>
      </c>
      <c r="E244" s="1" t="s">
        <v>825</v>
      </c>
      <c r="F244" s="1" t="s">
        <v>826</v>
      </c>
      <c r="G244" s="1" t="s">
        <v>827</v>
      </c>
      <c r="H244" s="1" t="str">
        <f t="shared" si="12"/>
        <v>{#SENSOR_LOCATION}.Front</v>
      </c>
      <c r="I244" s="1" t="str">
        <f t="shared" si="13"/>
        <v>温度高于临界阈值: &gt;{$TEMP_CRIT: "Ambient"}</v>
      </c>
      <c r="J244" s="1" t="str">
        <f t="shared" si="14"/>
        <v>{#SENSOR_LOCATION}.Front: 温度高于临界阈值: &gt;{$TEMP_CRIT: "Ambient"}</v>
      </c>
      <c r="K244" s="1" t="str">
        <f t="shared" si="15"/>
        <v>Temperature is above critical threshold: &gt;{$TEMP_CRIT:"Ambient"}</v>
      </c>
    </row>
    <row r="245" spans="1:11">
      <c r="A245" s="1">
        <v>509</v>
      </c>
      <c r="B245" s="1" t="s">
        <v>9272</v>
      </c>
      <c r="C245" s="1" t="s">
        <v>9278</v>
      </c>
      <c r="D245" s="1" t="s">
        <v>808</v>
      </c>
      <c r="E245" s="1" t="s">
        <v>829</v>
      </c>
      <c r="F245" s="1" t="s">
        <v>830</v>
      </c>
      <c r="G245" s="1" t="s">
        <v>831</v>
      </c>
      <c r="H245" s="1" t="str">
        <f t="shared" si="12"/>
        <v>{#SENSOR_LOCATION}.Front</v>
      </c>
      <c r="I245" s="1" t="str">
        <f t="shared" si="13"/>
        <v>温度太低: &lt;{$TEMP_CRIT_LOW: "Ambient"}</v>
      </c>
      <c r="J245" s="1" t="str">
        <f t="shared" si="14"/>
        <v>{#SENSOR_LOCATION}.Front: 温度太低: &lt;{$TEMP_CRIT_LOW: "Ambient"}</v>
      </c>
      <c r="K245" s="1" t="str">
        <f t="shared" si="15"/>
        <v>Temperature is too low: &lt;{$TEMP_CRIT_LOW:"Ambient"}</v>
      </c>
    </row>
    <row r="246" spans="1:11">
      <c r="A246" s="1">
        <v>510</v>
      </c>
      <c r="B246" s="1" t="s">
        <v>9272</v>
      </c>
      <c r="C246" s="1" t="s">
        <v>9279</v>
      </c>
      <c r="D246" s="1" t="s">
        <v>808</v>
      </c>
      <c r="E246" s="1" t="s">
        <v>833</v>
      </c>
      <c r="F246" s="1" t="s">
        <v>834</v>
      </c>
      <c r="G246" s="1" t="s">
        <v>835</v>
      </c>
      <c r="H246" s="1" t="str">
        <f t="shared" si="12"/>
        <v>{#SENSOR_LOCATION}.IOH</v>
      </c>
      <c r="I246" s="1" t="str">
        <f t="shared" si="13"/>
        <v>温度高于告警阈值: &gt;{$TEMP_WARN: "Ambient"}</v>
      </c>
      <c r="J246" s="1" t="str">
        <f t="shared" si="14"/>
        <v>{#SENSOR_LOCATION}.IOH: 温度高于告警阈值: &gt;{$TEMP_WARN: "Ambient"}</v>
      </c>
      <c r="K246" s="1" t="str">
        <f t="shared" si="15"/>
        <v>Temperature is above warning threshold: &gt;{$TEMP_WARN:"Ambient"}</v>
      </c>
    </row>
    <row r="247" spans="1:11">
      <c r="A247" s="1">
        <v>511</v>
      </c>
      <c r="B247" s="1" t="s">
        <v>9272</v>
      </c>
      <c r="C247" s="1" t="s">
        <v>9280</v>
      </c>
      <c r="D247" s="1" t="s">
        <v>808</v>
      </c>
      <c r="E247" s="1" t="s">
        <v>837</v>
      </c>
      <c r="F247" s="1" t="s">
        <v>838</v>
      </c>
      <c r="G247" s="1" t="s">
        <v>839</v>
      </c>
      <c r="H247" s="1" t="str">
        <f t="shared" si="12"/>
        <v>{#SENSOR_LOCATION}.IOH</v>
      </c>
      <c r="I247" s="1" t="str">
        <f t="shared" si="13"/>
        <v>温度高于临界阈值: &gt;{$TEMP_CRIT: "Ambient"}</v>
      </c>
      <c r="J247" s="1" t="str">
        <f t="shared" si="14"/>
        <v>{#SENSOR_LOCATION}.IOH: 温度高于临界阈值: &gt;{$TEMP_CRIT: "Ambient"}</v>
      </c>
      <c r="K247" s="1" t="str">
        <f t="shared" si="15"/>
        <v>Temperature is above critical threshold: &gt;{$TEMP_CRIT:"Ambient"}</v>
      </c>
    </row>
    <row r="248" spans="1:11">
      <c r="A248" s="1">
        <v>512</v>
      </c>
      <c r="B248" s="1" t="s">
        <v>9272</v>
      </c>
      <c r="C248" s="1" t="s">
        <v>9281</v>
      </c>
      <c r="D248" s="1" t="s">
        <v>808</v>
      </c>
      <c r="E248" s="1" t="s">
        <v>841</v>
      </c>
      <c r="F248" s="1" t="s">
        <v>842</v>
      </c>
      <c r="G248" s="1" t="s">
        <v>843</v>
      </c>
      <c r="H248" s="1" t="str">
        <f t="shared" si="12"/>
        <v>{#SENSOR_LOCATION}.IOH</v>
      </c>
      <c r="I248" s="1" t="str">
        <f t="shared" si="13"/>
        <v>温度太低: &lt;{$TEMP_CRIT_LOW: "Ambient"}</v>
      </c>
      <c r="J248" s="1" t="str">
        <f t="shared" si="14"/>
        <v>{#SENSOR_LOCATION}.IOH: 温度太低: &lt;{$TEMP_CRIT_LOW: "Ambient"}</v>
      </c>
      <c r="K248" s="1" t="str">
        <f t="shared" si="15"/>
        <v>Temperature is too low: &lt;{$TEMP_CRIT_LOW:"Ambient"}</v>
      </c>
    </row>
    <row r="249" spans="1:11">
      <c r="A249" s="1">
        <v>513</v>
      </c>
      <c r="B249" s="1" t="s">
        <v>9272</v>
      </c>
      <c r="C249" s="1" t="s">
        <v>9282</v>
      </c>
      <c r="D249" s="1" t="s">
        <v>808</v>
      </c>
      <c r="E249" s="1" t="s">
        <v>845</v>
      </c>
      <c r="F249" s="1" t="s">
        <v>846</v>
      </c>
      <c r="G249" s="1" t="s">
        <v>847</v>
      </c>
      <c r="H249" s="1" t="str">
        <f t="shared" si="12"/>
        <v>{#SENSOR_LOCATION}.Rear</v>
      </c>
      <c r="I249" s="1" t="str">
        <f t="shared" si="13"/>
        <v>温度高于告警阈值: &gt;{$TEMP_WARN: "Ambient"}</v>
      </c>
      <c r="J249" s="1" t="str">
        <f t="shared" si="14"/>
        <v>{#SENSOR_LOCATION}.Rear: 温度高于告警阈值: &gt;{$TEMP_WARN: "Ambient"}</v>
      </c>
      <c r="K249" s="1" t="str">
        <f t="shared" si="15"/>
        <v>Temperature is above warning threshold: &gt;{$TEMP_WARN:"Ambient"}</v>
      </c>
    </row>
    <row r="250" spans="1:11">
      <c r="A250" s="1">
        <v>514</v>
      </c>
      <c r="B250" s="1" t="s">
        <v>9272</v>
      </c>
      <c r="C250" s="1" t="s">
        <v>9283</v>
      </c>
      <c r="D250" s="1" t="s">
        <v>808</v>
      </c>
      <c r="E250" s="1" t="s">
        <v>849</v>
      </c>
      <c r="F250" s="1" t="s">
        <v>850</v>
      </c>
      <c r="G250" s="1" t="s">
        <v>851</v>
      </c>
      <c r="H250" s="1" t="str">
        <f t="shared" si="12"/>
        <v>{#SENSOR_LOCATION}.Rear</v>
      </c>
      <c r="I250" s="1" t="str">
        <f t="shared" si="13"/>
        <v>温度高于临界阈值: &gt;{$TEMP_CRIT: "Ambient"}</v>
      </c>
      <c r="J250" s="1" t="str">
        <f t="shared" si="14"/>
        <v>{#SENSOR_LOCATION}.Rear: 温度高于临界阈值: &gt;{$TEMP_CRIT: "Ambient"}</v>
      </c>
      <c r="K250" s="1" t="str">
        <f t="shared" si="15"/>
        <v>Temperature is above critical threshold: &gt;{$TEMP_CRIT:"Ambient"}</v>
      </c>
    </row>
    <row r="251" spans="1:11">
      <c r="A251" s="1">
        <v>515</v>
      </c>
      <c r="B251" s="1" t="s">
        <v>9272</v>
      </c>
      <c r="C251" s="1" t="s">
        <v>9284</v>
      </c>
      <c r="D251" s="1" t="s">
        <v>808</v>
      </c>
      <c r="E251" s="1" t="s">
        <v>853</v>
      </c>
      <c r="F251" s="1" t="s">
        <v>854</v>
      </c>
      <c r="G251" s="1" t="s">
        <v>855</v>
      </c>
      <c r="H251" s="1" t="str">
        <f t="shared" si="12"/>
        <v>{#SENSOR_LOCATION}.Rear</v>
      </c>
      <c r="I251" s="1" t="str">
        <f t="shared" si="13"/>
        <v>温度太低: &lt;{$TEMP_CRIT_LOW: "Ambient"}</v>
      </c>
      <c r="J251" s="1" t="str">
        <f t="shared" si="14"/>
        <v>{#SENSOR_LOCATION}.Rear: 温度太低: &lt;{$TEMP_CRIT_LOW: "Ambient"}</v>
      </c>
      <c r="K251" s="1" t="str">
        <f t="shared" si="15"/>
        <v>Temperature is too low: &lt;{$TEMP_CRIT_LOW:"Ambient"}</v>
      </c>
    </row>
    <row r="252" spans="1:11">
      <c r="A252" s="1">
        <v>516</v>
      </c>
      <c r="B252" s="1" t="s">
        <v>9272</v>
      </c>
      <c r="C252" s="1" t="s">
        <v>9285</v>
      </c>
      <c r="D252" s="1" t="s">
        <v>808</v>
      </c>
      <c r="E252" s="1" t="s">
        <v>857</v>
      </c>
      <c r="F252" s="1" t="s">
        <v>858</v>
      </c>
      <c r="G252" s="1" t="s">
        <v>859</v>
      </c>
      <c r="H252" s="1" t="str">
        <f t="shared" si="12"/>
        <v/>
      </c>
      <c r="I252" s="1" t="str">
        <f t="shared" si="13"/>
        <v/>
      </c>
      <c r="J252" s="1" t="str">
        <f t="shared" si="14"/>
        <v>{#SENSOR_LOCATION}: 温度高于告警阈值: &gt;{$TEMP_WARN: "CPU"}</v>
      </c>
      <c r="K252" s="1" t="str">
        <f t="shared" si="15"/>
        <v/>
      </c>
    </row>
    <row r="253" spans="1:11">
      <c r="A253" s="1">
        <v>517</v>
      </c>
      <c r="B253" s="1" t="s">
        <v>9272</v>
      </c>
      <c r="C253" s="1" t="s">
        <v>9286</v>
      </c>
      <c r="D253" s="1" t="s">
        <v>808</v>
      </c>
      <c r="E253" s="1" t="s">
        <v>861</v>
      </c>
      <c r="F253" s="1" t="s">
        <v>862</v>
      </c>
      <c r="G253" s="1" t="s">
        <v>863</v>
      </c>
      <c r="H253" s="1" t="str">
        <f t="shared" si="12"/>
        <v/>
      </c>
      <c r="I253" s="1" t="str">
        <f t="shared" si="13"/>
        <v/>
      </c>
      <c r="J253" s="1" t="str">
        <f t="shared" si="14"/>
        <v>{#SENSOR_LOCATION}: 温度高于临界阈值: &gt;{$TEMP_CRIT: "CPU"}</v>
      </c>
      <c r="K253" s="1" t="str">
        <f t="shared" si="15"/>
        <v/>
      </c>
    </row>
    <row r="254" spans="1:11">
      <c r="A254" s="1">
        <v>518</v>
      </c>
      <c r="B254" s="1" t="s">
        <v>9272</v>
      </c>
      <c r="C254" s="1" t="s">
        <v>9287</v>
      </c>
      <c r="D254" s="1" t="s">
        <v>808</v>
      </c>
      <c r="E254" s="1" t="s">
        <v>865</v>
      </c>
      <c r="F254" s="1" t="s">
        <v>866</v>
      </c>
      <c r="G254" s="1" t="s">
        <v>867</v>
      </c>
      <c r="H254" s="1" t="str">
        <f t="shared" si="12"/>
        <v/>
      </c>
      <c r="I254" s="1" t="str">
        <f t="shared" si="13"/>
        <v/>
      </c>
      <c r="J254" s="1" t="str">
        <f t="shared" si="14"/>
        <v>{#SENSOR_LOCATION}: 温度太低: &lt;{$TEMP_CRIT_LOW: "CPU"}</v>
      </c>
      <c r="K254" s="1" t="str">
        <f t="shared" si="15"/>
        <v/>
      </c>
    </row>
    <row r="255" spans="1:11">
      <c r="A255" s="1">
        <v>519</v>
      </c>
      <c r="B255" s="1" t="s">
        <v>9272</v>
      </c>
      <c r="C255" s="1" t="s">
        <v>9288</v>
      </c>
      <c r="D255" s="1" t="s">
        <v>808</v>
      </c>
      <c r="E255" s="1" t="s">
        <v>869</v>
      </c>
      <c r="F255" s="1" t="s">
        <v>805</v>
      </c>
      <c r="G255" s="1" t="s">
        <v>806</v>
      </c>
      <c r="H255" s="1" t="str">
        <f t="shared" si="12"/>
        <v/>
      </c>
      <c r="I255" s="1" t="str">
        <f t="shared" si="13"/>
        <v/>
      </c>
      <c r="J255" s="1" t="str">
        <f t="shared" si="14"/>
        <v>{#UNIT_LOCATION}: 设备已更换(收到新序列号)</v>
      </c>
      <c r="K255" s="1" t="str">
        <f t="shared" si="15"/>
        <v/>
      </c>
    </row>
    <row r="256" spans="1:11">
      <c r="A256" s="1">
        <v>524</v>
      </c>
      <c r="B256" s="1" t="s">
        <v>9289</v>
      </c>
      <c r="C256" s="1" t="s">
        <v>9290</v>
      </c>
      <c r="D256" s="1" t="s">
        <v>871</v>
      </c>
      <c r="E256" s="1" t="s">
        <v>872</v>
      </c>
      <c r="F256" s="1" t="s">
        <v>873</v>
      </c>
      <c r="G256" s="1" t="s">
        <v>874</v>
      </c>
      <c r="H256" s="1" t="str">
        <f t="shared" si="12"/>
        <v>ClickHouse</v>
      </c>
      <c r="I256" s="1" t="str">
        <f t="shared" si="13"/>
        <v>{#DB}.{#TABLE}: log_max_index和log_pointer之间的差异太大(超过{$CLICKHOUSE.LOG_POSITION.DIFF.MAX.WARN}达5分钟)</v>
      </c>
      <c r="J256" s="1" t="str">
        <f t="shared" si="14"/>
        <v>ClickHouse: {#DB}.{#TABLE}: log_max_index和log_pointer之间的差异太大(超过{$CLICKHOUSE.LOG_POSITION.DIFF.MAX.WARN}达5分钟)</v>
      </c>
      <c r="K256" s="1" t="str">
        <f t="shared" si="15"/>
        <v>{#DB}.{#TABLE}: Difference between log_max_index and log_pointer is too high (More than {$CLICKHOUSE.LOG_POSITION.DIFF.MAX.WARN} for 5m)</v>
      </c>
    </row>
    <row r="257" spans="1:11">
      <c r="A257" s="1">
        <v>525</v>
      </c>
      <c r="B257" s="1" t="s">
        <v>9289</v>
      </c>
      <c r="C257" s="1" t="s">
        <v>9291</v>
      </c>
      <c r="D257" s="1" t="s">
        <v>871</v>
      </c>
      <c r="E257" s="1" t="s">
        <v>876</v>
      </c>
      <c r="F257" s="1" t="s">
        <v>877</v>
      </c>
      <c r="G257" s="1" t="s">
        <v>878</v>
      </c>
      <c r="H257" s="1" t="str">
        <f t="shared" si="12"/>
        <v>ClickHouse</v>
      </c>
      <c r="I257" s="1" t="str">
        <f t="shared" si="13"/>
        <v>{#DB}.{#TABLE}: 队列中的操作太多(超过{$CLICKHOUSE.QUEUE.SIZE.MAX.WARN}达5分钟)</v>
      </c>
      <c r="J257" s="1" t="str">
        <f t="shared" si="14"/>
        <v>ClickHouse: {#DB}.{#TABLE}: 队列中的操作太多(超过{$CLICKHOUSE.QUEUE.SIZE.MAX.WARN}达5分钟)</v>
      </c>
      <c r="K257" s="1" t="str">
        <f t="shared" si="15"/>
        <v>{#DB}.{#TABLE}: Too many operations in queue (over {$CLICKHOUSE.QUEUE.SIZE.MAX.WARN} for 5m)</v>
      </c>
    </row>
    <row r="258" spans="1:11">
      <c r="A258" s="1">
        <v>528</v>
      </c>
      <c r="B258" s="1" t="s">
        <v>9292</v>
      </c>
      <c r="C258" s="1" t="s">
        <v>9078</v>
      </c>
      <c r="D258" s="1" t="s">
        <v>880</v>
      </c>
      <c r="E258" s="1" t="s">
        <v>5478</v>
      </c>
      <c r="F258" s="1" t="s">
        <v>882</v>
      </c>
      <c r="G258" s="1" t="s">
        <v>883</v>
      </c>
      <c r="H258" s="1" t="str">
        <f t="shared" ref="H258:H321" si="16">IFERROR(IF(OR(MID(G258,FIND(":",G258)-1,1)="""",MID(G258,FIND(":",G258)-1,1)="}",MID(G258,FIND(":",G258)-1,1)=")",MID(G258,FIND(":",G258)-1,1)="]"),"",LEFT(F258,FIND(":",F258)-1)),"")</f>
        <v>CockroachDB</v>
      </c>
      <c r="I258" s="1" t="str">
        <f t="shared" ref="I258:I321" si="17">IFERROR(IF(OR(MID(G258,FIND(":",G258)-1,1)="""",MID(G258,FIND(":",G258)-1,1)="}",MID(G258,FIND(":",G258)-1,1)=")",MID(G258,FIND(":",G258)-1,1)="]"),"",RIGHT(G258,LEN(G258)-FIND(":",G258)-1)),"")</f>
        <v>存储[{#STORE}]: 可用存储容量严重不足(小于{$COCKROACHDB.STORE.USED.MIN.CRIT}%)</v>
      </c>
      <c r="J258" s="1" t="str">
        <f t="shared" ref="J258:J321" si="18">IF(AND(I258="",H258=""),G258,H258&amp;": "&amp;I258)</f>
        <v>CockroachDB: 存储[{#STORE}]: 可用存储容量严重不足(小于{$COCKROACHDB.STORE.USED.MIN.CRIT}%)</v>
      </c>
      <c r="K258" s="1" t="str">
        <f t="shared" ref="K258:K321" si="19">IFERROR(IF(OR(MID(F258,FIND(":",F258)-1,1)="""",MID(F258,FIND(":",F258)-1,1)="}",MID(F258,FIND(":",F258)-1,1)=")",MID(F258,FIND(":",F258)-1,1)="]"),"",RIGHT(F258,LEN(F258)-FIND(":",F258)-1)),"")</f>
        <v>Storage [{#STORE}]: Available storage capacity is critically low (less than {$COCKROACHDB.STORE.USED.MIN.CRIT}%)</v>
      </c>
    </row>
    <row r="259" spans="1:11">
      <c r="A259" s="1">
        <v>529</v>
      </c>
      <c r="B259" s="1" t="s">
        <v>9292</v>
      </c>
      <c r="C259" s="1" t="s">
        <v>9081</v>
      </c>
      <c r="D259" s="1" t="s">
        <v>880</v>
      </c>
      <c r="E259" s="1" t="s">
        <v>5480</v>
      </c>
      <c r="F259" s="1" t="s">
        <v>886</v>
      </c>
      <c r="G259" s="1" t="s">
        <v>887</v>
      </c>
      <c r="H259" s="1" t="str">
        <f t="shared" si="16"/>
        <v>CockroachDB</v>
      </c>
      <c r="I259" s="1" t="str">
        <f t="shared" si="17"/>
        <v>存储[{#STORE}]: 可用存储容量低(小于{$COCKROACHDB.STORE.USED.MIN.WARN}%)</v>
      </c>
      <c r="J259" s="1" t="str">
        <f t="shared" si="18"/>
        <v>CockroachDB: 存储[{#STORE}]: 可用存储容量低(小于{$COCKROACHDB.STORE.USED.MIN.WARN}%)</v>
      </c>
      <c r="K259" s="1" t="str">
        <f t="shared" si="19"/>
        <v>Storage [{#STORE}]: Available storage capacity is low (less than {$COCKROACHDB.STORE.USED.MIN.WARN}%)</v>
      </c>
    </row>
    <row r="260" spans="1:11">
      <c r="A260" s="1">
        <v>538</v>
      </c>
      <c r="B260" s="1" t="s">
        <v>9293</v>
      </c>
      <c r="C260" s="1" t="s">
        <v>9294</v>
      </c>
      <c r="D260" s="1" t="s">
        <v>889</v>
      </c>
      <c r="E260" s="1" t="s">
        <v>890</v>
      </c>
      <c r="F260" s="1" t="s">
        <v>161</v>
      </c>
      <c r="G260" s="1" t="s">
        <v>162</v>
      </c>
      <c r="H260" s="1" t="str">
        <f t="shared" si="16"/>
        <v/>
      </c>
      <c r="I260" s="1" t="str">
        <f t="shared" si="17"/>
        <v/>
      </c>
      <c r="J260" s="1" t="str">
        <f t="shared" si="18"/>
        <v>接口{#IFNAME}({#IFALIAS}): 带宽使用率太高(&gt;{$IF.UTIL.MAX: "{#IFNAME}"}%)</v>
      </c>
      <c r="K260" s="1" t="str">
        <f t="shared" si="19"/>
        <v/>
      </c>
    </row>
    <row r="261" spans="1:11">
      <c r="A261" s="1">
        <v>539</v>
      </c>
      <c r="B261" s="1" t="s">
        <v>9293</v>
      </c>
      <c r="C261" s="1" t="s">
        <v>9295</v>
      </c>
      <c r="D261" s="1" t="s">
        <v>889</v>
      </c>
      <c r="E261" s="1" t="s">
        <v>892</v>
      </c>
      <c r="F261" s="1" t="s">
        <v>165</v>
      </c>
      <c r="G261" s="1" t="s">
        <v>166</v>
      </c>
      <c r="H261" s="1" t="str">
        <f t="shared" si="16"/>
        <v/>
      </c>
      <c r="I261" s="1" t="str">
        <f t="shared" si="17"/>
        <v/>
      </c>
      <c r="J261" s="1" t="str">
        <f t="shared" si="18"/>
        <v>接口{#IFNAME}({#IFALIAS}): 错误率太高(&gt;{$IF.ERRORS.WARN: "{#IFNAME}"}达5分钟)</v>
      </c>
      <c r="K261" s="1" t="str">
        <f t="shared" si="19"/>
        <v/>
      </c>
    </row>
    <row r="262" spans="1:11">
      <c r="A262" s="1">
        <v>542</v>
      </c>
      <c r="B262" s="1" t="s">
        <v>9293</v>
      </c>
      <c r="C262" s="1" t="s">
        <v>9296</v>
      </c>
      <c r="D262" s="1" t="s">
        <v>889</v>
      </c>
      <c r="E262" s="1" t="s">
        <v>894</v>
      </c>
      <c r="F262" s="1" t="s">
        <v>895</v>
      </c>
      <c r="G262" s="1" t="s">
        <v>896</v>
      </c>
      <c r="H262" s="1" t="str">
        <f t="shared" si="16"/>
        <v/>
      </c>
      <c r="I262" s="1" t="str">
        <f t="shared" si="17"/>
        <v/>
      </c>
      <c r="J262" s="1" t="str">
        <f t="shared" si="18"/>
        <v>{#SNMPINDEX}: 内存利用率高了(&gt;{$MEMORY.UTIL.MAX}%达5分钟)</v>
      </c>
      <c r="K262" s="1" t="str">
        <f t="shared" si="19"/>
        <v/>
      </c>
    </row>
    <row r="263" spans="1:11">
      <c r="A263" s="1">
        <v>545</v>
      </c>
      <c r="B263" s="1" t="s">
        <v>9293</v>
      </c>
      <c r="C263" s="1" t="s">
        <v>9297</v>
      </c>
      <c r="D263" s="1" t="s">
        <v>889</v>
      </c>
      <c r="E263" s="1" t="s">
        <v>898</v>
      </c>
      <c r="F263" s="1" t="s">
        <v>173</v>
      </c>
      <c r="G263" s="1" t="s">
        <v>174</v>
      </c>
      <c r="H263" s="1" t="str">
        <f t="shared" si="16"/>
        <v/>
      </c>
      <c r="I263" s="1" t="str">
        <f t="shared" si="17"/>
        <v/>
      </c>
      <c r="J263" s="1" t="str">
        <f t="shared" si="18"/>
        <v>{#SNMPVALUE}: 温度高于临界阈值: &gt;{$TEMP_CRIT: "{#SNMPVALUE}"}</v>
      </c>
      <c r="K263" s="1" t="str">
        <f t="shared" si="19"/>
        <v/>
      </c>
    </row>
    <row r="264" spans="1:11">
      <c r="A264" s="1">
        <v>546</v>
      </c>
      <c r="B264" s="1" t="s">
        <v>9293</v>
      </c>
      <c r="C264" s="1" t="s">
        <v>9298</v>
      </c>
      <c r="D264" s="1" t="s">
        <v>889</v>
      </c>
      <c r="E264" s="1" t="s">
        <v>900</v>
      </c>
      <c r="F264" s="1" t="s">
        <v>177</v>
      </c>
      <c r="G264" s="1" t="s">
        <v>178</v>
      </c>
      <c r="H264" s="1" t="str">
        <f t="shared" si="16"/>
        <v/>
      </c>
      <c r="I264" s="1" t="str">
        <f t="shared" si="17"/>
        <v/>
      </c>
      <c r="J264" s="1" t="str">
        <f t="shared" si="18"/>
        <v>{#SNMPVALUE}: 温度高于告警阈值: &gt;{$TEMP_WARN: "{#SNMPVALUE}"}</v>
      </c>
      <c r="K264" s="1" t="str">
        <f t="shared" si="19"/>
        <v/>
      </c>
    </row>
    <row r="265" spans="1:11">
      <c r="A265" s="1">
        <v>547</v>
      </c>
      <c r="B265" s="1" t="s">
        <v>9293</v>
      </c>
      <c r="C265" s="1" t="s">
        <v>9299</v>
      </c>
      <c r="D265" s="1" t="s">
        <v>889</v>
      </c>
      <c r="E265" s="1" t="s">
        <v>902</v>
      </c>
      <c r="F265" s="1" t="s">
        <v>181</v>
      </c>
      <c r="G265" s="1" t="s">
        <v>182</v>
      </c>
      <c r="H265" s="1" t="str">
        <f t="shared" si="16"/>
        <v/>
      </c>
      <c r="I265" s="1" t="str">
        <f t="shared" si="17"/>
        <v/>
      </c>
      <c r="J265" s="1" t="str">
        <f t="shared" si="18"/>
        <v>{#SNMPVALUE}: 温度太低: &lt;{$TEMP_CRIT_LOW: "{#SNMPVALUE}"}</v>
      </c>
      <c r="K265" s="1" t="str">
        <f t="shared" si="19"/>
        <v/>
      </c>
    </row>
    <row r="266" spans="1:11">
      <c r="A266" s="1">
        <v>549</v>
      </c>
      <c r="B266" s="1" t="s">
        <v>9300</v>
      </c>
      <c r="C266" s="1" t="s">
        <v>9166</v>
      </c>
      <c r="D266" s="1" t="s">
        <v>904</v>
      </c>
      <c r="E266" s="1" t="s">
        <v>905</v>
      </c>
      <c r="F266" s="1" t="s">
        <v>906</v>
      </c>
      <c r="G266" s="1" t="s">
        <v>907</v>
      </c>
      <c r="H266" s="1" t="str">
        <f t="shared" si="16"/>
        <v/>
      </c>
      <c r="I266" s="1" t="str">
        <f t="shared" si="17"/>
        <v/>
      </c>
      <c r="J266" s="1" t="str">
        <f t="shared" si="18"/>
        <v>#{#SNMPVALUE}: 内存利用率高了(&gt;{$MEMORY.UTIL.MAX}%达5分钟)</v>
      </c>
      <c r="K266" s="1" t="str">
        <f t="shared" si="19"/>
        <v/>
      </c>
    </row>
    <row r="267" spans="1:11">
      <c r="A267" s="1">
        <v>551</v>
      </c>
      <c r="B267" s="1" t="s">
        <v>9300</v>
      </c>
      <c r="C267" s="1" t="s">
        <v>9301</v>
      </c>
      <c r="D267" s="1" t="s">
        <v>904</v>
      </c>
      <c r="E267" s="1" t="s">
        <v>909</v>
      </c>
      <c r="F267" s="1" t="s">
        <v>910</v>
      </c>
      <c r="G267" s="1" t="s">
        <v>911</v>
      </c>
      <c r="H267" s="1" t="str">
        <f t="shared" si="16"/>
        <v/>
      </c>
      <c r="I267" s="1" t="str">
        <f t="shared" si="17"/>
        <v/>
      </c>
      <c r="J267" s="1" t="str">
        <f t="shared" si="18"/>
        <v>#{#SNMPVALUE}: 温度高于临界阈值: &gt;{$TEMP_CRIT: "{#SNMPVALUE}"}</v>
      </c>
      <c r="K267" s="1" t="str">
        <f t="shared" si="19"/>
        <v/>
      </c>
    </row>
    <row r="268" spans="1:11">
      <c r="A268" s="1">
        <v>552</v>
      </c>
      <c r="B268" s="1" t="s">
        <v>9300</v>
      </c>
      <c r="C268" s="1" t="s">
        <v>9302</v>
      </c>
      <c r="D268" s="1" t="s">
        <v>904</v>
      </c>
      <c r="E268" s="1" t="s">
        <v>913</v>
      </c>
      <c r="F268" s="1" t="s">
        <v>914</v>
      </c>
      <c r="G268" s="1" t="s">
        <v>915</v>
      </c>
      <c r="H268" s="1" t="str">
        <f t="shared" si="16"/>
        <v/>
      </c>
      <c r="I268" s="1" t="str">
        <f t="shared" si="17"/>
        <v/>
      </c>
      <c r="J268" s="1" t="str">
        <f t="shared" si="18"/>
        <v>#{#SNMPVALUE}: 温度高于告警阈值: &gt;{$TEMP_WARN: "{#SNMPVALUE}"}</v>
      </c>
      <c r="K268" s="1" t="str">
        <f t="shared" si="19"/>
        <v/>
      </c>
    </row>
    <row r="269" spans="1:11">
      <c r="A269" s="1">
        <v>553</v>
      </c>
      <c r="B269" s="1" t="s">
        <v>9300</v>
      </c>
      <c r="C269" s="1" t="s">
        <v>9303</v>
      </c>
      <c r="D269" s="1" t="s">
        <v>904</v>
      </c>
      <c r="E269" s="1" t="s">
        <v>917</v>
      </c>
      <c r="F269" s="1" t="s">
        <v>918</v>
      </c>
      <c r="G269" s="1" t="s">
        <v>919</v>
      </c>
      <c r="H269" s="1" t="str">
        <f t="shared" si="16"/>
        <v/>
      </c>
      <c r="I269" s="1" t="str">
        <f t="shared" si="17"/>
        <v/>
      </c>
      <c r="J269" s="1" t="str">
        <f t="shared" si="18"/>
        <v>#{#SNMPVALUE}: 温度太低: &lt;{$TEMP_CRIT_LOW: "{#SNMPVALUE}"}</v>
      </c>
      <c r="K269" s="1" t="str">
        <f t="shared" si="19"/>
        <v/>
      </c>
    </row>
    <row r="270" spans="1:11">
      <c r="A270" s="1">
        <v>554</v>
      </c>
      <c r="B270" s="1" t="s">
        <v>9300</v>
      </c>
      <c r="C270" s="1" t="s">
        <v>9304</v>
      </c>
      <c r="D270" s="1" t="s">
        <v>904</v>
      </c>
      <c r="E270" s="1" t="s">
        <v>921</v>
      </c>
      <c r="F270" s="1" t="s">
        <v>161</v>
      </c>
      <c r="G270" s="1" t="s">
        <v>162</v>
      </c>
      <c r="H270" s="1" t="str">
        <f t="shared" si="16"/>
        <v/>
      </c>
      <c r="I270" s="1" t="str">
        <f t="shared" si="17"/>
        <v/>
      </c>
      <c r="J270" s="1" t="str">
        <f t="shared" si="18"/>
        <v>接口{#IFNAME}({#IFALIAS}): 带宽使用率太高(&gt;{$IF.UTIL.MAX: "{#IFNAME}"}%)</v>
      </c>
      <c r="K270" s="1" t="str">
        <f t="shared" si="19"/>
        <v/>
      </c>
    </row>
    <row r="271" spans="1:11">
      <c r="A271" s="1">
        <v>556</v>
      </c>
      <c r="B271" s="1" t="s">
        <v>9300</v>
      </c>
      <c r="C271" s="1" t="s">
        <v>9167</v>
      </c>
      <c r="D271" s="1" t="s">
        <v>904</v>
      </c>
      <c r="E271" s="1" t="s">
        <v>923</v>
      </c>
      <c r="F271" s="1" t="s">
        <v>165</v>
      </c>
      <c r="G271" s="1" t="s">
        <v>166</v>
      </c>
      <c r="H271" s="1" t="str">
        <f t="shared" si="16"/>
        <v/>
      </c>
      <c r="I271" s="1" t="str">
        <f t="shared" si="17"/>
        <v/>
      </c>
      <c r="J271" s="1" t="str">
        <f t="shared" si="18"/>
        <v>接口{#IFNAME}({#IFALIAS}): 错误率太高(&gt;{$IF.ERRORS.WARN: "{#IFNAME}"}达5分钟)</v>
      </c>
      <c r="K271" s="1" t="str">
        <f t="shared" si="19"/>
        <v/>
      </c>
    </row>
    <row r="272" spans="1:11">
      <c r="A272" s="1">
        <v>563</v>
      </c>
      <c r="B272" s="1" t="s">
        <v>9305</v>
      </c>
      <c r="C272" s="1" t="s">
        <v>9106</v>
      </c>
      <c r="D272" s="1" t="s">
        <v>925</v>
      </c>
      <c r="E272" s="1" t="s">
        <v>926</v>
      </c>
      <c r="F272" s="1" t="s">
        <v>927</v>
      </c>
      <c r="G272" s="1" t="s">
        <v>928</v>
      </c>
      <c r="H272" s="1" t="str">
        <f t="shared" si="16"/>
        <v>Dell R720</v>
      </c>
      <c r="I272" s="1" t="str">
        <f t="shared" si="17"/>
        <v>{#DISK_NAME}已更换(收到新序列号)</v>
      </c>
      <c r="J272" s="1" t="str">
        <f t="shared" si="18"/>
        <v>Dell R720: {#DISK_NAME}已更换(收到新序列号)</v>
      </c>
      <c r="K272" s="1" t="str">
        <f t="shared" si="19"/>
        <v>{#DISK_NAME} has been replaced (new serial number received)</v>
      </c>
    </row>
    <row r="273" spans="1:11">
      <c r="A273" s="1">
        <v>584</v>
      </c>
      <c r="B273" s="1" t="s">
        <v>9306</v>
      </c>
      <c r="C273" s="1" t="s">
        <v>9213</v>
      </c>
      <c r="D273" s="1" t="s">
        <v>930</v>
      </c>
      <c r="E273" s="1" t="s">
        <v>931</v>
      </c>
      <c r="F273" s="1" t="s">
        <v>927</v>
      </c>
      <c r="G273" s="1" t="s">
        <v>928</v>
      </c>
      <c r="H273" s="1" t="str">
        <f t="shared" si="16"/>
        <v>Dell R720</v>
      </c>
      <c r="I273" s="1" t="str">
        <f t="shared" si="17"/>
        <v>{#DISK_NAME}已更换(收到新序列号)</v>
      </c>
      <c r="J273" s="1" t="str">
        <f t="shared" si="18"/>
        <v>Dell R720: {#DISK_NAME}已更换(收到新序列号)</v>
      </c>
      <c r="K273" s="1" t="str">
        <f t="shared" si="19"/>
        <v>{#DISK_NAME} has been replaced (new serial number received)</v>
      </c>
    </row>
    <row r="274" spans="1:11">
      <c r="A274" s="1">
        <v>600</v>
      </c>
      <c r="B274" s="1" t="s">
        <v>9307</v>
      </c>
      <c r="C274" s="1" t="s">
        <v>9106</v>
      </c>
      <c r="D274" s="1" t="s">
        <v>933</v>
      </c>
      <c r="E274" s="1" t="s">
        <v>934</v>
      </c>
      <c r="F274" s="1" t="s">
        <v>935</v>
      </c>
      <c r="G274" s="1" t="s">
        <v>936</v>
      </c>
      <c r="H274" s="1" t="str">
        <f t="shared" si="16"/>
        <v>Dell R740</v>
      </c>
      <c r="I274" s="1" t="str">
        <f t="shared" si="17"/>
        <v>{#DISK_NAME}已更换(收到新序列号)</v>
      </c>
      <c r="J274" s="1" t="str">
        <f t="shared" si="18"/>
        <v>Dell R740: {#DISK_NAME}已更换(收到新序列号)</v>
      </c>
      <c r="K274" s="1" t="str">
        <f t="shared" si="19"/>
        <v>{#DISK_NAME} has been replaced (new serial number received)</v>
      </c>
    </row>
    <row r="275" spans="1:11">
      <c r="A275" s="1">
        <v>621</v>
      </c>
      <c r="B275" s="1" t="s">
        <v>9308</v>
      </c>
      <c r="C275" s="1" t="s">
        <v>9213</v>
      </c>
      <c r="D275" s="1" t="s">
        <v>938</v>
      </c>
      <c r="E275" s="1" t="s">
        <v>939</v>
      </c>
      <c r="F275" s="1" t="s">
        <v>935</v>
      </c>
      <c r="G275" s="1" t="s">
        <v>936</v>
      </c>
      <c r="H275" s="1" t="str">
        <f t="shared" si="16"/>
        <v>Dell R740</v>
      </c>
      <c r="I275" s="1" t="str">
        <f t="shared" si="17"/>
        <v>{#DISK_NAME}已更换(收到新序列号)</v>
      </c>
      <c r="J275" s="1" t="str">
        <f t="shared" si="18"/>
        <v>Dell R740: {#DISK_NAME}已更换(收到新序列号)</v>
      </c>
      <c r="K275" s="1" t="str">
        <f t="shared" si="19"/>
        <v>{#DISK_NAME} has been replaced (new serial number received)</v>
      </c>
    </row>
    <row r="276" spans="1:11">
      <c r="A276" s="1">
        <v>637</v>
      </c>
      <c r="B276" s="1" t="s">
        <v>9309</v>
      </c>
      <c r="C276" s="1" t="s">
        <v>9106</v>
      </c>
      <c r="D276" s="1" t="s">
        <v>941</v>
      </c>
      <c r="E276" s="1" t="s">
        <v>942</v>
      </c>
      <c r="F276" s="1" t="s">
        <v>943</v>
      </c>
      <c r="G276" s="1" t="s">
        <v>944</v>
      </c>
      <c r="H276" s="1" t="str">
        <f t="shared" si="16"/>
        <v>Dell R820</v>
      </c>
      <c r="I276" s="1" t="str">
        <f t="shared" si="17"/>
        <v>{#DISK_NAME}已更换(收到新序列号)</v>
      </c>
      <c r="J276" s="1" t="str">
        <f t="shared" si="18"/>
        <v>Dell R820: {#DISK_NAME}已更换(收到新序列号)</v>
      </c>
      <c r="K276" s="1" t="str">
        <f t="shared" si="19"/>
        <v>{#DISK_NAME} has been replaced (new serial number received)</v>
      </c>
    </row>
    <row r="277" spans="1:11">
      <c r="A277" s="1">
        <v>658</v>
      </c>
      <c r="B277" s="1" t="s">
        <v>9310</v>
      </c>
      <c r="C277" s="1" t="s">
        <v>9213</v>
      </c>
      <c r="D277" s="1" t="s">
        <v>946</v>
      </c>
      <c r="E277" s="1" t="s">
        <v>947</v>
      </c>
      <c r="F277" s="1" t="s">
        <v>943</v>
      </c>
      <c r="G277" s="1" t="s">
        <v>944</v>
      </c>
      <c r="H277" s="1" t="str">
        <f t="shared" si="16"/>
        <v>Dell R820</v>
      </c>
      <c r="I277" s="1" t="str">
        <f t="shared" si="17"/>
        <v>{#DISK_NAME}已更换(收到新序列号)</v>
      </c>
      <c r="J277" s="1" t="str">
        <f t="shared" si="18"/>
        <v>Dell R820: {#DISK_NAME}已更换(收到新序列号)</v>
      </c>
      <c r="K277" s="1" t="str">
        <f t="shared" si="19"/>
        <v>{#DISK_NAME} has been replaced (new serial number received)</v>
      </c>
    </row>
    <row r="278" spans="1:11">
      <c r="A278" s="1">
        <v>674</v>
      </c>
      <c r="B278" s="1" t="s">
        <v>9311</v>
      </c>
      <c r="C278" s="1" t="s">
        <v>9106</v>
      </c>
      <c r="D278" s="1" t="s">
        <v>949</v>
      </c>
      <c r="E278" s="1" t="s">
        <v>950</v>
      </c>
      <c r="F278" s="1" t="s">
        <v>951</v>
      </c>
      <c r="G278" s="1" t="s">
        <v>952</v>
      </c>
      <c r="H278" s="1" t="str">
        <f t="shared" si="16"/>
        <v>Dell R840</v>
      </c>
      <c r="I278" s="1" t="str">
        <f t="shared" si="17"/>
        <v>{#DISK_NAME}已更换(收到新序列号)</v>
      </c>
      <c r="J278" s="1" t="str">
        <f t="shared" si="18"/>
        <v>Dell R840: {#DISK_NAME}已更换(收到新序列号)</v>
      </c>
      <c r="K278" s="1" t="str">
        <f t="shared" si="19"/>
        <v>{#DISK_NAME} has been replaced (new serial number received)</v>
      </c>
    </row>
    <row r="279" spans="1:11">
      <c r="A279" s="1">
        <v>695</v>
      </c>
      <c r="B279" s="1" t="s">
        <v>9312</v>
      </c>
      <c r="C279" s="1" t="s">
        <v>9213</v>
      </c>
      <c r="D279" s="1" t="s">
        <v>954</v>
      </c>
      <c r="E279" s="1" t="s">
        <v>955</v>
      </c>
      <c r="F279" s="1" t="s">
        <v>951</v>
      </c>
      <c r="G279" s="1" t="s">
        <v>952</v>
      </c>
      <c r="H279" s="1" t="str">
        <f t="shared" si="16"/>
        <v>Dell R840</v>
      </c>
      <c r="I279" s="1" t="str">
        <f t="shared" si="17"/>
        <v>{#DISK_NAME}已更换(收到新序列号)</v>
      </c>
      <c r="J279" s="1" t="str">
        <f t="shared" si="18"/>
        <v>Dell R840: {#DISK_NAME}已更换(收到新序列号)</v>
      </c>
      <c r="K279" s="1" t="str">
        <f t="shared" si="19"/>
        <v>{#DISK_NAME} has been replaced (new serial number received)</v>
      </c>
    </row>
    <row r="280" spans="1:11">
      <c r="A280" s="1">
        <v>707</v>
      </c>
      <c r="B280" s="1" t="s">
        <v>9313</v>
      </c>
      <c r="C280" s="1" t="s">
        <v>9085</v>
      </c>
      <c r="D280" s="1" t="s">
        <v>957</v>
      </c>
      <c r="E280" s="1" t="s">
        <v>958</v>
      </c>
      <c r="F280" s="1" t="s">
        <v>541</v>
      </c>
      <c r="G280" s="1" t="s">
        <v>542</v>
      </c>
      <c r="H280" s="1" t="str">
        <f t="shared" si="16"/>
        <v/>
      </c>
      <c r="I280" s="1" t="str">
        <f t="shared" si="17"/>
        <v/>
      </c>
      <c r="J280" s="1" t="str">
        <f t="shared" si="18"/>
        <v>#{#SNMPINDEX}: CPU使用率高了(超过{$CPU.UTIL.CRIT}%达5分钟)</v>
      </c>
      <c r="K280" s="1" t="str">
        <f t="shared" si="19"/>
        <v/>
      </c>
    </row>
    <row r="281" spans="1:11">
      <c r="A281" s="1">
        <v>708</v>
      </c>
      <c r="B281" s="1" t="s">
        <v>9313</v>
      </c>
      <c r="C281" s="1" t="s">
        <v>9086</v>
      </c>
      <c r="D281" s="1" t="s">
        <v>957</v>
      </c>
      <c r="E281" s="1" t="s">
        <v>960</v>
      </c>
      <c r="F281" s="1" t="s">
        <v>961</v>
      </c>
      <c r="G281" s="1" t="s">
        <v>962</v>
      </c>
      <c r="H281" s="1" t="str">
        <f t="shared" si="16"/>
        <v/>
      </c>
      <c r="I281" s="1" t="str">
        <f t="shared" si="17"/>
        <v/>
      </c>
      <c r="J281" s="1" t="str">
        <f t="shared" si="18"/>
        <v>#{#SNMPINDEX}: 内存利用率高了(&gt;{$MEMORY.UTIL.MAX}%达5分钟)</v>
      </c>
      <c r="K281" s="1" t="str">
        <f t="shared" si="19"/>
        <v/>
      </c>
    </row>
    <row r="282" spans="1:11">
      <c r="A282" s="1">
        <v>709</v>
      </c>
      <c r="B282" s="1" t="s">
        <v>9313</v>
      </c>
      <c r="C282" s="1" t="s">
        <v>9088</v>
      </c>
      <c r="D282" s="1" t="s">
        <v>957</v>
      </c>
      <c r="E282" s="1" t="s">
        <v>964</v>
      </c>
      <c r="F282" s="1" t="s">
        <v>965</v>
      </c>
      <c r="G282" s="1" t="s">
        <v>966</v>
      </c>
      <c r="H282" s="1" t="str">
        <f t="shared" si="16"/>
        <v/>
      </c>
      <c r="I282" s="1" t="str">
        <f t="shared" si="17"/>
        <v/>
      </c>
      <c r="J282" s="1" t="str">
        <f t="shared" si="18"/>
        <v>#{#SNMPVALUE}: 设备已更换(收到新序列号)</v>
      </c>
      <c r="K282" s="1" t="str">
        <f t="shared" si="19"/>
        <v/>
      </c>
    </row>
    <row r="283" spans="1:11">
      <c r="A283" s="1">
        <v>711</v>
      </c>
      <c r="B283" s="1" t="s">
        <v>9313</v>
      </c>
      <c r="C283" s="1" t="s">
        <v>9314</v>
      </c>
      <c r="D283" s="1" t="s">
        <v>957</v>
      </c>
      <c r="E283" s="1" t="s">
        <v>968</v>
      </c>
      <c r="F283" s="1" t="s">
        <v>969</v>
      </c>
      <c r="G283" s="1" t="s">
        <v>970</v>
      </c>
      <c r="H283" s="1" t="str">
        <f t="shared" si="16"/>
        <v/>
      </c>
      <c r="I283" s="1" t="str">
        <f t="shared" si="17"/>
        <v/>
      </c>
      <c r="J283" s="1" t="str">
        <f t="shared" si="18"/>
        <v>设备{#SNMPVALUE}: 温度高于临界阈值: &gt;{$TEMP_CRIT: "{#SNMPVALUE}"}</v>
      </c>
      <c r="K283" s="1" t="str">
        <f t="shared" si="19"/>
        <v/>
      </c>
    </row>
    <row r="284" spans="1:11">
      <c r="A284" s="1">
        <v>712</v>
      </c>
      <c r="B284" s="1" t="s">
        <v>9313</v>
      </c>
      <c r="C284" s="1" t="s">
        <v>9315</v>
      </c>
      <c r="D284" s="1" t="s">
        <v>957</v>
      </c>
      <c r="E284" s="1" t="s">
        <v>972</v>
      </c>
      <c r="F284" s="1" t="s">
        <v>973</v>
      </c>
      <c r="G284" s="1" t="s">
        <v>974</v>
      </c>
      <c r="H284" s="1" t="str">
        <f t="shared" si="16"/>
        <v/>
      </c>
      <c r="I284" s="1" t="str">
        <f t="shared" si="17"/>
        <v/>
      </c>
      <c r="J284" s="1" t="str">
        <f t="shared" si="18"/>
        <v>设备{#SNMPVALUE}: 温度高于告警阈值: &gt;{$TEMP_WARN: "{#SNMPVALUE}"}</v>
      </c>
      <c r="K284" s="1" t="str">
        <f t="shared" si="19"/>
        <v/>
      </c>
    </row>
    <row r="285" spans="1:11">
      <c r="A285" s="1">
        <v>713</v>
      </c>
      <c r="B285" s="1" t="s">
        <v>9313</v>
      </c>
      <c r="C285" s="1" t="s">
        <v>9316</v>
      </c>
      <c r="D285" s="1" t="s">
        <v>957</v>
      </c>
      <c r="E285" s="1" t="s">
        <v>976</v>
      </c>
      <c r="F285" s="1" t="s">
        <v>977</v>
      </c>
      <c r="G285" s="1" t="s">
        <v>978</v>
      </c>
      <c r="H285" s="1" t="str">
        <f t="shared" si="16"/>
        <v/>
      </c>
      <c r="I285" s="1" t="str">
        <f t="shared" si="17"/>
        <v/>
      </c>
      <c r="J285" s="1" t="str">
        <f t="shared" si="18"/>
        <v>设备{#SNMPVALUE}: 温度太低: &lt;{$TEMP_CRIT_LOW: "{#SNMPVALUE}"}</v>
      </c>
      <c r="K285" s="1" t="str">
        <f t="shared" si="19"/>
        <v/>
      </c>
    </row>
    <row r="286" spans="1:11">
      <c r="A286" s="1">
        <v>716</v>
      </c>
      <c r="B286" s="1" t="s">
        <v>9313</v>
      </c>
      <c r="C286" s="1" t="s">
        <v>9317</v>
      </c>
      <c r="D286" s="1" t="s">
        <v>957</v>
      </c>
      <c r="E286" s="1" t="s">
        <v>980</v>
      </c>
      <c r="F286" s="1" t="s">
        <v>161</v>
      </c>
      <c r="G286" s="1" t="s">
        <v>162</v>
      </c>
      <c r="H286" s="1" t="str">
        <f t="shared" si="16"/>
        <v/>
      </c>
      <c r="I286" s="1" t="str">
        <f t="shared" si="17"/>
        <v/>
      </c>
      <c r="J286" s="1" t="str">
        <f t="shared" si="18"/>
        <v>接口{#IFNAME}({#IFALIAS}): 带宽使用率太高(&gt;{$IF.UTIL.MAX: "{#IFNAME}"}%)</v>
      </c>
      <c r="K286" s="1" t="str">
        <f t="shared" si="19"/>
        <v/>
      </c>
    </row>
    <row r="287" spans="1:11">
      <c r="A287" s="1">
        <v>718</v>
      </c>
      <c r="B287" s="1" t="s">
        <v>9313</v>
      </c>
      <c r="C287" s="1" t="s">
        <v>9318</v>
      </c>
      <c r="D287" s="1" t="s">
        <v>957</v>
      </c>
      <c r="E287" s="1" t="s">
        <v>982</v>
      </c>
      <c r="F287" s="1" t="s">
        <v>165</v>
      </c>
      <c r="G287" s="1" t="s">
        <v>166</v>
      </c>
      <c r="H287" s="1" t="str">
        <f t="shared" si="16"/>
        <v/>
      </c>
      <c r="I287" s="1" t="str">
        <f t="shared" si="17"/>
        <v/>
      </c>
      <c r="J287" s="1" t="str">
        <f t="shared" si="18"/>
        <v>接口{#IFNAME}({#IFALIAS}): 错误率太高(&gt;{$IF.ERRORS.WARN: "{#IFNAME}"}达5分钟)</v>
      </c>
      <c r="K287" s="1" t="str">
        <f t="shared" si="19"/>
        <v/>
      </c>
    </row>
    <row r="288" spans="1:11">
      <c r="A288" s="1">
        <v>732</v>
      </c>
      <c r="B288" s="1" t="s">
        <v>9319</v>
      </c>
      <c r="C288" s="1" t="s">
        <v>9320</v>
      </c>
      <c r="D288" s="1" t="s">
        <v>984</v>
      </c>
      <c r="E288" s="1" t="s">
        <v>985</v>
      </c>
      <c r="F288" s="1" t="s">
        <v>986</v>
      </c>
      <c r="G288" s="1" t="s">
        <v>987</v>
      </c>
      <c r="H288" s="1" t="str">
        <f t="shared" si="16"/>
        <v/>
      </c>
      <c r="I288" s="1" t="str">
        <f t="shared" si="17"/>
        <v/>
      </c>
      <c r="J288" s="1" t="str">
        <f t="shared" si="18"/>
        <v>{#DISK_NAME}: 磁盘已更换(收到新序列号)</v>
      </c>
      <c r="K288" s="1" t="str">
        <f t="shared" si="19"/>
        <v/>
      </c>
    </row>
    <row r="289" spans="1:11">
      <c r="A289" s="1">
        <v>739</v>
      </c>
      <c r="B289" s="1" t="s">
        <v>9319</v>
      </c>
      <c r="C289" s="1" t="s">
        <v>9321</v>
      </c>
      <c r="D289" s="1" t="s">
        <v>984</v>
      </c>
      <c r="E289" s="1" t="s">
        <v>989</v>
      </c>
      <c r="F289" s="1" t="s">
        <v>990</v>
      </c>
      <c r="G289" s="1" t="s">
        <v>991</v>
      </c>
      <c r="H289" s="1" t="str">
        <f t="shared" si="16"/>
        <v/>
      </c>
      <c r="I289" s="1" t="str">
        <f t="shared" si="17"/>
        <v/>
      </c>
      <c r="J289" s="1" t="str">
        <f t="shared" si="18"/>
        <v>{#SENSOR_LOCALE}: 温度太低: &lt;{$TEMP_CRIT_LOW: "CPU"}</v>
      </c>
      <c r="K289" s="1" t="str">
        <f t="shared" si="19"/>
        <v/>
      </c>
    </row>
    <row r="290" spans="1:11">
      <c r="A290" s="1">
        <v>740</v>
      </c>
      <c r="B290" s="1" t="s">
        <v>9319</v>
      </c>
      <c r="C290" s="1" t="s">
        <v>9322</v>
      </c>
      <c r="D290" s="1" t="s">
        <v>984</v>
      </c>
      <c r="E290" s="1" t="s">
        <v>993</v>
      </c>
      <c r="F290" s="1" t="s">
        <v>994</v>
      </c>
      <c r="G290" s="1" t="s">
        <v>995</v>
      </c>
      <c r="H290" s="1" t="str">
        <f t="shared" si="16"/>
        <v/>
      </c>
      <c r="I290" s="1" t="str">
        <f t="shared" si="17"/>
        <v/>
      </c>
      <c r="J290" s="1" t="str">
        <f t="shared" si="18"/>
        <v>{#SENSOR_LOCALE}: 温度高于临界阈值: &gt;{$TEMP_CRIT: "CPU"}</v>
      </c>
      <c r="K290" s="1" t="str">
        <f t="shared" si="19"/>
        <v/>
      </c>
    </row>
    <row r="291" spans="1:11">
      <c r="A291" s="1">
        <v>741</v>
      </c>
      <c r="B291" s="1" t="s">
        <v>9319</v>
      </c>
      <c r="C291" s="1" t="s">
        <v>9323</v>
      </c>
      <c r="D291" s="1" t="s">
        <v>984</v>
      </c>
      <c r="E291" s="1" t="s">
        <v>997</v>
      </c>
      <c r="F291" s="1" t="s">
        <v>998</v>
      </c>
      <c r="G291" s="1" t="s">
        <v>999</v>
      </c>
      <c r="H291" s="1" t="str">
        <f t="shared" si="16"/>
        <v/>
      </c>
      <c r="I291" s="1" t="str">
        <f t="shared" si="17"/>
        <v/>
      </c>
      <c r="J291" s="1" t="str">
        <f t="shared" si="18"/>
        <v>{#SENSOR_LOCALE}: 温度高于告警阈值: &gt;{$TEMP_WARN: "CPU"}</v>
      </c>
      <c r="K291" s="1" t="str">
        <f t="shared" si="19"/>
        <v/>
      </c>
    </row>
    <row r="292" spans="1:11">
      <c r="A292" s="1">
        <v>742</v>
      </c>
      <c r="B292" s="1" t="s">
        <v>9319</v>
      </c>
      <c r="C292" s="1" t="s">
        <v>9324</v>
      </c>
      <c r="D292" s="1" t="s">
        <v>984</v>
      </c>
      <c r="E292" s="1" t="s">
        <v>1001</v>
      </c>
      <c r="F292" s="1" t="s">
        <v>1002</v>
      </c>
      <c r="G292" s="1" t="s">
        <v>1003</v>
      </c>
      <c r="H292" s="1" t="str">
        <f t="shared" si="16"/>
        <v/>
      </c>
      <c r="I292" s="1" t="str">
        <f t="shared" si="17"/>
        <v/>
      </c>
      <c r="J292" s="1" t="str">
        <f t="shared" si="18"/>
        <v>{#SENSOR_LOCALE}: 温度太低: &lt;{$TEMP_CRIT_LOW: "Ambient"}</v>
      </c>
      <c r="K292" s="1" t="str">
        <f t="shared" si="19"/>
        <v/>
      </c>
    </row>
    <row r="293" spans="1:11">
      <c r="A293" s="1">
        <v>743</v>
      </c>
      <c r="B293" s="1" t="s">
        <v>9319</v>
      </c>
      <c r="C293" s="1" t="s">
        <v>9325</v>
      </c>
      <c r="D293" s="1" t="s">
        <v>984</v>
      </c>
      <c r="E293" s="1" t="s">
        <v>1005</v>
      </c>
      <c r="F293" s="1" t="s">
        <v>1006</v>
      </c>
      <c r="G293" s="1" t="s">
        <v>1007</v>
      </c>
      <c r="H293" s="1" t="str">
        <f t="shared" si="16"/>
        <v/>
      </c>
      <c r="I293" s="1" t="str">
        <f t="shared" si="17"/>
        <v/>
      </c>
      <c r="J293" s="1" t="str">
        <f t="shared" si="18"/>
        <v>{#SENSOR_LOCALE}: 温度高于临界阈值: &gt;{$TEMP_CRIT: "Ambient"}</v>
      </c>
      <c r="K293" s="1" t="str">
        <f t="shared" si="19"/>
        <v/>
      </c>
    </row>
    <row r="294" spans="1:11">
      <c r="A294" s="1">
        <v>744</v>
      </c>
      <c r="B294" s="1" t="s">
        <v>9319</v>
      </c>
      <c r="C294" s="1" t="s">
        <v>9326</v>
      </c>
      <c r="D294" s="1" t="s">
        <v>984</v>
      </c>
      <c r="E294" s="1" t="s">
        <v>1009</v>
      </c>
      <c r="F294" s="1" t="s">
        <v>1010</v>
      </c>
      <c r="G294" s="1" t="s">
        <v>1011</v>
      </c>
      <c r="H294" s="1" t="str">
        <f t="shared" si="16"/>
        <v/>
      </c>
      <c r="I294" s="1" t="str">
        <f t="shared" si="17"/>
        <v/>
      </c>
      <c r="J294" s="1" t="str">
        <f t="shared" si="18"/>
        <v>{#SENSOR_LOCALE}: 温度高于告警阈值: &gt;{$TEMP_WARN: "Ambient"}</v>
      </c>
      <c r="K294" s="1" t="str">
        <f t="shared" si="19"/>
        <v/>
      </c>
    </row>
    <row r="295" spans="1:11">
      <c r="A295" s="1">
        <v>745</v>
      </c>
      <c r="B295" s="1" t="s">
        <v>9327</v>
      </c>
      <c r="C295" s="1" t="s">
        <v>9159</v>
      </c>
      <c r="D295" s="1" t="s">
        <v>1013</v>
      </c>
      <c r="E295" s="1" t="s">
        <v>1014</v>
      </c>
      <c r="F295" s="1" t="s">
        <v>1015</v>
      </c>
      <c r="G295" s="1" t="s">
        <v>1016</v>
      </c>
      <c r="H295" s="1" t="str">
        <f t="shared" si="16"/>
        <v/>
      </c>
      <c r="I295" s="1" t="str">
        <f t="shared" si="17"/>
        <v/>
      </c>
      <c r="J295" s="1" t="str">
        <f t="shared" si="18"/>
        <v>容器{#NAME}: 版本已变更(新版本: {ITEM.VALUE})</v>
      </c>
      <c r="K295" s="1" t="str">
        <f t="shared" si="19"/>
        <v/>
      </c>
    </row>
    <row r="296" spans="1:11">
      <c r="A296" s="1">
        <v>748</v>
      </c>
      <c r="B296" s="1" t="s">
        <v>9328</v>
      </c>
      <c r="C296" s="1" t="s">
        <v>9294</v>
      </c>
      <c r="D296" s="1" t="s">
        <v>1018</v>
      </c>
      <c r="E296" s="1" t="s">
        <v>1019</v>
      </c>
      <c r="F296" s="1" t="s">
        <v>1020</v>
      </c>
      <c r="G296" s="1" t="s">
        <v>1021</v>
      </c>
      <c r="H296" s="1" t="str">
        <f t="shared" si="16"/>
        <v/>
      </c>
      <c r="I296" s="1" t="str">
        <f t="shared" si="17"/>
        <v/>
      </c>
      <c r="J296" s="1" t="str">
        <f t="shared" si="18"/>
        <v>ES{#ES.NODE}: 获取延迟太高(超过{$ELASTICSEARCH.FETCH_LATENCY.MAX.WARN}毫秒达5分钟)</v>
      </c>
      <c r="K296" s="1" t="str">
        <f t="shared" si="19"/>
        <v/>
      </c>
    </row>
    <row r="297" spans="1:11">
      <c r="A297" s="1">
        <v>749</v>
      </c>
      <c r="B297" s="1" t="s">
        <v>9328</v>
      </c>
      <c r="C297" s="1" t="s">
        <v>9295</v>
      </c>
      <c r="D297" s="1" t="s">
        <v>1018</v>
      </c>
      <c r="E297" s="1" t="s">
        <v>1023</v>
      </c>
      <c r="F297" s="1" t="s">
        <v>1024</v>
      </c>
      <c r="G297" s="1" t="s">
        <v>1025</v>
      </c>
      <c r="H297" s="1" t="str">
        <f t="shared" si="16"/>
        <v/>
      </c>
      <c r="I297" s="1" t="str">
        <f t="shared" si="17"/>
        <v/>
      </c>
      <c r="J297" s="1" t="str">
        <f t="shared" si="18"/>
        <v>ES{#ES.NODE}: 刷新延迟太高(超过{$ELASTICSEARCH.FLUSH_LATENCY.MAX.WARN}毫秒达5分钟)</v>
      </c>
      <c r="K297" s="1" t="str">
        <f t="shared" si="19"/>
        <v/>
      </c>
    </row>
    <row r="298" spans="1:11">
      <c r="A298" s="1">
        <v>750</v>
      </c>
      <c r="B298" s="1" t="s">
        <v>9328</v>
      </c>
      <c r="C298" s="1" t="s">
        <v>9329</v>
      </c>
      <c r="D298" s="1" t="s">
        <v>1018</v>
      </c>
      <c r="E298" s="1" t="s">
        <v>1027</v>
      </c>
      <c r="F298" s="1" t="s">
        <v>1028</v>
      </c>
      <c r="G298" s="1" t="s">
        <v>1029</v>
      </c>
      <c r="H298" s="1" t="str">
        <f t="shared" si="16"/>
        <v/>
      </c>
      <c r="I298" s="1" t="str">
        <f t="shared" si="17"/>
        <v/>
      </c>
      <c r="J298" s="1" t="str">
        <f t="shared" si="18"/>
        <v>ES{#ES.NODE}: 索引延迟太高(超过{$ELASTICSEARCH.INDEXING_LATENCY.MAX.WARN}毫秒达5分钟)</v>
      </c>
      <c r="K298" s="1" t="str">
        <f t="shared" si="19"/>
        <v/>
      </c>
    </row>
    <row r="299" spans="1:11">
      <c r="A299" s="1">
        <v>751</v>
      </c>
      <c r="B299" s="1" t="s">
        <v>9328</v>
      </c>
      <c r="C299" s="1" t="s">
        <v>9330</v>
      </c>
      <c r="D299" s="1" t="s">
        <v>1018</v>
      </c>
      <c r="E299" s="1" t="s">
        <v>1031</v>
      </c>
      <c r="F299" s="1" t="s">
        <v>1032</v>
      </c>
      <c r="G299" s="1" t="s">
        <v>1033</v>
      </c>
      <c r="H299" s="1" t="str">
        <f t="shared" si="16"/>
        <v/>
      </c>
      <c r="I299" s="1" t="str">
        <f t="shared" si="17"/>
        <v/>
      </c>
      <c r="J299" s="1" t="str">
        <f t="shared" si="18"/>
        <v>ES{#ES.NODE}: 已重启(正常运行时间&lt;10分钟)</v>
      </c>
      <c r="K299" s="1" t="str">
        <f t="shared" si="19"/>
        <v/>
      </c>
    </row>
    <row r="300" spans="1:11">
      <c r="A300" s="1">
        <v>752</v>
      </c>
      <c r="B300" s="1" t="s">
        <v>9328</v>
      </c>
      <c r="C300" s="1" t="s">
        <v>9296</v>
      </c>
      <c r="D300" s="1" t="s">
        <v>1018</v>
      </c>
      <c r="E300" s="1" t="s">
        <v>1035</v>
      </c>
      <c r="F300" s="1" t="s">
        <v>1036</v>
      </c>
      <c r="G300" s="1" t="s">
        <v>1037</v>
      </c>
      <c r="H300" s="1" t="str">
        <f t="shared" si="16"/>
        <v/>
      </c>
      <c r="I300" s="1" t="str">
        <f t="shared" si="17"/>
        <v/>
      </c>
      <c r="J300" s="1" t="str">
        <f t="shared" si="18"/>
        <v>ES{#ES.NODE}: 正在使用率的JVM堆百分比(超过{$ELASTICSEARCH.HEAP_USED.MAX.WARN}%已持续1小时)</v>
      </c>
      <c r="K300" s="1" t="str">
        <f t="shared" si="19"/>
        <v/>
      </c>
    </row>
    <row r="301" spans="1:11">
      <c r="A301" s="1">
        <v>753</v>
      </c>
      <c r="B301" s="1" t="s">
        <v>9328</v>
      </c>
      <c r="C301" s="1" t="s">
        <v>9331</v>
      </c>
      <c r="D301" s="1" t="s">
        <v>1018</v>
      </c>
      <c r="E301" s="1" t="s">
        <v>1039</v>
      </c>
      <c r="F301" s="1" t="s">
        <v>1040</v>
      </c>
      <c r="G301" s="1" t="s">
        <v>1041</v>
      </c>
      <c r="H301" s="1" t="str">
        <f t="shared" si="16"/>
        <v/>
      </c>
      <c r="I301" s="1" t="str">
        <f t="shared" si="17"/>
        <v/>
      </c>
      <c r="J301" s="1" t="str">
        <f t="shared" si="18"/>
        <v>ES{#ES.NODE}: 正在使用率的JVM堆百分比(超过{$ELASTICSEARCH.HEAP_USED.MAX.CRIT}%已持续1小时)</v>
      </c>
      <c r="K301" s="1" t="str">
        <f t="shared" si="19"/>
        <v/>
      </c>
    </row>
    <row r="302" spans="1:11">
      <c r="A302" s="1">
        <v>754</v>
      </c>
      <c r="B302" s="1" t="s">
        <v>9328</v>
      </c>
      <c r="C302" s="1" t="s">
        <v>9332</v>
      </c>
      <c r="D302" s="1" t="s">
        <v>1018</v>
      </c>
      <c r="E302" s="1" t="s">
        <v>1043</v>
      </c>
      <c r="F302" s="1" t="s">
        <v>1044</v>
      </c>
      <c r="G302" s="1" t="s">
        <v>1045</v>
      </c>
      <c r="H302" s="1" t="str">
        <f t="shared" si="16"/>
        <v/>
      </c>
      <c r="I302" s="1" t="str">
        <f t="shared" si="17"/>
        <v/>
      </c>
      <c r="J302" s="1" t="str">
        <f t="shared" si="18"/>
        <v>ES{#ES.NODE}: 查询延迟太高(超过{$ELASTICSEARCH.QUERY_LATENCY.MAX.WARN}毫秒达5分钟)</v>
      </c>
      <c r="K302" s="1" t="str">
        <f t="shared" si="19"/>
        <v/>
      </c>
    </row>
    <row r="303" spans="1:11">
      <c r="A303" s="1">
        <v>755</v>
      </c>
      <c r="B303" s="1" t="s">
        <v>9328</v>
      </c>
      <c r="C303" s="1" t="s">
        <v>9297</v>
      </c>
      <c r="D303" s="1" t="s">
        <v>1018</v>
      </c>
      <c r="E303" s="1" t="s">
        <v>1047</v>
      </c>
      <c r="F303" s="1" t="s">
        <v>1048</v>
      </c>
      <c r="G303" s="1" t="s">
        <v>1049</v>
      </c>
      <c r="H303" s="1" t="str">
        <f t="shared" si="16"/>
        <v/>
      </c>
      <c r="I303" s="1" t="str">
        <f t="shared" si="17"/>
        <v/>
      </c>
      <c r="J303" s="1" t="str">
        <f t="shared" si="18"/>
        <v>ES{#ES.NODE}: 刷新线程池执行器有被拒绝的任务(达5分钟)</v>
      </c>
      <c r="K303" s="1" t="str">
        <f t="shared" si="19"/>
        <v/>
      </c>
    </row>
    <row r="304" spans="1:11">
      <c r="A304" s="1">
        <v>756</v>
      </c>
      <c r="B304" s="1" t="s">
        <v>9328</v>
      </c>
      <c r="C304" s="1" t="s">
        <v>9298</v>
      </c>
      <c r="D304" s="1" t="s">
        <v>1018</v>
      </c>
      <c r="E304" s="1" t="s">
        <v>1051</v>
      </c>
      <c r="F304" s="1" t="s">
        <v>1052</v>
      </c>
      <c r="G304" s="1" t="s">
        <v>1053</v>
      </c>
      <c r="H304" s="1" t="str">
        <f t="shared" si="16"/>
        <v/>
      </c>
      <c r="I304" s="1" t="str">
        <f t="shared" si="17"/>
        <v/>
      </c>
      <c r="J304" s="1" t="str">
        <f t="shared" si="18"/>
        <v>ES{#ES.NODE}: 搜索线程池执行器有被拒绝的任务(达5分钟)</v>
      </c>
      <c r="K304" s="1" t="str">
        <f t="shared" si="19"/>
        <v/>
      </c>
    </row>
    <row r="305" spans="1:11">
      <c r="A305" s="1">
        <v>757</v>
      </c>
      <c r="B305" s="1" t="s">
        <v>9328</v>
      </c>
      <c r="C305" s="1" t="s">
        <v>9299</v>
      </c>
      <c r="D305" s="1" t="s">
        <v>1018</v>
      </c>
      <c r="E305" s="1" t="s">
        <v>1055</v>
      </c>
      <c r="F305" s="1" t="s">
        <v>1056</v>
      </c>
      <c r="G305" s="1" t="s">
        <v>1057</v>
      </c>
      <c r="H305" s="1" t="str">
        <f t="shared" si="16"/>
        <v/>
      </c>
      <c r="I305" s="1" t="str">
        <f t="shared" si="17"/>
        <v/>
      </c>
      <c r="J305" s="1" t="str">
        <f t="shared" si="18"/>
        <v>ES{#ES.NODE}: 写线程池执行器有被拒绝的任务(达5分钟)</v>
      </c>
      <c r="K305" s="1" t="str">
        <f t="shared" si="19"/>
        <v/>
      </c>
    </row>
    <row r="306" spans="1:11">
      <c r="A306" s="1">
        <v>758</v>
      </c>
      <c r="B306" s="1" t="s">
        <v>9333</v>
      </c>
      <c r="C306" s="1" t="s">
        <v>9334</v>
      </c>
      <c r="D306" s="1" t="s">
        <v>1059</v>
      </c>
      <c r="E306" s="1" t="s">
        <v>1060</v>
      </c>
      <c r="F306" s="1" t="s">
        <v>1061</v>
      </c>
      <c r="G306" s="1" t="s">
        <v>1062</v>
      </c>
      <c r="H306" s="1" t="str">
        <f t="shared" si="16"/>
        <v>Etcd</v>
      </c>
      <c r="I306" s="1" t="str">
        <f t="shared" si="17"/>
        <v>太多失败的gRPC请求,代码为: {#GRPC.CODE}(超过{$ETCD.GRPC.ERRORS.MAX.WARN}达5分钟)</v>
      </c>
      <c r="J306" s="1" t="str">
        <f t="shared" si="18"/>
        <v>Etcd: 太多失败的gRPC请求,代码为: {#GRPC.CODE}(超过{$ETCD.GRPC.ERRORS.MAX.WARN}达5分钟)</v>
      </c>
      <c r="K306" s="1" t="str">
        <f t="shared" si="19"/>
        <v>Too many failed gRPC requests with code: {#GRPC.CODE} (over {$ETCD.GRPC.ERRORS.MAX.WARN} in 5m)</v>
      </c>
    </row>
    <row r="307" spans="1:11">
      <c r="A307" s="1">
        <v>759</v>
      </c>
      <c r="B307" s="1" t="s">
        <v>9335</v>
      </c>
      <c r="C307" s="1" t="s">
        <v>9336</v>
      </c>
      <c r="D307" s="1" t="s">
        <v>1064</v>
      </c>
      <c r="E307" s="1" t="s">
        <v>1065</v>
      </c>
      <c r="F307" s="1" t="s">
        <v>906</v>
      </c>
      <c r="G307" s="1" t="s">
        <v>907</v>
      </c>
      <c r="H307" s="1" t="str">
        <f t="shared" si="16"/>
        <v/>
      </c>
      <c r="I307" s="1" t="str">
        <f t="shared" si="17"/>
        <v/>
      </c>
      <c r="J307" s="1" t="str">
        <f t="shared" si="18"/>
        <v>#{#SNMPVALUE}: 内存利用率高了(&gt;{$MEMORY.UTIL.MAX}%达5分钟)</v>
      </c>
      <c r="K307" s="1" t="str">
        <f t="shared" si="19"/>
        <v/>
      </c>
    </row>
    <row r="308" spans="1:11">
      <c r="A308" s="1">
        <v>761</v>
      </c>
      <c r="B308" s="1" t="s">
        <v>9335</v>
      </c>
      <c r="C308" s="1" t="s">
        <v>9337</v>
      </c>
      <c r="D308" s="1" t="s">
        <v>1064</v>
      </c>
      <c r="E308" s="1" t="s">
        <v>1067</v>
      </c>
      <c r="F308" s="1" t="s">
        <v>161</v>
      </c>
      <c r="G308" s="1" t="s">
        <v>162</v>
      </c>
      <c r="H308" s="1" t="str">
        <f t="shared" si="16"/>
        <v/>
      </c>
      <c r="I308" s="1" t="str">
        <f t="shared" si="17"/>
        <v/>
      </c>
      <c r="J308" s="1" t="str">
        <f t="shared" si="18"/>
        <v>接口{#IFNAME}({#IFALIAS}): 带宽使用率太高(&gt;{$IF.UTIL.MAX: "{#IFNAME}"}%)</v>
      </c>
      <c r="K308" s="1" t="str">
        <f t="shared" si="19"/>
        <v/>
      </c>
    </row>
    <row r="309" spans="1:11">
      <c r="A309" s="1">
        <v>763</v>
      </c>
      <c r="B309" s="1" t="s">
        <v>9335</v>
      </c>
      <c r="C309" s="1" t="s">
        <v>9338</v>
      </c>
      <c r="D309" s="1" t="s">
        <v>1064</v>
      </c>
      <c r="E309" s="1" t="s">
        <v>1069</v>
      </c>
      <c r="F309" s="1" t="s">
        <v>165</v>
      </c>
      <c r="G309" s="1" t="s">
        <v>166</v>
      </c>
      <c r="H309" s="1" t="str">
        <f t="shared" si="16"/>
        <v/>
      </c>
      <c r="I309" s="1" t="str">
        <f t="shared" si="17"/>
        <v/>
      </c>
      <c r="J309" s="1" t="str">
        <f t="shared" si="18"/>
        <v>接口{#IFNAME}({#IFALIAS}): 错误率太高(&gt;{$IF.ERRORS.WARN: "{#IFNAME}"}达5分钟)</v>
      </c>
      <c r="K309" s="1" t="str">
        <f t="shared" si="19"/>
        <v/>
      </c>
    </row>
    <row r="310" spans="1:11">
      <c r="A310" s="1">
        <v>767</v>
      </c>
      <c r="B310" s="1" t="s">
        <v>9339</v>
      </c>
      <c r="C310" s="1" t="s">
        <v>9169</v>
      </c>
      <c r="D310" s="1" t="s">
        <v>1071</v>
      </c>
      <c r="E310" s="1" t="s">
        <v>1072</v>
      </c>
      <c r="F310" s="1" t="s">
        <v>1073</v>
      </c>
      <c r="G310" s="1" t="s">
        <v>1074</v>
      </c>
      <c r="H310" s="1" t="str">
        <f t="shared" si="16"/>
        <v>F5 BIG-IP</v>
      </c>
      <c r="I310" s="1" t="str">
        <f t="shared" si="17"/>
        <v>距离证书到期还剩不到{$BIGIP.CERT.MIN}天({#CERT.NAME})</v>
      </c>
      <c r="J310" s="1" t="str">
        <f t="shared" si="18"/>
        <v>F5 BIG-IP: 距离证书到期还剩不到{$BIGIP.CERT.MIN}天({#CERT.NAME})</v>
      </c>
      <c r="K310" s="1" t="str">
        <f t="shared" si="19"/>
        <v>Less than {$BIGIP.CERT.MIN} days left until the certificate expires ({#CERT.NAME})</v>
      </c>
    </row>
    <row r="311" spans="1:11">
      <c r="A311" s="1">
        <v>770</v>
      </c>
      <c r="B311" s="1" t="s">
        <v>9339</v>
      </c>
      <c r="C311" s="1" t="s">
        <v>9340</v>
      </c>
      <c r="D311" s="1" t="s">
        <v>1071</v>
      </c>
      <c r="E311" s="1" t="s">
        <v>1076</v>
      </c>
      <c r="F311" s="1" t="s">
        <v>1077</v>
      </c>
      <c r="G311" s="1" t="s">
        <v>1078</v>
      </c>
      <c r="H311" s="1" t="str">
        <f t="shared" si="16"/>
        <v>F5 BIG-IP</v>
      </c>
      <c r="I311" s="1" t="str">
        <f t="shared" si="17"/>
        <v>CPU使用率(超过{$BIGIP.CPU.UTIL.WARN.MAX}%达5分钟)</v>
      </c>
      <c r="J311" s="1" t="str">
        <f t="shared" si="18"/>
        <v>F5 BIG-IP: CPU使用率(超过{$BIGIP.CPU.UTIL.WARN.MAX}%达5分钟)</v>
      </c>
      <c r="K311" s="1" t="str">
        <f t="shared" si="19"/>
        <v>High CPU utilization (over {$BIGIP.CPU.UTIL.WARN.MAX}% for 5m)</v>
      </c>
    </row>
    <row r="312" spans="1:11">
      <c r="A312" s="1">
        <v>771</v>
      </c>
      <c r="B312" s="1" t="s">
        <v>9339</v>
      </c>
      <c r="C312" s="1" t="s">
        <v>9234</v>
      </c>
      <c r="D312" s="1" t="s">
        <v>1071</v>
      </c>
      <c r="E312" s="1" t="s">
        <v>1080</v>
      </c>
      <c r="F312" s="1" t="s">
        <v>1081</v>
      </c>
      <c r="G312" s="1" t="s">
        <v>1082</v>
      </c>
      <c r="H312" s="1" t="str">
        <f t="shared" si="16"/>
        <v>F5 BIG-IP</v>
      </c>
      <c r="I312" s="1" t="str">
        <f t="shared" si="17"/>
        <v>主机[{#HOST.ID}]内存利用率(超过{$BIGIP.MEMORY.UTIL.WARN.MAX}%)</v>
      </c>
      <c r="J312" s="1" t="str">
        <f t="shared" si="18"/>
        <v>F5 BIG-IP: 主机[{#HOST.ID}]内存利用率(超过{$BIGIP.MEMORY.UTIL.WARN.MAX}%)</v>
      </c>
      <c r="K312" s="1" t="str">
        <f t="shared" si="19"/>
        <v>High memory utilization in host [{#HOST.ID}] (over {$BIGIP.MEMORY.UTIL.WARN.MAX}%)</v>
      </c>
    </row>
    <row r="313" spans="1:11">
      <c r="A313" s="1">
        <v>772</v>
      </c>
      <c r="B313" s="1" t="s">
        <v>9339</v>
      </c>
      <c r="C313" s="1" t="s">
        <v>9172</v>
      </c>
      <c r="D313" s="1" t="s">
        <v>1071</v>
      </c>
      <c r="E313" s="1" t="s">
        <v>1084</v>
      </c>
      <c r="F313" s="1" t="s">
        <v>1085</v>
      </c>
      <c r="G313" s="1" t="s">
        <v>1086</v>
      </c>
      <c r="H313" s="1" t="str">
        <f t="shared" si="16"/>
        <v>F5 BIG-IP</v>
      </c>
      <c r="I313" s="1" t="str">
        <f t="shared" si="17"/>
        <v>主机[{#HOST.ID}]中的交换利用率(超过{$BIGIP.SWAP.UTIL.WARN.MAX}%)</v>
      </c>
      <c r="J313" s="1" t="str">
        <f t="shared" si="18"/>
        <v>F5 BIG-IP: 主机[{#HOST.ID}]中的交换利用率(超过{$BIGIP.SWAP.UTIL.WARN.MAX}%)</v>
      </c>
      <c r="K313" s="1" t="str">
        <f t="shared" si="19"/>
        <v>High swap utilization in host [{#HOST.ID}] (over {$BIGIP.SWAP.UTIL.WARN.MAX}%)</v>
      </c>
    </row>
    <row r="314" spans="1:11">
      <c r="A314" s="1">
        <v>773</v>
      </c>
      <c r="B314" s="1" t="s">
        <v>9339</v>
      </c>
      <c r="C314" s="1" t="s">
        <v>9173</v>
      </c>
      <c r="D314" s="1" t="s">
        <v>1071</v>
      </c>
      <c r="E314" s="1" t="s">
        <v>1088</v>
      </c>
      <c r="F314" s="1" t="s">
        <v>1089</v>
      </c>
      <c r="G314" s="1" t="s">
        <v>1090</v>
      </c>
      <c r="H314" s="1" t="str">
        <f t="shared" si="16"/>
        <v>F5 BIG-IP</v>
      </c>
      <c r="I314" s="1" t="str">
        <f t="shared" si="17"/>
        <v>网络接口有错误({#IF.NAME})</v>
      </c>
      <c r="J314" s="1" t="str">
        <f t="shared" si="18"/>
        <v>F5 BIG-IP: 网络接口有错误({#IF.NAME})</v>
      </c>
      <c r="K314" s="1" t="str">
        <f t="shared" si="19"/>
        <v>There are errors on the network interface ({#IF.NAME})</v>
      </c>
    </row>
    <row r="315" spans="1:11">
      <c r="A315" s="1">
        <v>774</v>
      </c>
      <c r="B315" s="1" t="s">
        <v>9339</v>
      </c>
      <c r="C315" s="1" t="s">
        <v>9341</v>
      </c>
      <c r="D315" s="1" t="s">
        <v>1071</v>
      </c>
      <c r="E315" s="1" t="s">
        <v>1092</v>
      </c>
      <c r="F315" s="1" t="s">
        <v>1093</v>
      </c>
      <c r="G315" s="1" t="s">
        <v>1094</v>
      </c>
      <c r="H315" s="1" t="str">
        <f t="shared" si="16"/>
        <v>F5 BIG-IP</v>
      </c>
      <c r="I315" s="1" t="str">
        <f t="shared" si="17"/>
        <v>文件系统[{#PART.NAME}]中的可用空间不足(小于{$BIGIP.FS.FREE.WARN.MIN}%达5分钟)</v>
      </c>
      <c r="J315" s="1" t="str">
        <f t="shared" si="18"/>
        <v>F5 BIG-IP: 文件系统[{#PART.NAME}]中的可用空间不足(小于{$BIGIP.FS.FREE.WARN.MIN}%达5分钟)</v>
      </c>
      <c r="K315" s="1" t="str">
        <f t="shared" si="19"/>
        <v>Low free space in file system [{#PART.NAME}] (less than {$BIGIP.FS.FREE.WARN.MIN}% for 5m)</v>
      </c>
    </row>
    <row r="316" spans="1:11">
      <c r="A316" s="1">
        <v>779</v>
      </c>
      <c r="B316" s="1" t="s">
        <v>9339</v>
      </c>
      <c r="C316" s="1" t="s">
        <v>9175</v>
      </c>
      <c r="D316" s="1" t="s">
        <v>1071</v>
      </c>
      <c r="E316" s="1" t="s">
        <v>1096</v>
      </c>
      <c r="F316" s="1" t="s">
        <v>1097</v>
      </c>
      <c r="G316" s="1" t="s">
        <v>1098</v>
      </c>
      <c r="H316" s="1" t="str">
        <f t="shared" si="16"/>
        <v>F5 BIG-IP</v>
      </c>
      <c r="I316" s="1" t="str">
        <f t="shared" si="17"/>
        <v>传感器{#TEMP.INDEX}的主板温度({ITEM.LASTVALUE})超过阈值{$BIGIP.TEMP.HIGH}°C</v>
      </c>
      <c r="J316" s="1" t="str">
        <f t="shared" si="18"/>
        <v>F5 BIG-IP: 传感器{#TEMP.INDEX}的主板温度({ITEM.LASTVALUE})超过阈值{$BIGIP.TEMP.HIGH}°C</v>
      </c>
      <c r="K316" s="1" t="str">
        <f t="shared" si="19"/>
        <v>Chassis temperature ({ITEM.LASTVALUE}) of sensor {#TEMP.INDEX} exceeds threshold of {$BIGIP.TEMP.HIGH} °C</v>
      </c>
    </row>
    <row r="317" spans="1:11">
      <c r="A317" s="1">
        <v>780</v>
      </c>
      <c r="B317" s="1" t="s">
        <v>9339</v>
      </c>
      <c r="C317" s="1" t="s">
        <v>9176</v>
      </c>
      <c r="D317" s="1" t="s">
        <v>1071</v>
      </c>
      <c r="E317" s="1" t="s">
        <v>1100</v>
      </c>
      <c r="F317" s="1" t="s">
        <v>1101</v>
      </c>
      <c r="G317" s="1" t="s">
        <v>1102</v>
      </c>
      <c r="H317" s="1" t="str">
        <f t="shared" si="16"/>
        <v>F5 BIG-IP</v>
      </c>
      <c r="I317" s="1" t="str">
        <f t="shared" si="17"/>
        <v>传感器{#TEMP.INDEX}的主板温度({ITEM.LASTVALUE})超过阈值{$BIGIP.TEMP.WARN}°C</v>
      </c>
      <c r="J317" s="1" t="str">
        <f t="shared" si="18"/>
        <v>F5 BIG-IP: 传感器{#TEMP.INDEX}的主板温度({ITEM.LASTVALUE})超过阈值{$BIGIP.TEMP.WARN}°C</v>
      </c>
      <c r="K317" s="1" t="str">
        <f t="shared" si="19"/>
        <v>Chassis temperature ({ITEM.LASTVALUE}) of sensor {#TEMP.INDEX} exceeds threshold of {$BIGIP.TEMP.WARN} °C</v>
      </c>
    </row>
    <row r="318" spans="1:11">
      <c r="A318" s="1">
        <v>781</v>
      </c>
      <c r="B318" s="1" t="s">
        <v>9342</v>
      </c>
      <c r="C318" s="1" t="s">
        <v>9294</v>
      </c>
      <c r="D318" s="1" t="s">
        <v>1104</v>
      </c>
      <c r="E318" s="1" t="s">
        <v>9343</v>
      </c>
      <c r="F318" s="1" t="s">
        <v>1106</v>
      </c>
      <c r="G318" s="1" t="s">
        <v>9344</v>
      </c>
      <c r="H318" s="1" t="str">
        <f t="shared" si="16"/>
        <v/>
      </c>
      <c r="I318" s="1" t="str">
        <f t="shared" si="17"/>
        <v/>
      </c>
      <c r="J318" s="1" t="str">
        <f t="shared" si="18"/>
        <v>接口 [{#IFNAME}({#IFALIAS})]:带宽使用量过高(大于 {$NET.IF.UTIL.MAX:"{#IFNAME}"}%)</v>
      </c>
      <c r="K318" s="1" t="str">
        <f t="shared" si="19"/>
        <v/>
      </c>
    </row>
    <row r="319" spans="1:11">
      <c r="A319" s="1">
        <v>782</v>
      </c>
      <c r="B319" s="1" t="s">
        <v>9342</v>
      </c>
      <c r="C319" s="1" t="s">
        <v>9295</v>
      </c>
      <c r="D319" s="1" t="s">
        <v>1104</v>
      </c>
      <c r="E319" s="1" t="s">
        <v>4429</v>
      </c>
      <c r="F319" s="1" t="s">
        <v>1110</v>
      </c>
      <c r="G319" s="1" t="s">
        <v>9345</v>
      </c>
      <c r="H319" s="1" t="str">
        <f t="shared" si="16"/>
        <v/>
      </c>
      <c r="I319" s="1" t="str">
        <f t="shared" si="17"/>
        <v/>
      </c>
      <c r="J319" s="1" t="str">
        <f t="shared" si="18"/>
        <v>接口 [{#IFNAME}({#IFALIAS})]:错误率高(过去 5 分钟大于 {$NET.IF.ERRORS.WARN:"{#IFKEY}"})</v>
      </c>
      <c r="K319" s="1" t="str">
        <f t="shared" si="19"/>
        <v/>
      </c>
    </row>
    <row r="320" spans="1:11">
      <c r="A320" s="1">
        <v>789</v>
      </c>
      <c r="B320" s="1" t="s">
        <v>9342</v>
      </c>
      <c r="C320" s="1" t="s">
        <v>9298</v>
      </c>
      <c r="D320" s="1" t="s">
        <v>1104</v>
      </c>
      <c r="E320" s="1" t="s">
        <v>9346</v>
      </c>
      <c r="F320" s="1" t="s">
        <v>1114</v>
      </c>
      <c r="G320" s="1" t="s">
        <v>9347</v>
      </c>
      <c r="H320" s="1" t="str">
        <f t="shared" si="16"/>
        <v/>
      </c>
      <c r="I320" s="1" t="str">
        <f t="shared" si="17"/>
        <v/>
      </c>
      <c r="J320" s="1" t="str">
        <f t="shared" si="18"/>
        <v>服务 [{#NAME}]:许可证即将过期(少于 {$SERVICE.EXPIRY.WARN:"{#KEY}"} 天)</v>
      </c>
      <c r="K320" s="1" t="str">
        <f t="shared" si="19"/>
        <v/>
      </c>
    </row>
    <row r="321" spans="1:11">
      <c r="A321" s="1">
        <v>790</v>
      </c>
      <c r="B321" s="1" t="s">
        <v>9342</v>
      </c>
      <c r="C321" s="1" t="s">
        <v>9299</v>
      </c>
      <c r="D321" s="1" t="s">
        <v>1104</v>
      </c>
      <c r="E321" s="1" t="s">
        <v>112</v>
      </c>
      <c r="F321" s="1" t="s">
        <v>1118</v>
      </c>
      <c r="G321" s="1" t="s">
        <v>9348</v>
      </c>
      <c r="H321" s="1" t="str">
        <f t="shared" si="16"/>
        <v/>
      </c>
      <c r="I321" s="1" t="str">
        <f t="shared" si="17"/>
        <v/>
      </c>
      <c r="J321" s="1" t="str">
        <f t="shared" si="18"/>
        <v>服务[{#NAME}]：许可证状态为{ITEM.LASTVALUE1}</v>
      </c>
      <c r="K321" s="1" t="str">
        <f t="shared" si="19"/>
        <v/>
      </c>
    </row>
    <row r="322" spans="1:11">
      <c r="A322" s="1">
        <v>791</v>
      </c>
      <c r="B322" s="1" t="s">
        <v>9349</v>
      </c>
      <c r="C322" s="1" t="s">
        <v>9350</v>
      </c>
      <c r="D322" s="1" t="s">
        <v>1121</v>
      </c>
      <c r="E322" s="1" t="s">
        <v>5645</v>
      </c>
      <c r="F322" s="1" t="s">
        <v>161</v>
      </c>
      <c r="G322" s="1" t="s">
        <v>162</v>
      </c>
      <c r="H322" s="1" t="str">
        <f t="shared" ref="H322:H385" si="20">IFERROR(IF(OR(MID(G322,FIND(":",G322)-1,1)="""",MID(G322,FIND(":",G322)-1,1)="}",MID(G322,FIND(":",G322)-1,1)=")",MID(G322,FIND(":",G322)-1,1)="]"),"",LEFT(F322,FIND(":",F322)-1)),"")</f>
        <v/>
      </c>
      <c r="I322" s="1" t="str">
        <f t="shared" ref="I322:I385" si="21">IFERROR(IF(OR(MID(G322,FIND(":",G322)-1,1)="""",MID(G322,FIND(":",G322)-1,1)="}",MID(G322,FIND(":",G322)-1,1)=")",MID(G322,FIND(":",G322)-1,1)="]"),"",RIGHT(G322,LEN(G322)-FIND(":",G322)-1)),"")</f>
        <v/>
      </c>
      <c r="J322" s="1" t="str">
        <f t="shared" ref="J322:J385" si="22">IF(AND(I322="",H322=""),G322,H322&amp;": "&amp;I322)</f>
        <v>接口{#IFNAME}({#IFALIAS}): 带宽使用率太高(&gt;{$IF.UTIL.MAX: "{#IFNAME}"}%)</v>
      </c>
      <c r="K322" s="1" t="str">
        <f t="shared" ref="K322:K385" si="23">IFERROR(IF(OR(MID(F322,FIND(":",F322)-1,1)="""",MID(F322,FIND(":",F322)-1,1)="}",MID(F322,FIND(":",F322)-1,1)=")",MID(F322,FIND(":",F322)-1,1)="]"),"",RIGHT(F322,LEN(F322)-FIND(":",F322)-1)),"")</f>
        <v/>
      </c>
    </row>
    <row r="323" spans="1:11">
      <c r="A323" s="1">
        <v>792</v>
      </c>
      <c r="B323" s="1" t="s">
        <v>9349</v>
      </c>
      <c r="C323" s="1" t="s">
        <v>9351</v>
      </c>
      <c r="D323" s="1" t="s">
        <v>1121</v>
      </c>
      <c r="E323" s="1" t="s">
        <v>5649</v>
      </c>
      <c r="F323" s="1" t="s">
        <v>165</v>
      </c>
      <c r="G323" s="1" t="s">
        <v>166</v>
      </c>
      <c r="H323" s="1" t="str">
        <f t="shared" si="20"/>
        <v/>
      </c>
      <c r="I323" s="1" t="str">
        <f t="shared" si="21"/>
        <v/>
      </c>
      <c r="J323" s="1" t="str">
        <f t="shared" si="22"/>
        <v>接口{#IFNAME}({#IFALIAS}): 错误率太高(&gt;{$IF.ERRORS.WARN: "{#IFNAME}"}达5分钟)</v>
      </c>
      <c r="K323" s="1" t="str">
        <f t="shared" si="23"/>
        <v/>
      </c>
    </row>
    <row r="324" spans="1:11">
      <c r="A324" s="1">
        <v>801</v>
      </c>
      <c r="B324" s="1" t="s">
        <v>9349</v>
      </c>
      <c r="C324" s="1" t="s">
        <v>9352</v>
      </c>
      <c r="D324" s="1" t="s">
        <v>1121</v>
      </c>
      <c r="E324" s="1" t="s">
        <v>1496</v>
      </c>
      <c r="F324" s="1" t="s">
        <v>1127</v>
      </c>
      <c r="G324" s="1" t="s">
        <v>9353</v>
      </c>
      <c r="H324" s="1" t="str">
        <f t="shared" si="20"/>
        <v>WTP {#WC.NAME}</v>
      </c>
      <c r="I324" s="1" t="str">
        <f t="shared" si="21"/>
        <v>{#WC.NAME}"}%达5分钟）</v>
      </c>
      <c r="J324" s="1" t="str">
        <f t="shared" si="22"/>
        <v>WTP {#WC.NAME}: {#WC.NAME}"}%达5分钟）</v>
      </c>
      <c r="K324" s="1" t="str">
        <f t="shared" si="23"/>
        <v/>
      </c>
    </row>
    <row r="325" spans="1:11">
      <c r="A325" s="1">
        <v>802</v>
      </c>
      <c r="B325" s="1" t="s">
        <v>9349</v>
      </c>
      <c r="C325" s="1" t="s">
        <v>9354</v>
      </c>
      <c r="D325" s="1" t="s">
        <v>1121</v>
      </c>
      <c r="E325" s="1" t="s">
        <v>9355</v>
      </c>
      <c r="F325" s="1" t="s">
        <v>1131</v>
      </c>
      <c r="G325" s="1" t="s">
        <v>9356</v>
      </c>
      <c r="H325" s="1" t="str">
        <f t="shared" si="20"/>
        <v>WTP {#WC.NAME}</v>
      </c>
      <c r="I325" s="1" t="str">
        <f t="shared" si="21"/>
        <v>{#WC.NAME}"}%达5分钟）</v>
      </c>
      <c r="J325" s="1" t="str">
        <f t="shared" si="22"/>
        <v>WTP {#WC.NAME}: {#WC.NAME}"}%达5分钟）</v>
      </c>
      <c r="K325" s="1" t="str">
        <f t="shared" si="23"/>
        <v/>
      </c>
    </row>
    <row r="326" spans="1:11">
      <c r="A326" s="1">
        <v>803</v>
      </c>
      <c r="B326" s="1" t="s">
        <v>9349</v>
      </c>
      <c r="C326" s="1" t="s">
        <v>9357</v>
      </c>
      <c r="D326" s="1" t="s">
        <v>1121</v>
      </c>
      <c r="E326" s="1" t="s">
        <v>9358</v>
      </c>
      <c r="F326" s="1" t="s">
        <v>1135</v>
      </c>
      <c r="G326" s="1" t="s">
        <v>9359</v>
      </c>
      <c r="H326" s="1" t="str">
        <f t="shared" si="20"/>
        <v/>
      </c>
      <c r="I326" s="1" t="str">
        <f t="shared" si="21"/>
        <v/>
      </c>
      <c r="J326" s="1" t="str">
        <f t="shared" si="22"/>
        <v>WTP {#WC.NAME}：会话已重新启动（运行时间少于10分钟）</v>
      </c>
      <c r="K326" s="1" t="str">
        <f t="shared" si="23"/>
        <v/>
      </c>
    </row>
    <row r="327" spans="1:11">
      <c r="A327" s="1">
        <v>810</v>
      </c>
      <c r="B327" s="1" t="s">
        <v>9360</v>
      </c>
      <c r="C327" s="1" t="s">
        <v>9334</v>
      </c>
      <c r="D327" s="1" t="s">
        <v>1138</v>
      </c>
      <c r="E327" s="1" t="s">
        <v>5696</v>
      </c>
      <c r="F327" s="1" t="s">
        <v>1140</v>
      </c>
      <c r="G327" s="1" t="s">
        <v>1141</v>
      </c>
      <c r="H327" s="1" t="str">
        <f t="shared" si="20"/>
        <v>Memory pool</v>
      </c>
      <c r="I327" s="1" t="str">
        <f t="shared" si="21"/>
        <v>{#JMXNAME}内存使用率量超过{$JMX.MP.USAGE.MAX: "{#JMXNAME}"}%达{$JMX.MP.USAGE.TIME: "{#JMXNAME}"}</v>
      </c>
      <c r="J327" s="1" t="str">
        <f t="shared" si="22"/>
        <v>Memory pool: {#JMXNAME}内存使用率量超过{$JMX.MP.USAGE.MAX: "{#JMXNAME}"}%达{$JMX.MP.USAGE.TIME: "{#JMXNAME}"}</v>
      </c>
      <c r="K327" s="1" t="str">
        <f t="shared" si="23"/>
        <v>{#JMXNAME} memory usage more than {$JMX.MP.USAGE.MAX:"{#JMXNAME}"}% for {$JMX.MP.USAGE.TIME:"{#JMXNAME}"}</v>
      </c>
    </row>
    <row r="328" spans="1:11">
      <c r="A328" s="1">
        <v>811</v>
      </c>
      <c r="B328" s="1" t="s">
        <v>9361</v>
      </c>
      <c r="C328" s="1" t="s">
        <v>9066</v>
      </c>
      <c r="D328" s="1" t="s">
        <v>1152</v>
      </c>
      <c r="E328" s="1" t="s">
        <v>1153</v>
      </c>
      <c r="F328" s="1" t="s">
        <v>1154</v>
      </c>
      <c r="G328" s="1" t="s">
        <v>1155</v>
      </c>
      <c r="H328" s="1" t="str">
        <f t="shared" si="20"/>
        <v>GitLab</v>
      </c>
      <c r="I328" s="1" t="str">
        <f t="shared" si="21"/>
        <v>Puma实例线程利用率太高(超过{$GITLAB.PUMA.UTILIZATION.MAX.WARN}%达5分钟)</v>
      </c>
      <c r="J328" s="1" t="str">
        <f t="shared" si="22"/>
        <v>GitLab: Puma实例线程利用率太高(超过{$GITLAB.PUMA.UTILIZATION.MAX.WARN}%达5分钟)</v>
      </c>
      <c r="K328" s="1" t="str">
        <f t="shared" si="23"/>
        <v>Puma instance thread utilization is too high (over {$GITLAB.PUMA.UTILIZATION.MAX.WARN}% for 5m)</v>
      </c>
    </row>
    <row r="329" spans="1:11">
      <c r="A329" s="1">
        <v>812</v>
      </c>
      <c r="B329" s="1" t="s">
        <v>9361</v>
      </c>
      <c r="C329" s="1" t="s">
        <v>9207</v>
      </c>
      <c r="D329" s="1" t="s">
        <v>1152</v>
      </c>
      <c r="E329" s="1" t="s">
        <v>1157</v>
      </c>
      <c r="F329" s="1" t="s">
        <v>1158</v>
      </c>
      <c r="G329" s="1" t="s">
        <v>1159</v>
      </c>
      <c r="H329" s="1" t="str">
        <f t="shared" si="20"/>
        <v>GitLab</v>
      </c>
      <c r="I329" s="1" t="str">
        <f t="shared" si="21"/>
        <v>Puma正在排队请求(超过{$GITLAB.PUMA.QUEUE.MAX.WARN}%达15分钟)</v>
      </c>
      <c r="J329" s="1" t="str">
        <f t="shared" si="22"/>
        <v>GitLab: Puma正在排队请求(超过{$GITLAB.PUMA.QUEUE.MAX.WARN}%达15分钟)</v>
      </c>
      <c r="K329" s="1" t="str">
        <f t="shared" si="23"/>
        <v>Puma is queueing requests (over {$GITLAB.PUMA.QUEUE.MAX.WARN}% for 15m)</v>
      </c>
    </row>
    <row r="330" spans="1:11">
      <c r="A330" s="1">
        <v>813</v>
      </c>
      <c r="B330" s="1" t="s">
        <v>9361</v>
      </c>
      <c r="C330" s="1" t="s">
        <v>9068</v>
      </c>
      <c r="D330" s="1" t="s">
        <v>1152</v>
      </c>
      <c r="E330" s="1" t="s">
        <v>1161</v>
      </c>
      <c r="F330" s="1" t="s">
        <v>1162</v>
      </c>
      <c r="G330" s="1" t="s">
        <v>1163</v>
      </c>
      <c r="H330" s="1" t="str">
        <f t="shared" si="20"/>
        <v>GitLab</v>
      </c>
      <c r="I330" s="1" t="str">
        <f t="shared" si="21"/>
        <v>Puma工人利用率太高(超过{$GITLAB.UNICORN.UTILIZATION.MAX.WARN}%达5分钟)</v>
      </c>
      <c r="J330" s="1" t="str">
        <f t="shared" si="22"/>
        <v>GitLab: Puma工人利用率太高(超过{$GITLAB.UNICORN.UTILIZATION.MAX.WARN}%达5分钟)</v>
      </c>
      <c r="K330" s="1" t="str">
        <f t="shared" si="23"/>
        <v>Unicorn worker utilization is too high (over {$GITLAB.UNICORN.UTILIZATION.MAX.WARN}% for 5m)</v>
      </c>
    </row>
    <row r="331" spans="1:11">
      <c r="A331" s="1">
        <v>814</v>
      </c>
      <c r="B331" s="1" t="s">
        <v>9361</v>
      </c>
      <c r="C331" s="1" t="s">
        <v>9071</v>
      </c>
      <c r="D331" s="1" t="s">
        <v>1152</v>
      </c>
      <c r="E331" s="1" t="s">
        <v>1165</v>
      </c>
      <c r="F331" s="1" t="s">
        <v>1166</v>
      </c>
      <c r="G331" s="1" t="s">
        <v>1167</v>
      </c>
      <c r="H331" s="1" t="str">
        <f t="shared" si="20"/>
        <v>GitLab</v>
      </c>
      <c r="I331" s="1" t="str">
        <f t="shared" si="21"/>
        <v>Puma正在排队请求(超过{$GITLAB.UNICORN.QUEUE.MAX.WARN}%达5分钟)</v>
      </c>
      <c r="J331" s="1" t="str">
        <f t="shared" si="22"/>
        <v>GitLab: Puma正在排队请求(超过{$GITLAB.UNICORN.QUEUE.MAX.WARN}%达5分钟)</v>
      </c>
      <c r="K331" s="1" t="str">
        <f t="shared" si="23"/>
        <v>Unicorn is queueing requests (over {$GITLAB.UNICORN.QUEUE.MAX.WARN}% for 5m)</v>
      </c>
    </row>
    <row r="332" spans="1:11">
      <c r="A332" s="1">
        <v>819</v>
      </c>
      <c r="B332" s="1" t="s">
        <v>9362</v>
      </c>
      <c r="C332" s="1" t="s">
        <v>9363</v>
      </c>
      <c r="D332" s="1" t="s">
        <v>1169</v>
      </c>
      <c r="E332" s="1" t="s">
        <v>1170</v>
      </c>
      <c r="F332" s="1" t="s">
        <v>1171</v>
      </c>
      <c r="G332" s="1" t="s">
        <v>1172</v>
      </c>
      <c r="H332" s="1" t="str">
        <f t="shared" si="20"/>
        <v/>
      </c>
      <c r="I332" s="1" t="str">
        <f t="shared" si="21"/>
        <v/>
      </c>
      <c r="J332" s="1" t="str">
        <f t="shared" si="22"/>
        <v>缓存组[{#JMXNAME}]: 版本已变更(新版本: {ITEM.VALUE})</v>
      </c>
      <c r="K332" s="1" t="str">
        <f t="shared" si="23"/>
        <v/>
      </c>
    </row>
    <row r="333" spans="1:11">
      <c r="A333" s="1">
        <v>822</v>
      </c>
      <c r="B333" s="1" t="s">
        <v>9362</v>
      </c>
      <c r="C333" s="1" t="s">
        <v>9364</v>
      </c>
      <c r="D333" s="1" t="s">
        <v>1169</v>
      </c>
      <c r="E333" s="1" t="s">
        <v>1174</v>
      </c>
      <c r="F333" s="1" t="s">
        <v>1175</v>
      </c>
      <c r="G333" s="1" t="s">
        <v>1176</v>
      </c>
      <c r="H333" s="1" t="str">
        <f t="shared" si="20"/>
        <v/>
      </c>
      <c r="I333" s="1" t="str">
        <f t="shared" si="21"/>
        <v/>
      </c>
      <c r="J333" s="1" t="str">
        <f t="shared" si="22"/>
        <v>数据区域{#JMXNAME}: 检查点缓冲区利用率太高(5分钟内超过{$GRIDGAIN.CHECKPOINT.PUSED.MAX.HIGH})</v>
      </c>
      <c r="K333" s="1" t="str">
        <f t="shared" si="23"/>
        <v/>
      </c>
    </row>
    <row r="334" spans="1:11">
      <c r="A334" s="1">
        <v>823</v>
      </c>
      <c r="B334" s="1" t="s">
        <v>9362</v>
      </c>
      <c r="C334" s="1" t="s">
        <v>9365</v>
      </c>
      <c r="D334" s="1" t="s">
        <v>1169</v>
      </c>
      <c r="E334" s="1" t="s">
        <v>1178</v>
      </c>
      <c r="F334" s="1" t="s">
        <v>1179</v>
      </c>
      <c r="G334" s="1" t="s">
        <v>1180</v>
      </c>
      <c r="H334" s="1" t="str">
        <f t="shared" si="20"/>
        <v/>
      </c>
      <c r="I334" s="1" t="str">
        <f t="shared" si="21"/>
        <v/>
      </c>
      <c r="J334" s="1" t="str">
        <f t="shared" si="22"/>
        <v>数据区域{#JMXNAME}: 检查点缓冲区利用率太高(5分钟内超过{$GRIDGAIN.CHECKPOINT.PUSED.MAX.WARN})</v>
      </c>
      <c r="K334" s="1" t="str">
        <f t="shared" si="23"/>
        <v/>
      </c>
    </row>
    <row r="335" spans="1:11">
      <c r="A335" s="1">
        <v>825</v>
      </c>
      <c r="B335" s="1" t="s">
        <v>9362</v>
      </c>
      <c r="C335" s="1" t="s">
        <v>9366</v>
      </c>
      <c r="D335" s="1" t="s">
        <v>1169</v>
      </c>
      <c r="E335" s="1" t="s">
        <v>1182</v>
      </c>
      <c r="F335" s="1" t="s">
        <v>1183</v>
      </c>
      <c r="G335" s="1" t="s">
        <v>1184</v>
      </c>
      <c r="H335" s="1" t="str">
        <f t="shared" si="20"/>
        <v/>
      </c>
      <c r="I335" s="1" t="str">
        <f t="shared" si="21"/>
        <v/>
      </c>
      <c r="J335" s="1" t="str">
        <f t="shared" si="22"/>
        <v>数据区域{#JMXNAME}: 数据区域利用率太高(5分钟内超过{$GRIDGAIN.DATA.REGION.PUSED.MAX.HIGH})</v>
      </c>
      <c r="K335" s="1" t="str">
        <f t="shared" si="23"/>
        <v/>
      </c>
    </row>
    <row r="336" spans="1:11">
      <c r="A336" s="1">
        <v>826</v>
      </c>
      <c r="B336" s="1" t="s">
        <v>9362</v>
      </c>
      <c r="C336" s="1" t="s">
        <v>9367</v>
      </c>
      <c r="D336" s="1" t="s">
        <v>1169</v>
      </c>
      <c r="E336" s="1" t="s">
        <v>1186</v>
      </c>
      <c r="F336" s="1" t="s">
        <v>1187</v>
      </c>
      <c r="G336" s="1" t="s">
        <v>1188</v>
      </c>
      <c r="H336" s="1" t="str">
        <f t="shared" si="20"/>
        <v/>
      </c>
      <c r="I336" s="1" t="str">
        <f t="shared" si="21"/>
        <v/>
      </c>
      <c r="J336" s="1" t="str">
        <f t="shared" si="22"/>
        <v>数据区域{#JMXNAME}: 数据区域利用率太高(5分钟内超过{$GRIDGAIN.DATA.REGION.PUSED.MAX.WARN})</v>
      </c>
      <c r="K336" s="1" t="str">
        <f t="shared" si="23"/>
        <v/>
      </c>
    </row>
    <row r="337" spans="1:11">
      <c r="A337" s="1">
        <v>828</v>
      </c>
      <c r="B337" s="1" t="s">
        <v>9362</v>
      </c>
      <c r="C337" s="1" t="s">
        <v>9368</v>
      </c>
      <c r="D337" s="1" t="s">
        <v>1169</v>
      </c>
      <c r="E337" s="1" t="s">
        <v>1190</v>
      </c>
      <c r="F337" s="1" t="s">
        <v>1191</v>
      </c>
      <c r="G337" s="1" t="s">
        <v>1192</v>
      </c>
      <c r="H337" s="1" t="str">
        <f t="shared" si="20"/>
        <v/>
      </c>
      <c r="I337" s="1" t="str">
        <f t="shared" si="21"/>
        <v/>
      </c>
      <c r="J337" s="1" t="str">
        <f t="shared" si="22"/>
        <v>GridGain[{#JMXIGNITEINSTANCENAME}]: 版本已变更(新版本: {ITEM.VALUE})</v>
      </c>
      <c r="K337" s="1" t="str">
        <f t="shared" si="23"/>
        <v/>
      </c>
    </row>
    <row r="338" spans="1:11">
      <c r="A338" s="1">
        <v>829</v>
      </c>
      <c r="B338" s="1" t="s">
        <v>9362</v>
      </c>
      <c r="C338" s="1" t="s">
        <v>9369</v>
      </c>
      <c r="D338" s="1" t="s">
        <v>1169</v>
      </c>
      <c r="E338" s="1" t="s">
        <v>1194</v>
      </c>
      <c r="F338" s="1" t="s">
        <v>1195</v>
      </c>
      <c r="G338" s="1" t="s">
        <v>1196</v>
      </c>
      <c r="H338" s="1" t="str">
        <f t="shared" si="20"/>
        <v/>
      </c>
      <c r="I338" s="1" t="str">
        <f t="shared" si="21"/>
        <v/>
      </c>
      <c r="J338" s="1" t="str">
        <f t="shared" si="22"/>
        <v>GridGain[{#JMXIGNITEINSTANCENAME}]: 排队任务的数量太高(超过{$GRIDGAIN.JOBS.QUEUE.MAX.WARN}15分钟)</v>
      </c>
      <c r="K338" s="1" t="str">
        <f t="shared" si="23"/>
        <v/>
      </c>
    </row>
    <row r="339" spans="1:11">
      <c r="A339" s="1">
        <v>833</v>
      </c>
      <c r="B339" s="1" t="s">
        <v>9362</v>
      </c>
      <c r="C339" s="1" t="s">
        <v>9370</v>
      </c>
      <c r="D339" s="1" t="s">
        <v>1169</v>
      </c>
      <c r="E339" s="1" t="s">
        <v>1198</v>
      </c>
      <c r="F339" s="1" t="s">
        <v>1199</v>
      </c>
      <c r="G339" s="1" t="s">
        <v>1200</v>
      </c>
      <c r="H339" s="1" t="str">
        <f t="shared" si="20"/>
        <v/>
      </c>
      <c r="I339" s="1" t="str">
        <f t="shared" si="21"/>
        <v/>
      </c>
      <c r="J339" s="1" t="str">
        <f t="shared" si="22"/>
        <v>GridGain[{#JMXIGNITEINSTANCENAME}]: PME持续时间太长(超过{$GRIDGAIN.PME.DURATION.MAX.HIGH}5分钟)</v>
      </c>
      <c r="K339" s="1" t="str">
        <f t="shared" si="23"/>
        <v/>
      </c>
    </row>
    <row r="340" spans="1:11">
      <c r="A340" s="1">
        <v>834</v>
      </c>
      <c r="B340" s="1" t="s">
        <v>9362</v>
      </c>
      <c r="C340" s="1" t="s">
        <v>9371</v>
      </c>
      <c r="D340" s="1" t="s">
        <v>1169</v>
      </c>
      <c r="E340" s="1" t="s">
        <v>1202</v>
      </c>
      <c r="F340" s="1" t="s">
        <v>1203</v>
      </c>
      <c r="G340" s="1" t="s">
        <v>1204</v>
      </c>
      <c r="H340" s="1" t="str">
        <f t="shared" si="20"/>
        <v/>
      </c>
      <c r="I340" s="1" t="str">
        <f t="shared" si="21"/>
        <v/>
      </c>
      <c r="J340" s="1" t="str">
        <f t="shared" si="22"/>
        <v>GridGain[{#JMXIGNITEINSTANCENAME}]: PME持续时间太长(超过{$GRIDGAIN.PME.DURATION.MAX.WARN}5分钟)</v>
      </c>
      <c r="K340" s="1" t="str">
        <f t="shared" si="23"/>
        <v/>
      </c>
    </row>
    <row r="341" spans="1:11">
      <c r="A341" s="1">
        <v>835</v>
      </c>
      <c r="B341" s="1" t="s">
        <v>9362</v>
      </c>
      <c r="C341" s="1" t="s">
        <v>9372</v>
      </c>
      <c r="D341" s="1" t="s">
        <v>1169</v>
      </c>
      <c r="E341" s="1" t="s">
        <v>1206</v>
      </c>
      <c r="F341" s="1" t="s">
        <v>1207</v>
      </c>
      <c r="G341" s="1" t="s">
        <v>1208</v>
      </c>
      <c r="H341" s="1" t="str">
        <f t="shared" si="20"/>
        <v/>
      </c>
      <c r="I341" s="1" t="str">
        <f t="shared" si="21"/>
        <v/>
      </c>
      <c r="J341" s="1" t="str">
        <f t="shared" si="22"/>
        <v>GridGain[{#JMXIGNITEINSTANCENAME}]: 正在运行的线程数太高(超过{$GRIDGAIN.THREADS.COUNT.MAX.WARN}15分钟)</v>
      </c>
      <c r="K341" s="1" t="str">
        <f t="shared" si="23"/>
        <v/>
      </c>
    </row>
    <row r="342" spans="1:11">
      <c r="A342" s="1">
        <v>836</v>
      </c>
      <c r="B342" s="1" t="s">
        <v>9362</v>
      </c>
      <c r="C342" s="1" t="s">
        <v>9373</v>
      </c>
      <c r="D342" s="1" t="s">
        <v>1169</v>
      </c>
      <c r="E342" s="1" t="s">
        <v>1210</v>
      </c>
      <c r="F342" s="1" t="s">
        <v>1211</v>
      </c>
      <c r="G342" s="1" t="s">
        <v>1212</v>
      </c>
      <c r="H342" s="1" t="str">
        <f t="shared" si="20"/>
        <v/>
      </c>
      <c r="I342" s="1" t="str">
        <f t="shared" si="21"/>
        <v/>
      </c>
      <c r="J342" s="1" t="str">
        <f t="shared" si="22"/>
        <v>GridGain[{#JMXIGNITEINSTANCENAME}]: 已重启(正常运行时间&lt;10分钟)</v>
      </c>
      <c r="K342" s="1" t="str">
        <f t="shared" si="23"/>
        <v/>
      </c>
    </row>
    <row r="343" spans="1:11">
      <c r="A343" s="1">
        <v>837</v>
      </c>
      <c r="B343" s="1" t="s">
        <v>9362</v>
      </c>
      <c r="C343" s="1" t="s">
        <v>9374</v>
      </c>
      <c r="D343" s="1" t="s">
        <v>1169</v>
      </c>
      <c r="E343" s="1" t="s">
        <v>1214</v>
      </c>
      <c r="F343" s="1" t="s">
        <v>1215</v>
      </c>
      <c r="G343" s="1" t="s">
        <v>1216</v>
      </c>
      <c r="H343" s="1" t="str">
        <f t="shared" si="20"/>
        <v/>
      </c>
      <c r="I343" s="1" t="str">
        <f t="shared" si="21"/>
        <v/>
      </c>
      <c r="J343" s="1" t="str">
        <f t="shared" si="22"/>
        <v>GridGain[{#JMXIGNITEINSTANCENAME}]: 获取信息数据失败(或10分钟无数据)</v>
      </c>
      <c r="K343" s="1" t="str">
        <f t="shared" si="23"/>
        <v/>
      </c>
    </row>
    <row r="344" spans="1:11">
      <c r="A344" s="1">
        <v>838</v>
      </c>
      <c r="B344" s="1" t="s">
        <v>9362</v>
      </c>
      <c r="C344" s="1" t="s">
        <v>9375</v>
      </c>
      <c r="D344" s="1" t="s">
        <v>1169</v>
      </c>
      <c r="E344" s="1" t="s">
        <v>1218</v>
      </c>
      <c r="F344" s="1" t="s">
        <v>1191</v>
      </c>
      <c r="G344" s="1" t="s">
        <v>1192</v>
      </c>
      <c r="H344" s="1" t="str">
        <f t="shared" si="20"/>
        <v/>
      </c>
      <c r="I344" s="1" t="str">
        <f t="shared" si="21"/>
        <v/>
      </c>
      <c r="J344" s="1" t="str">
        <f t="shared" si="22"/>
        <v>GridGain[{#JMXIGNITEINSTANCENAME}]: 版本已变更(新版本: {ITEM.VALUE})</v>
      </c>
      <c r="K344" s="1" t="str">
        <f t="shared" si="23"/>
        <v/>
      </c>
    </row>
    <row r="345" spans="1:11">
      <c r="A345" s="1">
        <v>839</v>
      </c>
      <c r="B345" s="1" t="s">
        <v>9362</v>
      </c>
      <c r="C345" s="1" t="s">
        <v>9376</v>
      </c>
      <c r="D345" s="1" t="s">
        <v>1169</v>
      </c>
      <c r="E345" s="1" t="s">
        <v>1220</v>
      </c>
      <c r="F345" s="1" t="s">
        <v>1221</v>
      </c>
      <c r="G345" s="1" t="s">
        <v>1222</v>
      </c>
      <c r="H345" s="1" t="str">
        <f t="shared" si="20"/>
        <v/>
      </c>
      <c r="I345" s="1" t="str">
        <f t="shared" si="21"/>
        <v/>
      </c>
      <c r="J345" s="1" t="str">
        <f t="shared" si="22"/>
        <v>线程池[{#JMXNAME}]: 队列中的消息过多(超过{$GRIDGAIN.THREAD.QUEUE.MAX.WARN: "{#JMXNAME}"}5分钟)</v>
      </c>
      <c r="K345" s="1" t="str">
        <f t="shared" si="23"/>
        <v/>
      </c>
    </row>
    <row r="346" spans="1:11">
      <c r="A346" s="1">
        <v>840</v>
      </c>
      <c r="B346" s="1" t="s">
        <v>9377</v>
      </c>
      <c r="C346" s="1" t="s">
        <v>9169</v>
      </c>
      <c r="D346" s="1" t="s">
        <v>1224</v>
      </c>
      <c r="E346" s="1" t="s">
        <v>1225</v>
      </c>
      <c r="F346" s="1" t="s">
        <v>1226</v>
      </c>
      <c r="G346" s="1" t="s">
        <v>1227</v>
      </c>
      <c r="H346" s="1" t="str">
        <f t="shared" si="20"/>
        <v/>
      </c>
      <c r="I346" s="1" t="str">
        <f t="shared" si="21"/>
        <v/>
      </c>
      <c r="J346" s="1" t="str">
        <f t="shared" si="22"/>
        <v>HAProxy后端{#PXNAME}: 错误响应数超过{$HAPROXY.BACK_ERESP.MAX.WARN}达5分钟</v>
      </c>
      <c r="K346" s="1" t="str">
        <f t="shared" si="23"/>
        <v/>
      </c>
    </row>
    <row r="347" spans="1:11">
      <c r="A347" s="1">
        <v>841</v>
      </c>
      <c r="B347" s="1" t="s">
        <v>9377</v>
      </c>
      <c r="C347" s="1" t="s">
        <v>9170</v>
      </c>
      <c r="D347" s="1" t="s">
        <v>1224</v>
      </c>
      <c r="E347" s="1" t="s">
        <v>1229</v>
      </c>
      <c r="F347" s="1" t="s">
        <v>1230</v>
      </c>
      <c r="G347" s="1" t="s">
        <v>1231</v>
      </c>
      <c r="H347" s="1" t="str">
        <f t="shared" si="20"/>
        <v/>
      </c>
      <c r="I347" s="1" t="str">
        <f t="shared" si="21"/>
        <v/>
      </c>
      <c r="J347" s="1" t="str">
        <f t="shared" si="22"/>
        <v>HAProxy后端{#PXNAME}: 平均响应时间超过{$HAPROXY.BACK_RTIME.MAX.WARN}达5分钟</v>
      </c>
      <c r="K347" s="1" t="str">
        <f t="shared" si="23"/>
        <v/>
      </c>
    </row>
    <row r="348" spans="1:11">
      <c r="A348" s="1">
        <v>843</v>
      </c>
      <c r="B348" s="1" t="s">
        <v>9377</v>
      </c>
      <c r="C348" s="1" t="s">
        <v>9340</v>
      </c>
      <c r="D348" s="1" t="s">
        <v>1224</v>
      </c>
      <c r="E348" s="1" t="s">
        <v>1233</v>
      </c>
      <c r="F348" s="1" t="s">
        <v>1234</v>
      </c>
      <c r="G348" s="1" t="s">
        <v>1235</v>
      </c>
      <c r="H348" s="1" t="str">
        <f t="shared" si="20"/>
        <v/>
      </c>
      <c r="I348" s="1" t="str">
        <f t="shared" si="21"/>
        <v/>
      </c>
      <c r="J348" s="1" t="str">
        <f t="shared" si="22"/>
        <v>HAProxy后端{#PXNAME}: 队列中花费的平均时间超过{$HAPROXY.BACK_QTIME.MAX.WARN}达5分钟</v>
      </c>
      <c r="K348" s="1" t="str">
        <f t="shared" si="23"/>
        <v/>
      </c>
    </row>
    <row r="349" spans="1:11">
      <c r="A349" s="1">
        <v>844</v>
      </c>
      <c r="B349" s="1" t="s">
        <v>9377</v>
      </c>
      <c r="C349" s="1" t="s">
        <v>9234</v>
      </c>
      <c r="D349" s="1" t="s">
        <v>1224</v>
      </c>
      <c r="E349" s="1" t="s">
        <v>1237</v>
      </c>
      <c r="F349" s="1" t="s">
        <v>1238</v>
      </c>
      <c r="G349" s="1" t="s">
        <v>1239</v>
      </c>
      <c r="H349" s="1" t="str">
        <f t="shared" si="20"/>
        <v/>
      </c>
      <c r="I349" s="1" t="str">
        <f t="shared" si="21"/>
        <v/>
      </c>
      <c r="J349" s="1" t="str">
        <f t="shared" si="22"/>
        <v>HAProxy后端{#PXNAME}: 队列中当前未分配的请求数超过{$HAPROXY.BACK_QCUR.MAX.WARN}达5分钟</v>
      </c>
      <c r="K349" s="1" t="str">
        <f t="shared" si="23"/>
        <v/>
      </c>
    </row>
    <row r="350" spans="1:11">
      <c r="A350" s="1">
        <v>845</v>
      </c>
      <c r="B350" s="1" t="s">
        <v>9377</v>
      </c>
      <c r="C350" s="1" t="s">
        <v>9172</v>
      </c>
      <c r="D350" s="1" t="s">
        <v>1224</v>
      </c>
      <c r="E350" s="1" t="s">
        <v>1241</v>
      </c>
      <c r="F350" s="1" t="s">
        <v>1242</v>
      </c>
      <c r="G350" s="1" t="s">
        <v>1243</v>
      </c>
      <c r="H350" s="1" t="str">
        <f t="shared" si="20"/>
        <v/>
      </c>
      <c r="I350" s="1" t="str">
        <f t="shared" si="21"/>
        <v/>
      </c>
      <c r="J350" s="1" t="str">
        <f t="shared" si="22"/>
        <v>HAProxy前端{#PXNAME}: 被拒绝的请求数超过{$HAPROXY.FRONT_DREQ.MAX.WARN}达5分钟</v>
      </c>
      <c r="K350" s="1" t="str">
        <f t="shared" si="23"/>
        <v/>
      </c>
    </row>
    <row r="351" spans="1:11">
      <c r="A351" s="1">
        <v>846</v>
      </c>
      <c r="B351" s="1" t="s">
        <v>9377</v>
      </c>
      <c r="C351" s="1" t="s">
        <v>9173</v>
      </c>
      <c r="D351" s="1" t="s">
        <v>1224</v>
      </c>
      <c r="E351" s="1" t="s">
        <v>1245</v>
      </c>
      <c r="F351" s="1" t="s">
        <v>1246</v>
      </c>
      <c r="G351" s="1" t="s">
        <v>1247</v>
      </c>
      <c r="H351" s="1" t="str">
        <f t="shared" si="20"/>
        <v/>
      </c>
      <c r="I351" s="1" t="str">
        <f t="shared" si="21"/>
        <v/>
      </c>
      <c r="J351" s="1" t="str">
        <f t="shared" si="22"/>
        <v>HAProxy前端{#PXNAME}: 请求错误数超过{$HAPROXY.FRONT_EREQ.MAX.WARN}达5分钟</v>
      </c>
      <c r="K351" s="1" t="str">
        <f t="shared" si="23"/>
        <v/>
      </c>
    </row>
    <row r="352" spans="1:11">
      <c r="A352" s="1">
        <v>847</v>
      </c>
      <c r="B352" s="1" t="s">
        <v>9377</v>
      </c>
      <c r="C352" s="1" t="s">
        <v>9341</v>
      </c>
      <c r="D352" s="1" t="s">
        <v>1224</v>
      </c>
      <c r="E352" s="1" t="s">
        <v>1249</v>
      </c>
      <c r="F352" s="1" t="s">
        <v>1250</v>
      </c>
      <c r="G352" s="1" t="s">
        <v>1251</v>
      </c>
      <c r="H352" s="1" t="str">
        <f t="shared" si="20"/>
        <v/>
      </c>
      <c r="I352" s="1" t="str">
        <f t="shared" si="21"/>
        <v/>
      </c>
      <c r="J352" s="1" t="str">
        <f t="shared" si="22"/>
        <v>HAProxy前端{#PXNAME}: 会话利用率超过{$HAPROXY.FRONT_SUTIL.MAX.WARN}%达5分钟</v>
      </c>
      <c r="K352" s="1" t="str">
        <f t="shared" si="23"/>
        <v/>
      </c>
    </row>
    <row r="353" spans="1:11">
      <c r="A353" s="1">
        <v>848</v>
      </c>
      <c r="B353" s="1" t="s">
        <v>9377</v>
      </c>
      <c r="C353" s="1" t="s">
        <v>9378</v>
      </c>
      <c r="D353" s="1" t="s">
        <v>1224</v>
      </c>
      <c r="E353" s="1" t="s">
        <v>1253</v>
      </c>
      <c r="F353" s="1" t="s">
        <v>1254</v>
      </c>
      <c r="G353" s="1" t="s">
        <v>1255</v>
      </c>
      <c r="H353" s="1" t="str">
        <f t="shared" si="20"/>
        <v/>
      </c>
      <c r="I353" s="1" t="str">
        <f t="shared" si="21"/>
        <v/>
      </c>
      <c r="J353" s="1" t="str">
        <f t="shared" si="22"/>
        <v>HAProxy{#PXNAME}{#SVNAME}: 错误响应数超过{$HAPROXY.SERVER_ERESP.MAX.WARN}达5分钟</v>
      </c>
      <c r="K353" s="1" t="str">
        <f t="shared" si="23"/>
        <v/>
      </c>
    </row>
    <row r="354" spans="1:11">
      <c r="A354" s="1">
        <v>849</v>
      </c>
      <c r="B354" s="1" t="s">
        <v>9377</v>
      </c>
      <c r="C354" s="1" t="s">
        <v>9235</v>
      </c>
      <c r="D354" s="1" t="s">
        <v>1224</v>
      </c>
      <c r="E354" s="1" t="s">
        <v>1257</v>
      </c>
      <c r="F354" s="1" t="s">
        <v>1258</v>
      </c>
      <c r="G354" s="1" t="s">
        <v>1259</v>
      </c>
      <c r="H354" s="1" t="str">
        <f t="shared" si="20"/>
        <v/>
      </c>
      <c r="I354" s="1" t="str">
        <f t="shared" si="21"/>
        <v/>
      </c>
      <c r="J354" s="1" t="str">
        <f t="shared" si="22"/>
        <v>HAProxy{#PXNAME}{#SVNAME}: 平均响应时间超过{$HAPROXY.SERVER_RTIME.MAX.WARN}达5分钟</v>
      </c>
      <c r="K354" s="1" t="str">
        <f t="shared" si="23"/>
        <v/>
      </c>
    </row>
    <row r="355" spans="1:11">
      <c r="A355" s="1">
        <v>852</v>
      </c>
      <c r="B355" s="1" t="s">
        <v>9377</v>
      </c>
      <c r="C355" s="1" t="s">
        <v>9175</v>
      </c>
      <c r="D355" s="1" t="s">
        <v>1224</v>
      </c>
      <c r="E355" s="1" t="s">
        <v>1261</v>
      </c>
      <c r="F355" s="1" t="s">
        <v>1262</v>
      </c>
      <c r="G355" s="1" t="s">
        <v>1263</v>
      </c>
      <c r="H355" s="1" t="str">
        <f t="shared" si="20"/>
        <v/>
      </c>
      <c r="I355" s="1" t="str">
        <f t="shared" si="21"/>
        <v/>
      </c>
      <c r="J355" s="1" t="str">
        <f t="shared" si="22"/>
        <v>HAProxy{#PXNAME}{#SVNAME}: 队列中花费的平均时间超过{$HAPROXY.SERVER_QTIME.MAX.WARN}达5分钟</v>
      </c>
      <c r="K355" s="1" t="str">
        <f t="shared" si="23"/>
        <v/>
      </c>
    </row>
    <row r="356" spans="1:11">
      <c r="A356" s="1">
        <v>853</v>
      </c>
      <c r="B356" s="1" t="s">
        <v>9377</v>
      </c>
      <c r="C356" s="1" t="s">
        <v>9176</v>
      </c>
      <c r="D356" s="1" t="s">
        <v>1224</v>
      </c>
      <c r="E356" s="1" t="s">
        <v>1265</v>
      </c>
      <c r="F356" s="1" t="s">
        <v>1266</v>
      </c>
      <c r="G356" s="1" t="s">
        <v>1267</v>
      </c>
      <c r="H356" s="1" t="str">
        <f t="shared" si="20"/>
        <v/>
      </c>
      <c r="I356" s="1" t="str">
        <f t="shared" si="21"/>
        <v/>
      </c>
      <c r="J356" s="1" t="str">
        <f t="shared" si="22"/>
        <v>HAProxy{#PXNAME}{#SVNAME}: 队列中未分配的当前请求数超过{$HAPROXY.SERVER_QCUR.MAX.WARN}达5分钟</v>
      </c>
      <c r="K356" s="1" t="str">
        <f t="shared" si="23"/>
        <v/>
      </c>
    </row>
    <row r="357" spans="1:11">
      <c r="A357" s="1">
        <v>854</v>
      </c>
      <c r="B357" s="1" t="s">
        <v>9379</v>
      </c>
      <c r="C357" s="1" t="s">
        <v>9169</v>
      </c>
      <c r="D357" s="1" t="s">
        <v>1269</v>
      </c>
      <c r="E357" s="1" t="s">
        <v>1270</v>
      </c>
      <c r="F357" s="1" t="s">
        <v>1226</v>
      </c>
      <c r="G357" s="1" t="s">
        <v>1227</v>
      </c>
      <c r="H357" s="1" t="str">
        <f t="shared" si="20"/>
        <v/>
      </c>
      <c r="I357" s="1" t="str">
        <f t="shared" si="21"/>
        <v/>
      </c>
      <c r="J357" s="1" t="str">
        <f t="shared" si="22"/>
        <v>HAProxy后端{#PXNAME}: 错误响应数超过{$HAPROXY.BACK_ERESP.MAX.WARN}达5分钟</v>
      </c>
      <c r="K357" s="1" t="str">
        <f t="shared" si="23"/>
        <v/>
      </c>
    </row>
    <row r="358" spans="1:11">
      <c r="A358" s="1">
        <v>855</v>
      </c>
      <c r="B358" s="1" t="s">
        <v>9379</v>
      </c>
      <c r="C358" s="1" t="s">
        <v>9170</v>
      </c>
      <c r="D358" s="1" t="s">
        <v>1269</v>
      </c>
      <c r="E358" s="1" t="s">
        <v>1272</v>
      </c>
      <c r="F358" s="1" t="s">
        <v>1230</v>
      </c>
      <c r="G358" s="1" t="s">
        <v>1231</v>
      </c>
      <c r="H358" s="1" t="str">
        <f t="shared" si="20"/>
        <v/>
      </c>
      <c r="I358" s="1" t="str">
        <f t="shared" si="21"/>
        <v/>
      </c>
      <c r="J358" s="1" t="str">
        <f t="shared" si="22"/>
        <v>HAProxy后端{#PXNAME}: 平均响应时间超过{$HAPROXY.BACK_RTIME.MAX.WARN}达5分钟</v>
      </c>
      <c r="K358" s="1" t="str">
        <f t="shared" si="23"/>
        <v/>
      </c>
    </row>
    <row r="359" spans="1:11">
      <c r="A359" s="1">
        <v>857</v>
      </c>
      <c r="B359" s="1" t="s">
        <v>9379</v>
      </c>
      <c r="C359" s="1" t="s">
        <v>9340</v>
      </c>
      <c r="D359" s="1" t="s">
        <v>1269</v>
      </c>
      <c r="E359" s="1" t="s">
        <v>1274</v>
      </c>
      <c r="F359" s="1" t="s">
        <v>1234</v>
      </c>
      <c r="G359" s="1" t="s">
        <v>1235</v>
      </c>
      <c r="H359" s="1" t="str">
        <f t="shared" si="20"/>
        <v/>
      </c>
      <c r="I359" s="1" t="str">
        <f t="shared" si="21"/>
        <v/>
      </c>
      <c r="J359" s="1" t="str">
        <f t="shared" si="22"/>
        <v>HAProxy后端{#PXNAME}: 队列中花费的平均时间超过{$HAPROXY.BACK_QTIME.MAX.WARN}达5分钟</v>
      </c>
      <c r="K359" s="1" t="str">
        <f t="shared" si="23"/>
        <v/>
      </c>
    </row>
    <row r="360" spans="1:11">
      <c r="A360" s="1">
        <v>858</v>
      </c>
      <c r="B360" s="1" t="s">
        <v>9379</v>
      </c>
      <c r="C360" s="1" t="s">
        <v>9234</v>
      </c>
      <c r="D360" s="1" t="s">
        <v>1269</v>
      </c>
      <c r="E360" s="1" t="s">
        <v>1276</v>
      </c>
      <c r="F360" s="1" t="s">
        <v>1238</v>
      </c>
      <c r="G360" s="1" t="s">
        <v>1239</v>
      </c>
      <c r="H360" s="1" t="str">
        <f t="shared" si="20"/>
        <v/>
      </c>
      <c r="I360" s="1" t="str">
        <f t="shared" si="21"/>
        <v/>
      </c>
      <c r="J360" s="1" t="str">
        <f t="shared" si="22"/>
        <v>HAProxy后端{#PXNAME}: 队列中当前未分配的请求数超过{$HAPROXY.BACK_QCUR.MAX.WARN}达5分钟</v>
      </c>
      <c r="K360" s="1" t="str">
        <f t="shared" si="23"/>
        <v/>
      </c>
    </row>
    <row r="361" spans="1:11">
      <c r="A361" s="1">
        <v>859</v>
      </c>
      <c r="B361" s="1" t="s">
        <v>9379</v>
      </c>
      <c r="C361" s="1" t="s">
        <v>9172</v>
      </c>
      <c r="D361" s="1" t="s">
        <v>1269</v>
      </c>
      <c r="E361" s="1" t="s">
        <v>1278</v>
      </c>
      <c r="F361" s="1" t="s">
        <v>1242</v>
      </c>
      <c r="G361" s="1" t="s">
        <v>1243</v>
      </c>
      <c r="H361" s="1" t="str">
        <f t="shared" si="20"/>
        <v/>
      </c>
      <c r="I361" s="1" t="str">
        <f t="shared" si="21"/>
        <v/>
      </c>
      <c r="J361" s="1" t="str">
        <f t="shared" si="22"/>
        <v>HAProxy前端{#PXNAME}: 被拒绝的请求数超过{$HAPROXY.FRONT_DREQ.MAX.WARN}达5分钟</v>
      </c>
      <c r="K361" s="1" t="str">
        <f t="shared" si="23"/>
        <v/>
      </c>
    </row>
    <row r="362" spans="1:11">
      <c r="A362" s="1">
        <v>860</v>
      </c>
      <c r="B362" s="1" t="s">
        <v>9379</v>
      </c>
      <c r="C362" s="1" t="s">
        <v>9173</v>
      </c>
      <c r="D362" s="1" t="s">
        <v>1269</v>
      </c>
      <c r="E362" s="1" t="s">
        <v>1280</v>
      </c>
      <c r="F362" s="1" t="s">
        <v>1246</v>
      </c>
      <c r="G362" s="1" t="s">
        <v>1247</v>
      </c>
      <c r="H362" s="1" t="str">
        <f t="shared" si="20"/>
        <v/>
      </c>
      <c r="I362" s="1" t="str">
        <f t="shared" si="21"/>
        <v/>
      </c>
      <c r="J362" s="1" t="str">
        <f t="shared" si="22"/>
        <v>HAProxy前端{#PXNAME}: 请求错误数超过{$HAPROXY.FRONT_EREQ.MAX.WARN}达5分钟</v>
      </c>
      <c r="K362" s="1" t="str">
        <f t="shared" si="23"/>
        <v/>
      </c>
    </row>
    <row r="363" spans="1:11">
      <c r="A363" s="1">
        <v>861</v>
      </c>
      <c r="B363" s="1" t="s">
        <v>9379</v>
      </c>
      <c r="C363" s="1" t="s">
        <v>9341</v>
      </c>
      <c r="D363" s="1" t="s">
        <v>1269</v>
      </c>
      <c r="E363" s="1" t="s">
        <v>1282</v>
      </c>
      <c r="F363" s="1" t="s">
        <v>1250</v>
      </c>
      <c r="G363" s="1" t="s">
        <v>1251</v>
      </c>
      <c r="H363" s="1" t="str">
        <f t="shared" si="20"/>
        <v/>
      </c>
      <c r="I363" s="1" t="str">
        <f t="shared" si="21"/>
        <v/>
      </c>
      <c r="J363" s="1" t="str">
        <f t="shared" si="22"/>
        <v>HAProxy前端{#PXNAME}: 会话利用率超过{$HAPROXY.FRONT_SUTIL.MAX.WARN}%达5分钟</v>
      </c>
      <c r="K363" s="1" t="str">
        <f t="shared" si="23"/>
        <v/>
      </c>
    </row>
    <row r="364" spans="1:11">
      <c r="A364" s="1">
        <v>862</v>
      </c>
      <c r="B364" s="1" t="s">
        <v>9379</v>
      </c>
      <c r="C364" s="1" t="s">
        <v>9378</v>
      </c>
      <c r="D364" s="1" t="s">
        <v>1269</v>
      </c>
      <c r="E364" s="1" t="s">
        <v>1284</v>
      </c>
      <c r="F364" s="1" t="s">
        <v>1254</v>
      </c>
      <c r="G364" s="1" t="s">
        <v>1255</v>
      </c>
      <c r="H364" s="1" t="str">
        <f t="shared" si="20"/>
        <v/>
      </c>
      <c r="I364" s="1" t="str">
        <f t="shared" si="21"/>
        <v/>
      </c>
      <c r="J364" s="1" t="str">
        <f t="shared" si="22"/>
        <v>HAProxy{#PXNAME}{#SVNAME}: 错误响应数超过{$HAPROXY.SERVER_ERESP.MAX.WARN}达5分钟</v>
      </c>
      <c r="K364" s="1" t="str">
        <f t="shared" si="23"/>
        <v/>
      </c>
    </row>
    <row r="365" spans="1:11">
      <c r="A365" s="1">
        <v>863</v>
      </c>
      <c r="B365" s="1" t="s">
        <v>9379</v>
      </c>
      <c r="C365" s="1" t="s">
        <v>9235</v>
      </c>
      <c r="D365" s="1" t="s">
        <v>1269</v>
      </c>
      <c r="E365" s="1" t="s">
        <v>1286</v>
      </c>
      <c r="F365" s="1" t="s">
        <v>1258</v>
      </c>
      <c r="G365" s="1" t="s">
        <v>1259</v>
      </c>
      <c r="H365" s="1" t="str">
        <f t="shared" si="20"/>
        <v/>
      </c>
      <c r="I365" s="1" t="str">
        <f t="shared" si="21"/>
        <v/>
      </c>
      <c r="J365" s="1" t="str">
        <f t="shared" si="22"/>
        <v>HAProxy{#PXNAME}{#SVNAME}: 平均响应时间超过{$HAPROXY.SERVER_RTIME.MAX.WARN}达5分钟</v>
      </c>
      <c r="K365" s="1" t="str">
        <f t="shared" si="23"/>
        <v/>
      </c>
    </row>
    <row r="366" spans="1:11">
      <c r="A366" s="1">
        <v>866</v>
      </c>
      <c r="B366" s="1" t="s">
        <v>9379</v>
      </c>
      <c r="C366" s="1" t="s">
        <v>9175</v>
      </c>
      <c r="D366" s="1" t="s">
        <v>1269</v>
      </c>
      <c r="E366" s="1" t="s">
        <v>1288</v>
      </c>
      <c r="F366" s="1" t="s">
        <v>1262</v>
      </c>
      <c r="G366" s="1" t="s">
        <v>1263</v>
      </c>
      <c r="H366" s="1" t="str">
        <f t="shared" si="20"/>
        <v/>
      </c>
      <c r="I366" s="1" t="str">
        <f t="shared" si="21"/>
        <v/>
      </c>
      <c r="J366" s="1" t="str">
        <f t="shared" si="22"/>
        <v>HAProxy{#PXNAME}{#SVNAME}: 队列中花费的平均时间超过{$HAPROXY.SERVER_QTIME.MAX.WARN}达5分钟</v>
      </c>
      <c r="K366" s="1" t="str">
        <f t="shared" si="23"/>
        <v/>
      </c>
    </row>
    <row r="367" spans="1:11">
      <c r="A367" s="1">
        <v>867</v>
      </c>
      <c r="B367" s="1" t="s">
        <v>9379</v>
      </c>
      <c r="C367" s="1" t="s">
        <v>9176</v>
      </c>
      <c r="D367" s="1" t="s">
        <v>1269</v>
      </c>
      <c r="E367" s="1" t="s">
        <v>1290</v>
      </c>
      <c r="F367" s="1" t="s">
        <v>1266</v>
      </c>
      <c r="G367" s="1" t="s">
        <v>1267</v>
      </c>
      <c r="H367" s="1" t="str">
        <f t="shared" si="20"/>
        <v/>
      </c>
      <c r="I367" s="1" t="str">
        <f t="shared" si="21"/>
        <v/>
      </c>
      <c r="J367" s="1" t="str">
        <f t="shared" si="22"/>
        <v>HAProxy{#PXNAME}{#SVNAME}: 队列中未分配的当前请求数超过{$HAPROXY.SERVER_QCUR.MAX.WARN}达5分钟</v>
      </c>
      <c r="K367" s="1" t="str">
        <f t="shared" si="23"/>
        <v/>
      </c>
    </row>
    <row r="368" spans="1:11">
      <c r="A368" s="1">
        <v>868</v>
      </c>
      <c r="B368" s="1" t="s">
        <v>9380</v>
      </c>
      <c r="C368" s="1" t="s">
        <v>9182</v>
      </c>
      <c r="D368" s="1" t="s">
        <v>1307</v>
      </c>
      <c r="E368" s="1" t="s">
        <v>1308</v>
      </c>
      <c r="F368" s="1" t="s">
        <v>161</v>
      </c>
      <c r="G368" s="1" t="s">
        <v>162</v>
      </c>
      <c r="H368" s="1" t="str">
        <f t="shared" si="20"/>
        <v/>
      </c>
      <c r="I368" s="1" t="str">
        <f t="shared" si="21"/>
        <v/>
      </c>
      <c r="J368" s="1" t="str">
        <f t="shared" si="22"/>
        <v>接口{#IFNAME}({#IFALIAS}): 带宽使用率太高(&gt;{$IF.UTIL.MAX: "{#IFNAME}"}%)</v>
      </c>
      <c r="K368" s="1" t="str">
        <f t="shared" si="23"/>
        <v/>
      </c>
    </row>
    <row r="369" spans="1:11">
      <c r="A369" s="1">
        <v>870</v>
      </c>
      <c r="B369" s="1" t="s">
        <v>9380</v>
      </c>
      <c r="C369" s="1" t="s">
        <v>9185</v>
      </c>
      <c r="D369" s="1" t="s">
        <v>1307</v>
      </c>
      <c r="E369" s="1" t="s">
        <v>1310</v>
      </c>
      <c r="F369" s="1" t="s">
        <v>165</v>
      </c>
      <c r="G369" s="1" t="s">
        <v>166</v>
      </c>
      <c r="H369" s="1" t="str">
        <f t="shared" si="20"/>
        <v/>
      </c>
      <c r="I369" s="1" t="str">
        <f t="shared" si="21"/>
        <v/>
      </c>
      <c r="J369" s="1" t="str">
        <f t="shared" si="22"/>
        <v>接口{#IFNAME}({#IFALIAS}): 错误率太高(&gt;{$IF.ERRORS.WARN: "{#IFNAME}"}达5分钟)</v>
      </c>
      <c r="K369" s="1" t="str">
        <f t="shared" si="23"/>
        <v/>
      </c>
    </row>
    <row r="370" spans="1:11">
      <c r="A370" s="1">
        <v>875</v>
      </c>
      <c r="B370" s="1" t="s">
        <v>9380</v>
      </c>
      <c r="C370" s="1" t="s">
        <v>9381</v>
      </c>
      <c r="D370" s="1" t="s">
        <v>1307</v>
      </c>
      <c r="E370" s="1" t="s">
        <v>1312</v>
      </c>
      <c r="F370" s="1" t="s">
        <v>169</v>
      </c>
      <c r="G370" s="1" t="s">
        <v>170</v>
      </c>
      <c r="H370" s="1" t="str">
        <f t="shared" si="20"/>
        <v/>
      </c>
      <c r="I370" s="1" t="str">
        <f t="shared" si="21"/>
        <v/>
      </c>
      <c r="J370" s="1" t="str">
        <f t="shared" si="22"/>
        <v>{#ENT_NAME}: 设备已更换(收到新序列号)</v>
      </c>
      <c r="K370" s="1" t="str">
        <f t="shared" si="23"/>
        <v/>
      </c>
    </row>
    <row r="371" spans="1:11">
      <c r="A371" s="1">
        <v>878</v>
      </c>
      <c r="B371" s="1" t="s">
        <v>9380</v>
      </c>
      <c r="C371" s="1" t="s">
        <v>9196</v>
      </c>
      <c r="D371" s="1" t="s">
        <v>1307</v>
      </c>
      <c r="E371" s="1" t="s">
        <v>1314</v>
      </c>
      <c r="F371" s="1" t="s">
        <v>1315</v>
      </c>
      <c r="G371" s="1" t="s">
        <v>1316</v>
      </c>
      <c r="H371" s="1" t="str">
        <f t="shared" si="20"/>
        <v/>
      </c>
      <c r="I371" s="1" t="str">
        <f t="shared" si="21"/>
        <v/>
      </c>
      <c r="J371" s="1" t="str">
        <f t="shared" si="22"/>
        <v>{#MODULE_NAME}: CPU使用率高了(超过{$CPU.UTIL.CRIT}%达5分钟)</v>
      </c>
      <c r="K371" s="1" t="str">
        <f t="shared" si="23"/>
        <v/>
      </c>
    </row>
    <row r="372" spans="1:11">
      <c r="A372" s="1">
        <v>879</v>
      </c>
      <c r="B372" s="1" t="s">
        <v>9380</v>
      </c>
      <c r="C372" s="1" t="s">
        <v>9198</v>
      </c>
      <c r="D372" s="1" t="s">
        <v>1307</v>
      </c>
      <c r="E372" s="1" t="s">
        <v>1318</v>
      </c>
      <c r="F372" s="1" t="s">
        <v>1319</v>
      </c>
      <c r="G372" s="1" t="s">
        <v>1320</v>
      </c>
      <c r="H372" s="1" t="str">
        <f t="shared" si="20"/>
        <v/>
      </c>
      <c r="I372" s="1" t="str">
        <f t="shared" si="21"/>
        <v/>
      </c>
      <c r="J372" s="1" t="str">
        <f t="shared" si="22"/>
        <v>{#MODULE_NAME}: 内存利用率高了(&gt;{$MEMORY.UTIL.MAX}%达5分钟)</v>
      </c>
      <c r="K372" s="1" t="str">
        <f t="shared" si="23"/>
        <v/>
      </c>
    </row>
    <row r="373" spans="1:11">
      <c r="A373" s="1">
        <v>880</v>
      </c>
      <c r="B373" s="1" t="s">
        <v>9380</v>
      </c>
      <c r="C373" s="1" t="s">
        <v>9201</v>
      </c>
      <c r="D373" s="1" t="s">
        <v>1307</v>
      </c>
      <c r="E373" s="1" t="s">
        <v>1322</v>
      </c>
      <c r="F373" s="1" t="s">
        <v>173</v>
      </c>
      <c r="G373" s="1" t="s">
        <v>174</v>
      </c>
      <c r="H373" s="1" t="str">
        <f t="shared" si="20"/>
        <v/>
      </c>
      <c r="I373" s="1" t="str">
        <f t="shared" si="21"/>
        <v/>
      </c>
      <c r="J373" s="1" t="str">
        <f t="shared" si="22"/>
        <v>{#SNMPVALUE}: 温度高于临界阈值: &gt;{$TEMP_CRIT: "{#SNMPVALUE}"}</v>
      </c>
      <c r="K373" s="1" t="str">
        <f t="shared" si="23"/>
        <v/>
      </c>
    </row>
    <row r="374" spans="1:11">
      <c r="A374" s="1">
        <v>881</v>
      </c>
      <c r="B374" s="1" t="s">
        <v>9380</v>
      </c>
      <c r="C374" s="1" t="s">
        <v>9204</v>
      </c>
      <c r="D374" s="1" t="s">
        <v>1307</v>
      </c>
      <c r="E374" s="1" t="s">
        <v>1324</v>
      </c>
      <c r="F374" s="1" t="s">
        <v>177</v>
      </c>
      <c r="G374" s="1" t="s">
        <v>178</v>
      </c>
      <c r="H374" s="1" t="str">
        <f t="shared" si="20"/>
        <v/>
      </c>
      <c r="I374" s="1" t="str">
        <f t="shared" si="21"/>
        <v/>
      </c>
      <c r="J374" s="1" t="str">
        <f t="shared" si="22"/>
        <v>{#SNMPVALUE}: 温度高于告警阈值: &gt;{$TEMP_WARN: "{#SNMPVALUE}"}</v>
      </c>
      <c r="K374" s="1" t="str">
        <f t="shared" si="23"/>
        <v/>
      </c>
    </row>
    <row r="375" spans="1:11">
      <c r="A375" s="1">
        <v>882</v>
      </c>
      <c r="B375" s="1" t="s">
        <v>9380</v>
      </c>
      <c r="C375" s="1" t="s">
        <v>9226</v>
      </c>
      <c r="D375" s="1" t="s">
        <v>1307</v>
      </c>
      <c r="E375" s="1" t="s">
        <v>1326</v>
      </c>
      <c r="F375" s="1" t="s">
        <v>181</v>
      </c>
      <c r="G375" s="1" t="s">
        <v>182</v>
      </c>
      <c r="H375" s="1" t="str">
        <f t="shared" si="20"/>
        <v/>
      </c>
      <c r="I375" s="1" t="str">
        <f t="shared" si="21"/>
        <v/>
      </c>
      <c r="J375" s="1" t="str">
        <f t="shared" si="22"/>
        <v>{#SNMPVALUE}: 温度太低: &lt;{$TEMP_CRIT_LOW: "{#SNMPVALUE}"}</v>
      </c>
      <c r="K375" s="1" t="str">
        <f t="shared" si="23"/>
        <v/>
      </c>
    </row>
    <row r="376" spans="1:11">
      <c r="A376" s="1">
        <v>883</v>
      </c>
      <c r="B376" s="1" t="s">
        <v>9382</v>
      </c>
      <c r="C376" s="1" t="s">
        <v>9350</v>
      </c>
      <c r="D376" s="1" t="s">
        <v>1328</v>
      </c>
      <c r="E376" s="1" t="s">
        <v>1329</v>
      </c>
      <c r="F376" s="1" t="s">
        <v>906</v>
      </c>
      <c r="G376" s="1" t="s">
        <v>907</v>
      </c>
      <c r="H376" s="1" t="str">
        <f t="shared" si="20"/>
        <v/>
      </c>
      <c r="I376" s="1" t="str">
        <f t="shared" si="21"/>
        <v/>
      </c>
      <c r="J376" s="1" t="str">
        <f t="shared" si="22"/>
        <v>#{#SNMPVALUE}: 内存利用率高了(&gt;{$MEMORY.UTIL.MAX}%达5分钟)</v>
      </c>
      <c r="K376" s="1" t="str">
        <f t="shared" si="23"/>
        <v/>
      </c>
    </row>
    <row r="377" spans="1:11">
      <c r="A377" s="1">
        <v>884</v>
      </c>
      <c r="B377" s="1" t="s">
        <v>9382</v>
      </c>
      <c r="C377" s="1" t="s">
        <v>9351</v>
      </c>
      <c r="D377" s="1" t="s">
        <v>1328</v>
      </c>
      <c r="E377" s="1" t="s">
        <v>1331</v>
      </c>
      <c r="F377" s="1" t="s">
        <v>161</v>
      </c>
      <c r="G377" s="1" t="s">
        <v>162</v>
      </c>
      <c r="H377" s="1" t="str">
        <f t="shared" si="20"/>
        <v/>
      </c>
      <c r="I377" s="1" t="str">
        <f t="shared" si="21"/>
        <v/>
      </c>
      <c r="J377" s="1" t="str">
        <f t="shared" si="22"/>
        <v>接口{#IFNAME}({#IFALIAS}): 带宽使用率太高(&gt;{$IF.UTIL.MAX: "{#IFNAME}"}%)</v>
      </c>
      <c r="K377" s="1" t="str">
        <f t="shared" si="23"/>
        <v/>
      </c>
    </row>
    <row r="378" spans="1:11">
      <c r="A378" s="1">
        <v>886</v>
      </c>
      <c r="B378" s="1" t="s">
        <v>9382</v>
      </c>
      <c r="C378" s="1" t="s">
        <v>9383</v>
      </c>
      <c r="D378" s="1" t="s">
        <v>1328</v>
      </c>
      <c r="E378" s="1" t="s">
        <v>1333</v>
      </c>
      <c r="F378" s="1" t="s">
        <v>165</v>
      </c>
      <c r="G378" s="1" t="s">
        <v>166</v>
      </c>
      <c r="H378" s="1" t="str">
        <f t="shared" si="20"/>
        <v/>
      </c>
      <c r="I378" s="1" t="str">
        <f t="shared" si="21"/>
        <v/>
      </c>
      <c r="J378" s="1" t="str">
        <f t="shared" si="22"/>
        <v>接口{#IFNAME}({#IFALIAS}): 错误率太高(&gt;{$IF.ERRORS.WARN: "{#IFNAME}"}达5分钟)</v>
      </c>
      <c r="K378" s="1" t="str">
        <f t="shared" si="23"/>
        <v/>
      </c>
    </row>
    <row r="379" spans="1:11">
      <c r="A379" s="1">
        <v>893</v>
      </c>
      <c r="B379" s="1" t="s">
        <v>9382</v>
      </c>
      <c r="C379" s="1" t="s">
        <v>9352</v>
      </c>
      <c r="D379" s="1" t="s">
        <v>1328</v>
      </c>
      <c r="E379" s="1" t="s">
        <v>1335</v>
      </c>
      <c r="F379" s="1" t="s">
        <v>396</v>
      </c>
      <c r="G379" s="1" t="s">
        <v>397</v>
      </c>
      <c r="H379" s="1" t="str">
        <f t="shared" si="20"/>
        <v/>
      </c>
      <c r="I379" s="1" t="str">
        <f t="shared" si="21"/>
        <v/>
      </c>
      <c r="J379" s="1" t="str">
        <f t="shared" si="22"/>
        <v>{#SENSOR_INFO}: 温度高于临界阈值: &gt;{$TEMP_CRIT: "{#SENSOR_INFO}"}</v>
      </c>
      <c r="K379" s="1" t="str">
        <f t="shared" si="23"/>
        <v/>
      </c>
    </row>
    <row r="380" spans="1:11">
      <c r="A380" s="1">
        <v>894</v>
      </c>
      <c r="B380" s="1" t="s">
        <v>9382</v>
      </c>
      <c r="C380" s="1" t="s">
        <v>9354</v>
      </c>
      <c r="D380" s="1" t="s">
        <v>1328</v>
      </c>
      <c r="E380" s="1" t="s">
        <v>1337</v>
      </c>
      <c r="F380" s="1" t="s">
        <v>392</v>
      </c>
      <c r="G380" s="1" t="s">
        <v>393</v>
      </c>
      <c r="H380" s="1" t="str">
        <f t="shared" si="20"/>
        <v/>
      </c>
      <c r="I380" s="1" t="str">
        <f t="shared" si="21"/>
        <v/>
      </c>
      <c r="J380" s="1" t="str">
        <f t="shared" si="22"/>
        <v>{#SENSOR_INFO}: 温度高于告警阈值: &gt;{$TEMP_WARN: "{#SENSOR_INFO}"}</v>
      </c>
      <c r="K380" s="1" t="str">
        <f t="shared" si="23"/>
        <v/>
      </c>
    </row>
    <row r="381" spans="1:11">
      <c r="A381" s="1">
        <v>895</v>
      </c>
      <c r="B381" s="1" t="s">
        <v>9382</v>
      </c>
      <c r="C381" s="1" t="s">
        <v>9357</v>
      </c>
      <c r="D381" s="1" t="s">
        <v>1328</v>
      </c>
      <c r="E381" s="1" t="s">
        <v>1339</v>
      </c>
      <c r="F381" s="1" t="s">
        <v>400</v>
      </c>
      <c r="G381" s="1" t="s">
        <v>401</v>
      </c>
      <c r="H381" s="1" t="str">
        <f t="shared" si="20"/>
        <v/>
      </c>
      <c r="I381" s="1" t="str">
        <f t="shared" si="21"/>
        <v/>
      </c>
      <c r="J381" s="1" t="str">
        <f t="shared" si="22"/>
        <v>{#SENSOR_INFO}: 温度太低: &lt;{$TEMP_CRIT_LOW: "{#SENSOR_INFO}"}</v>
      </c>
      <c r="K381" s="1" t="str">
        <f t="shared" si="23"/>
        <v/>
      </c>
    </row>
    <row r="382" spans="1:11">
      <c r="A382" s="1">
        <v>928</v>
      </c>
      <c r="B382" s="1" t="s">
        <v>9384</v>
      </c>
      <c r="C382" s="1" t="s">
        <v>9385</v>
      </c>
      <c r="D382" s="1" t="s">
        <v>1341</v>
      </c>
      <c r="E382" s="1" t="s">
        <v>1342</v>
      </c>
      <c r="F382" s="1" t="s">
        <v>761</v>
      </c>
      <c r="G382" s="1" t="s">
        <v>762</v>
      </c>
      <c r="H382" s="1" t="str">
        <f t="shared" si="20"/>
        <v/>
      </c>
      <c r="I382" s="1" t="str">
        <f t="shared" si="21"/>
        <v/>
      </c>
      <c r="J382" s="1" t="str">
        <f t="shared" si="22"/>
        <v>{#DISK_LOCATION}: 磁盘已更换(收到新序列号)</v>
      </c>
      <c r="K382" s="1" t="str">
        <f t="shared" si="23"/>
        <v/>
      </c>
    </row>
    <row r="383" spans="1:11">
      <c r="A383" s="1">
        <v>937</v>
      </c>
      <c r="B383" s="1" t="s">
        <v>9386</v>
      </c>
      <c r="C383" s="1" t="s">
        <v>9387</v>
      </c>
      <c r="D383" s="1" t="s">
        <v>1344</v>
      </c>
      <c r="E383" s="1" t="s">
        <v>5854</v>
      </c>
      <c r="F383" s="1" t="s">
        <v>1346</v>
      </c>
      <c r="G383" s="1" t="s">
        <v>1347</v>
      </c>
      <c r="H383" s="1" t="str">
        <f t="shared" si="20"/>
        <v/>
      </c>
      <c r="I383" s="1" t="str">
        <f t="shared" si="21"/>
        <v/>
      </c>
      <c r="J383" s="1" t="str">
        <f t="shared" si="22"/>
        <v>控制器[{#CONTROLLER.ID}]: CPU使用率高了(超过{$HPE.MSA.CONTROLLER.CPU.UTIL.CRIT}%达5分钟)</v>
      </c>
      <c r="K383" s="1" t="str">
        <f t="shared" si="23"/>
        <v/>
      </c>
    </row>
    <row r="384" spans="1:11">
      <c r="A384" s="1">
        <v>942</v>
      </c>
      <c r="B384" s="1" t="s">
        <v>9386</v>
      </c>
      <c r="C384" s="1" t="s">
        <v>9388</v>
      </c>
      <c r="D384" s="1" t="s">
        <v>1344</v>
      </c>
      <c r="E384" s="1" t="s">
        <v>5858</v>
      </c>
      <c r="F384" s="1" t="s">
        <v>1350</v>
      </c>
      <c r="G384" s="1" t="s">
        <v>1351</v>
      </c>
      <c r="H384" s="1" t="str">
        <f t="shared" si="20"/>
        <v/>
      </c>
      <c r="I384" s="1" t="str">
        <f t="shared" si="21"/>
        <v/>
      </c>
      <c r="J384" s="1" t="str">
        <f t="shared" si="22"/>
        <v>控制器[{#CONTROLLER.ID}]: 控制器已重启(正常运行时间&lt;10分钟)</v>
      </c>
      <c r="K384" s="1" t="str">
        <f t="shared" si="23"/>
        <v/>
      </c>
    </row>
    <row r="385" spans="1:11">
      <c r="A385" s="1">
        <v>946</v>
      </c>
      <c r="B385" s="1" t="s">
        <v>9386</v>
      </c>
      <c r="C385" s="1" t="s">
        <v>9389</v>
      </c>
      <c r="D385" s="1" t="s">
        <v>1344</v>
      </c>
      <c r="E385" s="1" t="s">
        <v>5862</v>
      </c>
      <c r="F385" s="1" t="s">
        <v>1354</v>
      </c>
      <c r="G385" s="1" t="s">
        <v>1355</v>
      </c>
      <c r="H385" s="1" t="str">
        <f t="shared" si="20"/>
        <v/>
      </c>
      <c r="I385" s="1" t="str">
        <f t="shared" si="21"/>
        <v/>
      </c>
      <c r="J385" s="1" t="str">
        <f t="shared" si="22"/>
        <v>磁盘组[{#NAME}]: 磁盘组空间严重不足(已使用率&gt;{$HPE.MSA.DISKS.GROUP.PUSED.MAX.CRIT: "{#NAME}"}%)</v>
      </c>
      <c r="K385" s="1" t="str">
        <f t="shared" si="23"/>
        <v/>
      </c>
    </row>
    <row r="386" spans="1:11">
      <c r="A386" s="1">
        <v>947</v>
      </c>
      <c r="B386" s="1" t="s">
        <v>9386</v>
      </c>
      <c r="C386" s="1" t="s">
        <v>9390</v>
      </c>
      <c r="D386" s="1" t="s">
        <v>1344</v>
      </c>
      <c r="E386" s="1" t="s">
        <v>1345</v>
      </c>
      <c r="F386" s="1" t="s">
        <v>1358</v>
      </c>
      <c r="G386" s="1" t="s">
        <v>1359</v>
      </c>
      <c r="H386" s="1" t="str">
        <f t="shared" ref="H386:H449" si="24">IFERROR(IF(OR(MID(G386,FIND(":",G386)-1,1)="""",MID(G386,FIND(":",G386)-1,1)="}",MID(G386,FIND(":",G386)-1,1)=")",MID(G386,FIND(":",G386)-1,1)="]"),"",LEFT(F386,FIND(":",F386)-1)),"")</f>
        <v/>
      </c>
      <c r="I386" s="1" t="str">
        <f t="shared" ref="I386:I449" si="25">IFERROR(IF(OR(MID(G386,FIND(":",G386)-1,1)="""",MID(G386,FIND(":",G386)-1,1)="}",MID(G386,FIND(":",G386)-1,1)=")",MID(G386,FIND(":",G386)-1,1)="]"),"",RIGHT(G386,LEN(G386)-FIND(":",G386)-1)),"")</f>
        <v/>
      </c>
      <c r="J386" s="1" t="str">
        <f t="shared" ref="J386:J449" si="26">IF(AND(I386="",H386=""),G386,H386&amp;": "&amp;I386)</f>
        <v>磁盘组[{#NAME}]: 磁盘组空间不足(已使用率&gt;{$HPE.MSA.DISKS.GROUP.PUSED.MAX.WARN: "{#NAME}"}%)</v>
      </c>
      <c r="K386" s="1" t="str">
        <f t="shared" ref="K386:K449" si="27">IFERROR(IF(OR(MID(F386,FIND(":",F386)-1,1)="""",MID(F386,FIND(":",F386)-1,1)="}",MID(F386,FIND(":",F386)-1,1)=")",MID(F386,FIND(":",F386)-1,1)="]"),"",RIGHT(F386,LEN(F386)-FIND(":",F386)-1)),"")</f>
        <v/>
      </c>
    </row>
    <row r="387" spans="1:11">
      <c r="A387" s="1">
        <v>983</v>
      </c>
      <c r="B387" s="1" t="s">
        <v>9386</v>
      </c>
      <c r="C387" s="1" t="s">
        <v>9391</v>
      </c>
      <c r="D387" s="1" t="s">
        <v>1344</v>
      </c>
      <c r="E387" s="1" t="s">
        <v>5869</v>
      </c>
      <c r="F387" s="1" t="s">
        <v>1362</v>
      </c>
      <c r="G387" s="1" t="s">
        <v>1363</v>
      </c>
      <c r="H387" s="1" t="str">
        <f t="shared" si="24"/>
        <v/>
      </c>
      <c r="I387" s="1" t="str">
        <f t="shared" si="25"/>
        <v/>
      </c>
      <c r="J387" s="1" t="str">
        <f t="shared" si="26"/>
        <v>池[{#NAME}]: 池空间严重不足(已使用率&gt;{$HPE.MSA.POOL.PUSED.MAX.CRIT: "{#NAME}"}%)</v>
      </c>
      <c r="K387" s="1" t="str">
        <f t="shared" si="27"/>
        <v/>
      </c>
    </row>
    <row r="388" spans="1:11">
      <c r="A388" s="1">
        <v>984</v>
      </c>
      <c r="B388" s="1" t="s">
        <v>9386</v>
      </c>
      <c r="C388" s="1" t="s">
        <v>9392</v>
      </c>
      <c r="D388" s="1" t="s">
        <v>1344</v>
      </c>
      <c r="E388" s="1" t="s">
        <v>5873</v>
      </c>
      <c r="F388" s="1" t="s">
        <v>1366</v>
      </c>
      <c r="G388" s="1" t="s">
        <v>1367</v>
      </c>
      <c r="H388" s="1" t="str">
        <f t="shared" si="24"/>
        <v/>
      </c>
      <c r="I388" s="1" t="str">
        <f t="shared" si="25"/>
        <v/>
      </c>
      <c r="J388" s="1" t="str">
        <f t="shared" si="26"/>
        <v>池[{#NAME}]: 池空间不足(已使用率&gt;{$HPE.MSA.POOL.PUSED.MAX.WARN: "{#NAME}"}%)</v>
      </c>
      <c r="K388" s="1" t="str">
        <f t="shared" si="27"/>
        <v/>
      </c>
    </row>
    <row r="389" spans="1:11">
      <c r="A389" s="1">
        <v>997</v>
      </c>
      <c r="B389" s="1" t="s">
        <v>9393</v>
      </c>
      <c r="C389" s="1" t="s">
        <v>9387</v>
      </c>
      <c r="D389" s="1" t="s">
        <v>1369</v>
      </c>
      <c r="E389" s="1" t="s">
        <v>5877</v>
      </c>
      <c r="F389" s="1" t="s">
        <v>1346</v>
      </c>
      <c r="G389" s="1" t="s">
        <v>1347</v>
      </c>
      <c r="H389" s="1" t="str">
        <f t="shared" si="24"/>
        <v/>
      </c>
      <c r="I389" s="1" t="str">
        <f t="shared" si="25"/>
        <v/>
      </c>
      <c r="J389" s="1" t="str">
        <f t="shared" si="26"/>
        <v>控制器[{#CONTROLLER.ID}]: CPU使用率高了(超过{$HPE.MSA.CONTROLLER.CPU.UTIL.CRIT}%达5分钟)</v>
      </c>
      <c r="K389" s="1" t="str">
        <f t="shared" si="27"/>
        <v/>
      </c>
    </row>
    <row r="390" spans="1:11">
      <c r="A390" s="1">
        <v>1002</v>
      </c>
      <c r="B390" s="1" t="s">
        <v>9393</v>
      </c>
      <c r="C390" s="1" t="s">
        <v>9388</v>
      </c>
      <c r="D390" s="1" t="s">
        <v>1369</v>
      </c>
      <c r="E390" s="1" t="s">
        <v>5881</v>
      </c>
      <c r="F390" s="1" t="s">
        <v>1350</v>
      </c>
      <c r="G390" s="1" t="s">
        <v>1351</v>
      </c>
      <c r="H390" s="1" t="str">
        <f t="shared" si="24"/>
        <v/>
      </c>
      <c r="I390" s="1" t="str">
        <f t="shared" si="25"/>
        <v/>
      </c>
      <c r="J390" s="1" t="str">
        <f t="shared" si="26"/>
        <v>控制器[{#CONTROLLER.ID}]: 控制器已重启(正常运行时间&lt;10分钟)</v>
      </c>
      <c r="K390" s="1" t="str">
        <f t="shared" si="27"/>
        <v/>
      </c>
    </row>
    <row r="391" spans="1:11">
      <c r="A391" s="1">
        <v>1006</v>
      </c>
      <c r="B391" s="1" t="s">
        <v>9393</v>
      </c>
      <c r="C391" s="1" t="s">
        <v>9389</v>
      </c>
      <c r="D391" s="1" t="s">
        <v>1369</v>
      </c>
      <c r="E391" s="1" t="s">
        <v>5885</v>
      </c>
      <c r="F391" s="1" t="s">
        <v>1354</v>
      </c>
      <c r="G391" s="1" t="s">
        <v>1355</v>
      </c>
      <c r="H391" s="1" t="str">
        <f t="shared" si="24"/>
        <v/>
      </c>
      <c r="I391" s="1" t="str">
        <f t="shared" si="25"/>
        <v/>
      </c>
      <c r="J391" s="1" t="str">
        <f t="shared" si="26"/>
        <v>磁盘组[{#NAME}]: 磁盘组空间严重不足(已使用率&gt;{$HPE.MSA.DISKS.GROUP.PUSED.MAX.CRIT: "{#NAME}"}%)</v>
      </c>
      <c r="K391" s="1" t="str">
        <f t="shared" si="27"/>
        <v/>
      </c>
    </row>
    <row r="392" spans="1:11">
      <c r="A392" s="1">
        <v>1007</v>
      </c>
      <c r="B392" s="1" t="s">
        <v>9393</v>
      </c>
      <c r="C392" s="1" t="s">
        <v>9390</v>
      </c>
      <c r="D392" s="1" t="s">
        <v>1369</v>
      </c>
      <c r="E392" s="1" t="s">
        <v>1370</v>
      </c>
      <c r="F392" s="1" t="s">
        <v>1358</v>
      </c>
      <c r="G392" s="1" t="s">
        <v>1359</v>
      </c>
      <c r="H392" s="1" t="str">
        <f t="shared" si="24"/>
        <v/>
      </c>
      <c r="I392" s="1" t="str">
        <f t="shared" si="25"/>
        <v/>
      </c>
      <c r="J392" s="1" t="str">
        <f t="shared" si="26"/>
        <v>磁盘组[{#NAME}]: 磁盘组空间不足(已使用率&gt;{$HPE.MSA.DISKS.GROUP.PUSED.MAX.WARN: "{#NAME}"}%)</v>
      </c>
      <c r="K392" s="1" t="str">
        <f t="shared" si="27"/>
        <v/>
      </c>
    </row>
    <row r="393" spans="1:11">
      <c r="A393" s="1">
        <v>1043</v>
      </c>
      <c r="B393" s="1" t="s">
        <v>9393</v>
      </c>
      <c r="C393" s="1" t="s">
        <v>9391</v>
      </c>
      <c r="D393" s="1" t="s">
        <v>1369</v>
      </c>
      <c r="E393" s="1" t="s">
        <v>5892</v>
      </c>
      <c r="F393" s="1" t="s">
        <v>1362</v>
      </c>
      <c r="G393" s="1" t="s">
        <v>1363</v>
      </c>
      <c r="H393" s="1" t="str">
        <f t="shared" si="24"/>
        <v/>
      </c>
      <c r="I393" s="1" t="str">
        <f t="shared" si="25"/>
        <v/>
      </c>
      <c r="J393" s="1" t="str">
        <f t="shared" si="26"/>
        <v>池[{#NAME}]: 池空间严重不足(已使用率&gt;{$HPE.MSA.POOL.PUSED.MAX.CRIT: "{#NAME}"}%)</v>
      </c>
      <c r="K393" s="1" t="str">
        <f t="shared" si="27"/>
        <v/>
      </c>
    </row>
    <row r="394" spans="1:11">
      <c r="A394" s="1">
        <v>1044</v>
      </c>
      <c r="B394" s="1" t="s">
        <v>9393</v>
      </c>
      <c r="C394" s="1" t="s">
        <v>9392</v>
      </c>
      <c r="D394" s="1" t="s">
        <v>1369</v>
      </c>
      <c r="E394" s="1" t="s">
        <v>5896</v>
      </c>
      <c r="F394" s="1" t="s">
        <v>1366</v>
      </c>
      <c r="G394" s="1" t="s">
        <v>1367</v>
      </c>
      <c r="H394" s="1" t="str">
        <f t="shared" si="24"/>
        <v/>
      </c>
      <c r="I394" s="1" t="str">
        <f t="shared" si="25"/>
        <v/>
      </c>
      <c r="J394" s="1" t="str">
        <f t="shared" si="26"/>
        <v>池[{#NAME}]: 池空间不足(已使用率&gt;{$HPE.MSA.POOL.PUSED.MAX.WARN: "{#NAME}"}%)</v>
      </c>
      <c r="K394" s="1" t="str">
        <f t="shared" si="27"/>
        <v/>
      </c>
    </row>
    <row r="395" spans="1:11">
      <c r="A395" s="1">
        <v>1107</v>
      </c>
      <c r="B395" s="1" t="s">
        <v>9394</v>
      </c>
      <c r="C395" s="1" t="s">
        <v>9395</v>
      </c>
      <c r="D395" s="1" t="s">
        <v>1382</v>
      </c>
      <c r="E395" s="1" t="s">
        <v>1383</v>
      </c>
      <c r="F395" s="1" t="s">
        <v>761</v>
      </c>
      <c r="G395" s="1" t="s">
        <v>762</v>
      </c>
      <c r="H395" s="1" t="str">
        <f t="shared" si="24"/>
        <v/>
      </c>
      <c r="I395" s="1" t="str">
        <f t="shared" si="25"/>
        <v/>
      </c>
      <c r="J395" s="1" t="str">
        <f t="shared" si="26"/>
        <v>{#DISK_LOCATION}: 磁盘已更换(收到新序列号)</v>
      </c>
      <c r="K395" s="1" t="str">
        <f t="shared" si="27"/>
        <v/>
      </c>
    </row>
    <row r="396" spans="1:11">
      <c r="A396" s="1">
        <v>1147</v>
      </c>
      <c r="B396" s="1" t="s">
        <v>9396</v>
      </c>
      <c r="C396" s="1" t="s">
        <v>9395</v>
      </c>
      <c r="D396" s="1" t="s">
        <v>1385</v>
      </c>
      <c r="E396" s="1" t="s">
        <v>1386</v>
      </c>
      <c r="F396" s="1" t="s">
        <v>761</v>
      </c>
      <c r="G396" s="1" t="s">
        <v>762</v>
      </c>
      <c r="H396" s="1" t="str">
        <f t="shared" si="24"/>
        <v/>
      </c>
      <c r="I396" s="1" t="str">
        <f t="shared" si="25"/>
        <v/>
      </c>
      <c r="J396" s="1" t="str">
        <f t="shared" si="26"/>
        <v>{#DISK_LOCATION}: 磁盘已更换(收到新序列号)</v>
      </c>
      <c r="K396" s="1" t="str">
        <f t="shared" si="27"/>
        <v/>
      </c>
    </row>
    <row r="397" spans="1:11">
      <c r="A397" s="1">
        <v>1187</v>
      </c>
      <c r="B397" s="1" t="s">
        <v>9397</v>
      </c>
      <c r="C397" s="1" t="s">
        <v>9395</v>
      </c>
      <c r="D397" s="1" t="s">
        <v>1388</v>
      </c>
      <c r="E397" s="1" t="s">
        <v>1389</v>
      </c>
      <c r="F397" s="1" t="s">
        <v>761</v>
      </c>
      <c r="G397" s="1" t="s">
        <v>762</v>
      </c>
      <c r="H397" s="1" t="str">
        <f t="shared" si="24"/>
        <v/>
      </c>
      <c r="I397" s="1" t="str">
        <f t="shared" si="25"/>
        <v/>
      </c>
      <c r="J397" s="1" t="str">
        <f t="shared" si="26"/>
        <v>{#DISK_LOCATION}: 磁盘已更换(收到新序列号)</v>
      </c>
      <c r="K397" s="1" t="str">
        <f t="shared" si="27"/>
        <v/>
      </c>
    </row>
    <row r="398" spans="1:11">
      <c r="A398" s="1">
        <v>1227</v>
      </c>
      <c r="B398" s="1" t="s">
        <v>9398</v>
      </c>
      <c r="C398" s="1" t="s">
        <v>9395</v>
      </c>
      <c r="D398" s="1" t="s">
        <v>1391</v>
      </c>
      <c r="E398" s="1" t="s">
        <v>1392</v>
      </c>
      <c r="F398" s="1" t="s">
        <v>761</v>
      </c>
      <c r="G398" s="1" t="s">
        <v>762</v>
      </c>
      <c r="H398" s="1" t="str">
        <f t="shared" si="24"/>
        <v/>
      </c>
      <c r="I398" s="1" t="str">
        <f t="shared" si="25"/>
        <v/>
      </c>
      <c r="J398" s="1" t="str">
        <f t="shared" si="26"/>
        <v>{#DISK_LOCATION}: 磁盘已更换(收到新序列号)</v>
      </c>
      <c r="K398" s="1" t="str">
        <f t="shared" si="27"/>
        <v/>
      </c>
    </row>
    <row r="399" spans="1:11">
      <c r="A399" s="1">
        <v>1347</v>
      </c>
      <c r="B399" s="1" t="s">
        <v>9399</v>
      </c>
      <c r="C399" s="1" t="s">
        <v>9400</v>
      </c>
      <c r="D399" s="1" t="s">
        <v>1394</v>
      </c>
      <c r="E399" s="1" t="s">
        <v>9401</v>
      </c>
      <c r="F399" s="1" t="s">
        <v>1396</v>
      </c>
      <c r="G399" s="1" t="s">
        <v>9402</v>
      </c>
      <c r="H399" s="1" t="str">
        <f t="shared" si="24"/>
        <v/>
      </c>
      <c r="I399" s="1" t="str">
        <f t="shared" si="25"/>
        <v/>
      </c>
      <c r="J399" s="1" t="str">
        <f t="shared" si="26"/>
        <v>HPE iLO：计算机系统[{#SYSTEM_HOSTNAME}]: BIOS版本已更改（新版本：{ITEM.VALUE}）</v>
      </c>
      <c r="K399" s="1" t="str">
        <f t="shared" si="27"/>
        <v>Computer system [{#SYSTEM_HOSTNAME}]: BIOS version has changed (new version: {ITEM.VALUE})</v>
      </c>
    </row>
    <row r="400" spans="1:11">
      <c r="A400" s="1">
        <v>1361</v>
      </c>
      <c r="B400" s="1" t="s">
        <v>9399</v>
      </c>
      <c r="C400" s="1" t="s">
        <v>9403</v>
      </c>
      <c r="D400" s="1" t="s">
        <v>1394</v>
      </c>
      <c r="E400" s="1" t="s">
        <v>9404</v>
      </c>
      <c r="F400" s="1" t="s">
        <v>1400</v>
      </c>
      <c r="G400" s="1" t="s">
        <v>9405</v>
      </c>
      <c r="H400" s="1" t="str">
        <f t="shared" si="24"/>
        <v/>
      </c>
      <c r="I400" s="1" t="str">
        <f t="shared" si="25"/>
        <v/>
      </c>
      <c r="J400" s="1" t="str">
        <f t="shared" si="26"/>
        <v>HPE iLO：计算机系统[{#SYSTEM_HOSTNAME}]: 固件版本已更改（新版本：{ITEM.VALUE}）</v>
      </c>
      <c r="K400" s="1" t="str">
        <f t="shared" si="27"/>
        <v>Computer system [{#SYSTEM_HOSTNAME}]: Firmware version has changed (new version: {ITEM.VALUE})</v>
      </c>
    </row>
    <row r="401" spans="1:11">
      <c r="A401" s="1">
        <v>1366</v>
      </c>
      <c r="B401" s="1" t="s">
        <v>9406</v>
      </c>
      <c r="C401" s="1" t="s">
        <v>9407</v>
      </c>
      <c r="D401" s="1" t="s">
        <v>1403</v>
      </c>
      <c r="E401" s="1" t="s">
        <v>1404</v>
      </c>
      <c r="F401" s="1" t="s">
        <v>1405</v>
      </c>
      <c r="G401" s="1" t="s">
        <v>1406</v>
      </c>
      <c r="H401" s="1" t="str">
        <f t="shared" si="24"/>
        <v/>
      </c>
      <c r="I401" s="1" t="str">
        <f t="shared" si="25"/>
        <v/>
      </c>
      <c r="J401" s="1" t="str">
        <f t="shared" si="26"/>
        <v>{#HOSTNAME}: 服务已重启(正常运行时间&lt;10分钟)</v>
      </c>
      <c r="K401" s="1" t="str">
        <f t="shared" si="27"/>
        <v/>
      </c>
    </row>
    <row r="402" spans="1:11">
      <c r="A402" s="1">
        <v>1367</v>
      </c>
      <c r="B402" s="1" t="s">
        <v>9406</v>
      </c>
      <c r="C402" s="1" t="s">
        <v>9408</v>
      </c>
      <c r="D402" s="1" t="s">
        <v>1403</v>
      </c>
      <c r="E402" s="1" t="s">
        <v>1408</v>
      </c>
      <c r="F402" s="1" t="s">
        <v>1409</v>
      </c>
      <c r="G402" s="1" t="s">
        <v>1410</v>
      </c>
      <c r="H402" s="1" t="str">
        <f t="shared" si="24"/>
        <v/>
      </c>
      <c r="I402" s="1" t="str">
        <f t="shared" si="25"/>
        <v/>
      </c>
      <c r="J402" s="1" t="str">
        <f t="shared" si="26"/>
        <v>{#HOSTNAME}: 无法获取数据节点API页面(或30分钟内无数据)</v>
      </c>
      <c r="K402" s="1" t="str">
        <f t="shared" si="27"/>
        <v/>
      </c>
    </row>
    <row r="403" spans="1:11">
      <c r="A403" s="1">
        <v>1368</v>
      </c>
      <c r="B403" s="1" t="s">
        <v>9406</v>
      </c>
      <c r="C403" s="1" t="s">
        <v>9255</v>
      </c>
      <c r="D403" s="1" t="s">
        <v>1403</v>
      </c>
      <c r="E403" s="1" t="s">
        <v>1412</v>
      </c>
      <c r="F403" s="1" t="s">
        <v>1405</v>
      </c>
      <c r="G403" s="1" t="s">
        <v>1406</v>
      </c>
      <c r="H403" s="1" t="str">
        <f t="shared" si="24"/>
        <v/>
      </c>
      <c r="I403" s="1" t="str">
        <f t="shared" si="25"/>
        <v/>
      </c>
      <c r="J403" s="1" t="str">
        <f t="shared" si="26"/>
        <v>{#HOSTNAME}: 服务已重启(正常运行时间&lt;10分钟)</v>
      </c>
      <c r="K403" s="1" t="str">
        <f t="shared" si="27"/>
        <v/>
      </c>
    </row>
    <row r="404" spans="1:11">
      <c r="A404" s="1">
        <v>1369</v>
      </c>
      <c r="B404" s="1" t="s">
        <v>9406</v>
      </c>
      <c r="C404" s="1" t="s">
        <v>9257</v>
      </c>
      <c r="D404" s="1" t="s">
        <v>1403</v>
      </c>
      <c r="E404" s="1" t="s">
        <v>1414</v>
      </c>
      <c r="F404" s="1" t="s">
        <v>1415</v>
      </c>
      <c r="G404" s="1" t="s">
        <v>1416</v>
      </c>
      <c r="H404" s="1" t="str">
        <f t="shared" si="24"/>
        <v/>
      </c>
      <c r="I404" s="1" t="str">
        <f t="shared" si="25"/>
        <v/>
      </c>
      <c r="J404" s="1" t="str">
        <f t="shared" si="26"/>
        <v>{#HOSTNAME}: 无法获取NodeManagerAPI页面(或30分钟内无数据)</v>
      </c>
      <c r="K404" s="1" t="str">
        <f t="shared" si="27"/>
        <v/>
      </c>
    </row>
    <row r="405" spans="1:11">
      <c r="A405" s="1">
        <v>1370</v>
      </c>
      <c r="B405" s="1" t="s">
        <v>9409</v>
      </c>
      <c r="C405" s="1" t="s">
        <v>9334</v>
      </c>
      <c r="D405" s="1" t="s">
        <v>1418</v>
      </c>
      <c r="E405" s="1" t="s">
        <v>5926</v>
      </c>
      <c r="F405" s="1" t="s">
        <v>1420</v>
      </c>
      <c r="G405" s="1" t="s">
        <v>1421</v>
      </c>
      <c r="H405" s="1" t="str">
        <f t="shared" si="24"/>
        <v>Consul</v>
      </c>
      <c r="I405" s="1" t="str">
        <f t="shared" si="25"/>
        <v>服务["{#SERVICE_NAME}"]: 服务状态为"严重告警"的节点过多(超过{$CONSUL.CLUSTER.SERVICE_NODES.CRITICAL.MAX.AVG: "{#SERVICE_NAME}"})</v>
      </c>
      <c r="J405" s="1" t="str">
        <f t="shared" si="26"/>
        <v>Consul: 服务["{#SERVICE_NAME}"]: 服务状态为"严重告警"的节点过多(超过{$CONSUL.CLUSTER.SERVICE_NODES.CRITICAL.MAX.AVG: "{#SERVICE_NAME}"})</v>
      </c>
      <c r="K405" s="1" t="str">
        <f t="shared" si="27"/>
        <v>Service ["{#SERVICE_NAME}"]: Too many nodes with service status 'critical' (over {$CONSUL.CLUSTER.SERVICE_NODES.CRITICAL.MAX.AVG:"{#SERVICE_NAME}"})</v>
      </c>
    </row>
    <row r="406" spans="1:11">
      <c r="A406" s="1">
        <v>1371</v>
      </c>
      <c r="B406" s="1" t="s">
        <v>9410</v>
      </c>
      <c r="C406" s="1" t="s">
        <v>9078</v>
      </c>
      <c r="D406" s="1" t="s">
        <v>1423</v>
      </c>
      <c r="E406" s="1" t="s">
        <v>1419</v>
      </c>
      <c r="F406" s="1" t="s">
        <v>1425</v>
      </c>
      <c r="G406" s="1" t="s">
        <v>1426</v>
      </c>
      <c r="H406" s="1" t="str">
        <f t="shared" si="24"/>
        <v>Consul</v>
      </c>
      <c r="I406" s="1" t="str">
        <f t="shared" si="25"/>
        <v>节点的健康分数超过{$CONSUL.NODE.HEALTH_SCORE.MAX.HIGH}</v>
      </c>
      <c r="J406" s="1" t="str">
        <f t="shared" si="26"/>
        <v>Consul: 节点的健康分数超过{$CONSUL.NODE.HEALTH_SCORE.MAX.HIGH}</v>
      </c>
      <c r="K406" s="1" t="str">
        <f t="shared" si="27"/>
        <v>Node's health score is over {$CONSUL.NODE.HEALTH_SCORE.MAX.HIGH}</v>
      </c>
    </row>
    <row r="407" spans="1:11">
      <c r="A407" s="1">
        <v>1373</v>
      </c>
      <c r="B407" s="1" t="s">
        <v>9411</v>
      </c>
      <c r="C407" s="1" t="s">
        <v>9252</v>
      </c>
      <c r="D407" s="1" t="s">
        <v>1428</v>
      </c>
      <c r="E407" s="1" t="s">
        <v>9412</v>
      </c>
      <c r="F407" s="1" t="s">
        <v>1430</v>
      </c>
      <c r="G407" s="1" t="s">
        <v>1431</v>
      </c>
      <c r="H407" s="1" t="str">
        <f t="shared" si="24"/>
        <v>Running out of free inodes on [{#DEV.NAME}]  (free &lt; {$NOMAD.INODES.FREE.MIN.CRIT</v>
      </c>
      <c r="I407" s="1" t="str">
        <f t="shared" si="25"/>
        <v>{#DEV.NAME}"}%)</v>
      </c>
      <c r="J407" s="1" t="str">
        <f t="shared" si="26"/>
        <v>Running out of free inodes on [{#DEV.NAME}]  (free &lt; {$NOMAD.INODES.FREE.MIN.CRIT: {#DEV.NAME}"}%)</v>
      </c>
      <c r="K407" s="1" t="str">
        <f t="shared" si="27"/>
        <v>{#DEV.NAME}"}%)</v>
      </c>
    </row>
    <row r="408" spans="1:11">
      <c r="A408" s="1">
        <v>1374</v>
      </c>
      <c r="B408" s="1" t="s">
        <v>9411</v>
      </c>
      <c r="C408" s="1" t="s">
        <v>9253</v>
      </c>
      <c r="D408" s="1" t="s">
        <v>1428</v>
      </c>
      <c r="E408" s="1" t="s">
        <v>9413</v>
      </c>
      <c r="F408" s="1" t="s">
        <v>1434</v>
      </c>
      <c r="G408" s="1" t="s">
        <v>1435</v>
      </c>
      <c r="H408" s="1" t="str">
        <f t="shared" si="24"/>
        <v>Running out of free inodes on [{#DEV.NAME}]  (free &lt; {$NOMAD.INODES.FREE.MIN.WARN</v>
      </c>
      <c r="I408" s="1" t="str">
        <f t="shared" si="25"/>
        <v>{#DEV.NAME}"}%)</v>
      </c>
      <c r="J408" s="1" t="str">
        <f t="shared" si="26"/>
        <v>Running out of free inodes on [{#DEV.NAME}]  (free &lt; {$NOMAD.INODES.FREE.MIN.WARN: {#DEV.NAME}"}%)</v>
      </c>
      <c r="K408" s="1" t="str">
        <f t="shared" si="27"/>
        <v>{#DEV.NAME}"}%)</v>
      </c>
    </row>
    <row r="409" spans="1:11">
      <c r="A409" s="1">
        <v>1375</v>
      </c>
      <c r="B409" s="1" t="s">
        <v>9411</v>
      </c>
      <c r="C409" s="1" t="s">
        <v>9407</v>
      </c>
      <c r="D409" s="1" t="s">
        <v>1428</v>
      </c>
      <c r="E409" s="1" t="s">
        <v>9414</v>
      </c>
      <c r="F409" s="1" t="s">
        <v>1438</v>
      </c>
      <c r="G409" s="1" t="s">
        <v>1438</v>
      </c>
      <c r="H409" s="1" t="str">
        <f t="shared" si="24"/>
        <v>Disk [{#DEV.NAME}] space low (utilization</v>
      </c>
      <c r="I409" s="1" t="str">
        <f t="shared" si="25"/>
        <v>&gt;= {$NOMAD.DISK.UTIL.MIN.CRIT:"{#DEV.NAME}"}%)</v>
      </c>
      <c r="J409" s="1" t="str">
        <f t="shared" si="26"/>
        <v>Disk [{#DEV.NAME}] space low (utilization: &gt;= {$NOMAD.DISK.UTIL.MIN.CRIT:"{#DEV.NAME}"}%)</v>
      </c>
      <c r="K409" s="1" t="str">
        <f t="shared" si="27"/>
        <v>&gt;= {$NOMAD.DISK.UTIL.MIN.CRIT:"{#DEV.NAME}"}%)</v>
      </c>
    </row>
    <row r="410" spans="1:11">
      <c r="A410" s="1">
        <v>1376</v>
      </c>
      <c r="B410" s="1" t="s">
        <v>9411</v>
      </c>
      <c r="C410" s="1" t="s">
        <v>9408</v>
      </c>
      <c r="D410" s="1" t="s">
        <v>1428</v>
      </c>
      <c r="E410" s="1" t="s">
        <v>1399</v>
      </c>
      <c r="F410" s="1" t="s">
        <v>1442</v>
      </c>
      <c r="G410" s="1" t="s">
        <v>1442</v>
      </c>
      <c r="H410" s="1" t="str">
        <f t="shared" si="24"/>
        <v>Disk [{#DEV.NAME}] space low (utilization</v>
      </c>
      <c r="I410" s="1" t="str">
        <f t="shared" si="25"/>
        <v>&gt;= {$NOMAD.DISK.UTIL.MIN.WARN:"{#DEV.NAME}"}%)</v>
      </c>
      <c r="J410" s="1" t="str">
        <f t="shared" si="26"/>
        <v>Disk [{#DEV.NAME}] space low (utilization: &gt;= {$NOMAD.DISK.UTIL.MIN.WARN:"{#DEV.NAME}"}%)</v>
      </c>
      <c r="K410" s="1" t="str">
        <f t="shared" si="27"/>
        <v>&gt;= {$NOMAD.DISK.UTIL.MIN.WARN:"{#DEV.NAME}"}%)</v>
      </c>
    </row>
    <row r="411" spans="1:11">
      <c r="A411" s="1">
        <v>1380</v>
      </c>
      <c r="B411" s="1" t="s">
        <v>9415</v>
      </c>
      <c r="C411" s="1" t="s">
        <v>9161</v>
      </c>
      <c r="D411" s="1" t="s">
        <v>1445</v>
      </c>
      <c r="E411" s="1" t="s">
        <v>1446</v>
      </c>
      <c r="F411" s="1" t="s">
        <v>1447</v>
      </c>
      <c r="G411" s="1" t="s">
        <v>1448</v>
      </c>
      <c r="H411" s="1" t="str">
        <f t="shared" si="24"/>
        <v>Vault</v>
      </c>
      <c r="I411" s="1" t="str">
        <f t="shared" si="25"/>
        <v>Token[{#TOKEN_NAME}]即将过期(小于{$VAULT.TOKEN.TTL.MIN.CRIT})</v>
      </c>
      <c r="J411" s="1" t="str">
        <f t="shared" si="26"/>
        <v>Vault: Token[{#TOKEN_NAME}]即将过期(小于{$VAULT.TOKEN.TTL.MIN.CRIT})</v>
      </c>
      <c r="K411" s="1" t="str">
        <f t="shared" si="27"/>
        <v>Token [{#TOKEN_NAME}] will expire soon (less than {$VAULT.TOKEN.TTL.MIN.CRIT})</v>
      </c>
    </row>
    <row r="412" spans="1:11">
      <c r="A412" s="1">
        <v>1381</v>
      </c>
      <c r="B412" s="1" t="s">
        <v>9415</v>
      </c>
      <c r="C412" s="1" t="s">
        <v>9162</v>
      </c>
      <c r="D412" s="1" t="s">
        <v>1445</v>
      </c>
      <c r="E412" s="1" t="s">
        <v>1450</v>
      </c>
      <c r="F412" s="1" t="s">
        <v>1451</v>
      </c>
      <c r="G412" s="1" t="s">
        <v>1452</v>
      </c>
      <c r="H412" s="1" t="str">
        <f t="shared" si="24"/>
        <v>Vault</v>
      </c>
      <c r="I412" s="1" t="str">
        <f t="shared" si="25"/>
        <v>Token[{#TOKEN_NAME}]即将过期(小于{$VAULT.TOKEN.TTL.MIN.WARN})</v>
      </c>
      <c r="J412" s="1" t="str">
        <f t="shared" si="26"/>
        <v>Vault: Token[{#TOKEN_NAME}]即将过期(小于{$VAULT.TOKEN.TTL.MIN.WARN})</v>
      </c>
      <c r="K412" s="1" t="str">
        <f t="shared" si="27"/>
        <v>Token [{#TOKEN_NAME}] will expire soon (less than {$VAULT.TOKEN.TTL.MIN.WARN})</v>
      </c>
    </row>
    <row r="413" spans="1:11">
      <c r="A413" s="1">
        <v>1389</v>
      </c>
      <c r="B413" s="1" t="s">
        <v>9416</v>
      </c>
      <c r="C413" s="1" t="s">
        <v>9417</v>
      </c>
      <c r="D413" s="1" t="s">
        <v>1454</v>
      </c>
      <c r="E413" s="1" t="s">
        <v>1455</v>
      </c>
      <c r="F413" s="1" t="s">
        <v>1456</v>
      </c>
      <c r="G413" s="1" t="s">
        <v>1457</v>
      </c>
      <c r="H413" s="1" t="str">
        <f t="shared" si="24"/>
        <v/>
      </c>
      <c r="I413" s="1" t="str">
        <f t="shared" si="25"/>
        <v/>
      </c>
      <c r="J413" s="1" t="str">
        <f t="shared" si="26"/>
        <v>控制器{#ID}: CPU使用率高了(超过{$CPU.UTIL.CRIT}%达5分钟)</v>
      </c>
      <c r="K413" s="1" t="str">
        <f t="shared" si="27"/>
        <v/>
      </c>
    </row>
    <row r="414" spans="1:11">
      <c r="A414" s="1">
        <v>1391</v>
      </c>
      <c r="B414" s="1" t="s">
        <v>9416</v>
      </c>
      <c r="C414" s="1" t="s">
        <v>9418</v>
      </c>
      <c r="D414" s="1" t="s">
        <v>1454</v>
      </c>
      <c r="E414" s="1" t="s">
        <v>1459</v>
      </c>
      <c r="F414" s="1" t="s">
        <v>1460</v>
      </c>
      <c r="G414" s="1" t="s">
        <v>1461</v>
      </c>
      <c r="H414" s="1" t="str">
        <f t="shared" si="24"/>
        <v/>
      </c>
      <c r="I414" s="1" t="str">
        <f t="shared" si="25"/>
        <v/>
      </c>
      <c r="J414" s="1" t="str">
        <f t="shared" si="26"/>
        <v>控制器{#ID}: 内存使用率太高了(超过{$HUAWEI.5300.MEM.MAX.WARN}达{$HUAWEI.5300.MEM.MAX.TIME})</v>
      </c>
      <c r="K414" s="1" t="str">
        <f t="shared" si="27"/>
        <v/>
      </c>
    </row>
    <row r="415" spans="1:11">
      <c r="A415" s="1">
        <v>1396</v>
      </c>
      <c r="B415" s="1" t="s">
        <v>9416</v>
      </c>
      <c r="C415" s="1" t="s">
        <v>9320</v>
      </c>
      <c r="D415" s="1" t="s">
        <v>1454</v>
      </c>
      <c r="E415" s="1" t="s">
        <v>1463</v>
      </c>
      <c r="F415" s="1" t="s">
        <v>1464</v>
      </c>
      <c r="G415" s="1" t="s">
        <v>1465</v>
      </c>
      <c r="H415" s="1" t="str">
        <f t="shared" si="24"/>
        <v/>
      </c>
      <c r="I415" s="1" t="str">
        <f t="shared" si="25"/>
        <v/>
      </c>
      <c r="J415" s="1" t="str">
        <f t="shared" si="26"/>
        <v>{#LOCATION}上的磁盘{#MODEL}: 温度太高(超过{$HUAWEI.5300.DISK.TEMP.MAX.WARN: "{#MODEL}"}达{$HUAWEI.5300.DISK.TEMP.MAX.TIME})</v>
      </c>
      <c r="K415" s="1" t="str">
        <f t="shared" si="27"/>
        <v/>
      </c>
    </row>
    <row r="416" spans="1:11">
      <c r="A416" s="1">
        <v>1399</v>
      </c>
      <c r="B416" s="1" t="s">
        <v>9416</v>
      </c>
      <c r="C416" s="1" t="s">
        <v>9419</v>
      </c>
      <c r="D416" s="1" t="s">
        <v>1454</v>
      </c>
      <c r="E416" s="1" t="s">
        <v>1467</v>
      </c>
      <c r="F416" s="1" t="s">
        <v>1468</v>
      </c>
      <c r="G416" s="1" t="s">
        <v>1469</v>
      </c>
      <c r="H416" s="1" t="str">
        <f t="shared" si="24"/>
        <v/>
      </c>
      <c r="I416" s="1" t="str">
        <f t="shared" si="25"/>
        <v/>
      </c>
      <c r="J416" s="1" t="str">
        <f t="shared" si="26"/>
        <v>机柜{#NAME}: 温度太高(超过{$HUAWEI.5300.TEMP.MAX.WARN}达{$HUAWEI.5300.TEMP.MAX.TIME})</v>
      </c>
      <c r="K416" s="1" t="str">
        <f t="shared" si="27"/>
        <v/>
      </c>
    </row>
    <row r="417" spans="1:11">
      <c r="A417" s="1">
        <v>1402</v>
      </c>
      <c r="B417" s="1" t="s">
        <v>9416</v>
      </c>
      <c r="C417" s="1" t="s">
        <v>9420</v>
      </c>
      <c r="D417" s="1" t="s">
        <v>1454</v>
      </c>
      <c r="E417" s="1" t="s">
        <v>1471</v>
      </c>
      <c r="F417" s="1" t="s">
        <v>1472</v>
      </c>
      <c r="G417" s="1" t="s">
        <v>1473</v>
      </c>
      <c r="H417" s="1" t="str">
        <f t="shared" si="24"/>
        <v/>
      </c>
      <c r="I417" s="1" t="str">
        <f t="shared" si="25"/>
        <v/>
      </c>
      <c r="J417" s="1" t="str">
        <f t="shared" si="26"/>
        <v>LUN{#NAME}: 平均I/O响应时间太长(超过{$HUAWEI.5300.LUN.IO.TIME.MAX.WARN}毫秒{$HUAWEI.5300.LUN.IO.TIME.MAX.TIME})</v>
      </c>
      <c r="K417" s="1" t="str">
        <f t="shared" si="27"/>
        <v/>
      </c>
    </row>
    <row r="418" spans="1:11">
      <c r="A418" s="1">
        <v>1404</v>
      </c>
      <c r="B418" s="1" t="s">
        <v>9416</v>
      </c>
      <c r="C418" s="1" t="s">
        <v>9322</v>
      </c>
      <c r="D418" s="1" t="s">
        <v>1454</v>
      </c>
      <c r="E418" s="1" t="s">
        <v>1475</v>
      </c>
      <c r="F418" s="1" t="s">
        <v>1476</v>
      </c>
      <c r="G418" s="1" t="s">
        <v>1477</v>
      </c>
      <c r="H418" s="1" t="str">
        <f t="shared" si="24"/>
        <v/>
      </c>
      <c r="I418" s="1" t="str">
        <f t="shared" si="25"/>
        <v/>
      </c>
      <c r="J418" s="1" t="str">
        <f t="shared" si="26"/>
        <v>节点{#NODE}: 平均I/O延迟太高(超过{$HUAWEI.5300.NODE.IO.DELAY.MAX.WARN}毫秒,持续{$HUAWEI.5300.NODE.IO.DELAY.MAX.TIME})</v>
      </c>
      <c r="K418" s="1" t="str">
        <f t="shared" si="27"/>
        <v/>
      </c>
    </row>
    <row r="419" spans="1:11">
      <c r="A419" s="1">
        <v>1405</v>
      </c>
      <c r="B419" s="1" t="s">
        <v>9416</v>
      </c>
      <c r="C419" s="1" t="s">
        <v>9323</v>
      </c>
      <c r="D419" s="1" t="s">
        <v>1454</v>
      </c>
      <c r="E419" s="1" t="s">
        <v>1479</v>
      </c>
      <c r="F419" s="1" t="s">
        <v>1480</v>
      </c>
      <c r="G419" s="1" t="s">
        <v>1481</v>
      </c>
      <c r="H419" s="1" t="str">
        <f t="shared" si="24"/>
        <v/>
      </c>
      <c r="I419" s="1" t="str">
        <f t="shared" si="25"/>
        <v/>
      </c>
      <c r="J419" s="1" t="str">
        <f t="shared" si="26"/>
        <v>节点{#NODE}: CPU使用率高了(超过{$CPU.UTIL.CRIT}%达5分钟)</v>
      </c>
      <c r="K419" s="1" t="str">
        <f t="shared" si="27"/>
        <v/>
      </c>
    </row>
    <row r="420" spans="1:11">
      <c r="A420" s="1">
        <v>1406</v>
      </c>
      <c r="B420" s="1" t="s">
        <v>9416</v>
      </c>
      <c r="C420" s="1" t="s">
        <v>9324</v>
      </c>
      <c r="D420" s="1" t="s">
        <v>1454</v>
      </c>
      <c r="E420" s="1" t="s">
        <v>1483</v>
      </c>
      <c r="F420" s="1" t="s">
        <v>1484</v>
      </c>
      <c r="G420" s="1" t="s">
        <v>1485</v>
      </c>
      <c r="H420" s="1" t="str">
        <f t="shared" si="24"/>
        <v/>
      </c>
      <c r="I420" s="1" t="str">
        <f t="shared" si="25"/>
        <v/>
      </c>
      <c r="J420" s="1" t="str">
        <f t="shared" si="26"/>
        <v>池{#NAME}: 已用容量太高(超过{#THRESHOLD}%)</v>
      </c>
      <c r="K420" s="1" t="str">
        <f t="shared" si="27"/>
        <v/>
      </c>
    </row>
    <row r="421" spans="1:11">
      <c r="A421" s="1">
        <v>1410</v>
      </c>
      <c r="B421" s="1" t="s">
        <v>9421</v>
      </c>
      <c r="C421" s="1" t="s">
        <v>9351</v>
      </c>
      <c r="D421" s="1" t="s">
        <v>1512</v>
      </c>
      <c r="E421" s="1" t="s">
        <v>1513</v>
      </c>
      <c r="F421" s="1" t="s">
        <v>161</v>
      </c>
      <c r="G421" s="1" t="s">
        <v>162</v>
      </c>
      <c r="H421" s="1" t="str">
        <f t="shared" si="24"/>
        <v/>
      </c>
      <c r="I421" s="1" t="str">
        <f t="shared" si="25"/>
        <v/>
      </c>
      <c r="J421" s="1" t="str">
        <f t="shared" si="26"/>
        <v>接口{#IFNAME}({#IFALIAS}): 带宽使用率太高(&gt;{$IF.UTIL.MAX: "{#IFNAME}"}%)</v>
      </c>
      <c r="K421" s="1" t="str">
        <f t="shared" si="27"/>
        <v/>
      </c>
    </row>
    <row r="422" spans="1:11">
      <c r="A422" s="1">
        <v>1412</v>
      </c>
      <c r="B422" s="1" t="s">
        <v>9421</v>
      </c>
      <c r="C422" s="1" t="s">
        <v>9383</v>
      </c>
      <c r="D422" s="1" t="s">
        <v>1512</v>
      </c>
      <c r="E422" s="1" t="s">
        <v>1515</v>
      </c>
      <c r="F422" s="1" t="s">
        <v>165</v>
      </c>
      <c r="G422" s="1" t="s">
        <v>166</v>
      </c>
      <c r="H422" s="1" t="str">
        <f t="shared" si="24"/>
        <v/>
      </c>
      <c r="I422" s="1" t="str">
        <f t="shared" si="25"/>
        <v/>
      </c>
      <c r="J422" s="1" t="str">
        <f t="shared" si="26"/>
        <v>接口{#IFNAME}({#IFALIAS}): 错误率太高(&gt;{$IF.ERRORS.WARN: "{#IFNAME}"}达5分钟)</v>
      </c>
      <c r="K422" s="1" t="str">
        <f t="shared" si="27"/>
        <v/>
      </c>
    </row>
    <row r="423" spans="1:11">
      <c r="A423" s="1">
        <v>1415</v>
      </c>
      <c r="B423" s="1" t="s">
        <v>9421</v>
      </c>
      <c r="C423" s="1" t="s">
        <v>9422</v>
      </c>
      <c r="D423" s="1" t="s">
        <v>1512</v>
      </c>
      <c r="E423" s="1" t="s">
        <v>1517</v>
      </c>
      <c r="F423" s="1" t="s">
        <v>1518</v>
      </c>
      <c r="G423" s="1" t="s">
        <v>1519</v>
      </c>
      <c r="H423" s="1" t="str">
        <f t="shared" si="24"/>
        <v/>
      </c>
      <c r="I423" s="1" t="str">
        <f t="shared" si="25"/>
        <v/>
      </c>
      <c r="J423" s="1" t="str">
        <f t="shared" si="26"/>
        <v>{#ENT_NAME}: CPU使用率高了(超过{$CPU.UTIL.CRIT}%达5分钟)</v>
      </c>
      <c r="K423" s="1" t="str">
        <f t="shared" si="27"/>
        <v/>
      </c>
    </row>
    <row r="424" spans="1:11">
      <c r="A424" s="1">
        <v>1416</v>
      </c>
      <c r="B424" s="1" t="s">
        <v>9421</v>
      </c>
      <c r="C424" s="1" t="s">
        <v>9423</v>
      </c>
      <c r="D424" s="1" t="s">
        <v>1512</v>
      </c>
      <c r="E424" s="1" t="s">
        <v>1521</v>
      </c>
      <c r="F424" s="1" t="s">
        <v>169</v>
      </c>
      <c r="G424" s="1" t="s">
        <v>170</v>
      </c>
      <c r="H424" s="1" t="str">
        <f t="shared" si="24"/>
        <v/>
      </c>
      <c r="I424" s="1" t="str">
        <f t="shared" si="25"/>
        <v/>
      </c>
      <c r="J424" s="1" t="str">
        <f t="shared" si="26"/>
        <v>{#ENT_NAME}: 设备已更换(收到新序列号)</v>
      </c>
      <c r="K424" s="1" t="str">
        <f t="shared" si="27"/>
        <v/>
      </c>
    </row>
    <row r="425" spans="1:11">
      <c r="A425" s="1">
        <v>1417</v>
      </c>
      <c r="B425" s="1" t="s">
        <v>9421</v>
      </c>
      <c r="C425" s="1" t="s">
        <v>9424</v>
      </c>
      <c r="D425" s="1" t="s">
        <v>1512</v>
      </c>
      <c r="E425" s="1" t="s">
        <v>1523</v>
      </c>
      <c r="F425" s="1" t="s">
        <v>1524</v>
      </c>
      <c r="G425" s="1" t="s">
        <v>1525</v>
      </c>
      <c r="H425" s="1" t="str">
        <f t="shared" si="24"/>
        <v/>
      </c>
      <c r="I425" s="1" t="str">
        <f t="shared" si="25"/>
        <v/>
      </c>
      <c r="J425" s="1" t="str">
        <f t="shared" si="26"/>
        <v>{#ENT_NAME}: 内存利用率高了(&gt;{$MEMORY.UTIL.MAX}%达5分钟)</v>
      </c>
      <c r="K425" s="1" t="str">
        <f t="shared" si="27"/>
        <v/>
      </c>
    </row>
    <row r="426" spans="1:11">
      <c r="A426" s="1">
        <v>1419</v>
      </c>
      <c r="B426" s="1" t="s">
        <v>9421</v>
      </c>
      <c r="C426" s="1" t="s">
        <v>9352</v>
      </c>
      <c r="D426" s="1" t="s">
        <v>1512</v>
      </c>
      <c r="E426" s="1" t="s">
        <v>1527</v>
      </c>
      <c r="F426" s="1" t="s">
        <v>1528</v>
      </c>
      <c r="G426" s="1" t="s">
        <v>1529</v>
      </c>
      <c r="H426" s="1" t="str">
        <f t="shared" si="24"/>
        <v/>
      </c>
      <c r="I426" s="1" t="str">
        <f t="shared" si="25"/>
        <v/>
      </c>
      <c r="J426" s="1" t="str">
        <f t="shared" si="26"/>
        <v>{#ENT_NAME}: 温度高于临界阈值: &gt;{$TEMP_CRIT: "{#ENT_NAME}"}</v>
      </c>
      <c r="K426" s="1" t="str">
        <f t="shared" si="27"/>
        <v/>
      </c>
    </row>
    <row r="427" spans="1:11">
      <c r="A427" s="1">
        <v>1420</v>
      </c>
      <c r="B427" s="1" t="s">
        <v>9421</v>
      </c>
      <c r="C427" s="1" t="s">
        <v>9354</v>
      </c>
      <c r="D427" s="1" t="s">
        <v>1512</v>
      </c>
      <c r="E427" s="1" t="s">
        <v>1531</v>
      </c>
      <c r="F427" s="1" t="s">
        <v>1532</v>
      </c>
      <c r="G427" s="1" t="s">
        <v>1533</v>
      </c>
      <c r="H427" s="1" t="str">
        <f t="shared" si="24"/>
        <v/>
      </c>
      <c r="I427" s="1" t="str">
        <f t="shared" si="25"/>
        <v/>
      </c>
      <c r="J427" s="1" t="str">
        <f t="shared" si="26"/>
        <v>{#ENT_NAME}: 温度高于告警阈值: &gt;{$TEMP_WARN: "{#ENT_NAME}"}</v>
      </c>
      <c r="K427" s="1" t="str">
        <f t="shared" si="27"/>
        <v/>
      </c>
    </row>
    <row r="428" spans="1:11">
      <c r="A428" s="1">
        <v>1421</v>
      </c>
      <c r="B428" s="1" t="s">
        <v>9421</v>
      </c>
      <c r="C428" s="1" t="s">
        <v>9357</v>
      </c>
      <c r="D428" s="1" t="s">
        <v>1512</v>
      </c>
      <c r="E428" s="1" t="s">
        <v>1535</v>
      </c>
      <c r="F428" s="1" t="s">
        <v>1536</v>
      </c>
      <c r="G428" s="1" t="s">
        <v>1537</v>
      </c>
      <c r="H428" s="1" t="str">
        <f t="shared" si="24"/>
        <v/>
      </c>
      <c r="I428" s="1" t="str">
        <f t="shared" si="25"/>
        <v/>
      </c>
      <c r="J428" s="1" t="str">
        <f t="shared" si="26"/>
        <v>{#ENT_NAME}: 温度太低: &lt;{$TEMP_CRIT_LOW: "{#ENT_NAME}"}</v>
      </c>
      <c r="K428" s="1" t="str">
        <f t="shared" si="27"/>
        <v/>
      </c>
    </row>
    <row r="429" spans="1:11">
      <c r="A429" s="1">
        <v>1422</v>
      </c>
      <c r="B429" s="1" t="s">
        <v>9425</v>
      </c>
      <c r="C429" s="1" t="s">
        <v>9178</v>
      </c>
      <c r="D429" s="1" t="s">
        <v>1539</v>
      </c>
      <c r="E429" s="1" t="s">
        <v>1540</v>
      </c>
      <c r="F429" s="1" t="s">
        <v>1541</v>
      </c>
      <c r="G429" s="1" t="s">
        <v>1542</v>
      </c>
      <c r="H429" s="1" t="str">
        <f t="shared" si="24"/>
        <v>Ambient</v>
      </c>
      <c r="I429" s="1" t="str">
        <f t="shared" si="25"/>
        <v>温度高于告警阈值: &gt;{$TEMP_WARN: "Ambient"}</v>
      </c>
      <c r="J429" s="1" t="str">
        <f t="shared" si="26"/>
        <v>Ambient: 温度高于告警阈值: &gt;{$TEMP_WARN: "Ambient"}</v>
      </c>
      <c r="K429" s="1" t="str">
        <f t="shared" si="27"/>
        <v>Temperature is above warning threshold: &gt;{$TEMP_WARN:"Ambient"}</v>
      </c>
    </row>
    <row r="430" spans="1:11">
      <c r="A430" s="1">
        <v>1423</v>
      </c>
      <c r="B430" s="1" t="s">
        <v>9425</v>
      </c>
      <c r="C430" s="1" t="s">
        <v>9179</v>
      </c>
      <c r="D430" s="1" t="s">
        <v>1539</v>
      </c>
      <c r="E430" s="1" t="s">
        <v>1544</v>
      </c>
      <c r="F430" s="1" t="s">
        <v>1545</v>
      </c>
      <c r="G430" s="1" t="s">
        <v>1546</v>
      </c>
      <c r="H430" s="1" t="str">
        <f t="shared" si="24"/>
        <v>Ambient</v>
      </c>
      <c r="I430" s="1" t="str">
        <f t="shared" si="25"/>
        <v>温度高于临界阈值: &gt;{$TEMP_CRIT: "Ambient"}</v>
      </c>
      <c r="J430" s="1" t="str">
        <f t="shared" si="26"/>
        <v>Ambient: 温度高于临界阈值: &gt;{$TEMP_CRIT: "Ambient"}</v>
      </c>
      <c r="K430" s="1" t="str">
        <f t="shared" si="27"/>
        <v>Temperature is above critical threshold: &gt;{$TEMP_CRIT:"Ambient"}</v>
      </c>
    </row>
    <row r="431" spans="1:11">
      <c r="A431" s="1">
        <v>1424</v>
      </c>
      <c r="B431" s="1" t="s">
        <v>9425</v>
      </c>
      <c r="C431" s="1" t="s">
        <v>9426</v>
      </c>
      <c r="D431" s="1" t="s">
        <v>1539</v>
      </c>
      <c r="E431" s="1" t="s">
        <v>1548</v>
      </c>
      <c r="F431" s="1" t="s">
        <v>1549</v>
      </c>
      <c r="G431" s="1" t="s">
        <v>1550</v>
      </c>
      <c r="H431" s="1" t="str">
        <f t="shared" si="24"/>
        <v>Ambient</v>
      </c>
      <c r="I431" s="1" t="str">
        <f t="shared" si="25"/>
        <v>温度太低: &lt;{$TEMP_CRIT_LOW: "Ambient"}</v>
      </c>
      <c r="J431" s="1" t="str">
        <f t="shared" si="26"/>
        <v>Ambient: 温度太低: &lt;{$TEMP_CRIT_LOW: "Ambient"}</v>
      </c>
      <c r="K431" s="1" t="str">
        <f t="shared" si="27"/>
        <v>Temperature is too low: &lt;{$TEMP_CRIT_LOW:"Ambient"}</v>
      </c>
    </row>
    <row r="432" spans="1:11">
      <c r="A432" s="1">
        <v>1425</v>
      </c>
      <c r="B432" s="1" t="s">
        <v>9425</v>
      </c>
      <c r="C432" s="1" t="s">
        <v>9091</v>
      </c>
      <c r="D432" s="1" t="s">
        <v>1539</v>
      </c>
      <c r="E432" s="1" t="s">
        <v>1552</v>
      </c>
      <c r="F432" s="1" t="s">
        <v>1553</v>
      </c>
      <c r="G432" s="1" t="s">
        <v>1554</v>
      </c>
      <c r="H432" s="1" t="str">
        <f t="shared" si="24"/>
        <v>CPU</v>
      </c>
      <c r="I432" s="1" t="str">
        <f t="shared" si="25"/>
        <v>温度高于告警阈值: &gt;{$TEMP_WARN: "CPU"}</v>
      </c>
      <c r="J432" s="1" t="str">
        <f t="shared" si="26"/>
        <v>CPU: 温度高于告警阈值: &gt;{$TEMP_WARN: "CPU"}</v>
      </c>
      <c r="K432" s="1" t="str">
        <f t="shared" si="27"/>
        <v>Temperature is above warning threshold: &gt;{$TEMP_WARN:"CPU"}</v>
      </c>
    </row>
    <row r="433" spans="1:11">
      <c r="A433" s="1">
        <v>1426</v>
      </c>
      <c r="B433" s="1" t="s">
        <v>9425</v>
      </c>
      <c r="C433" s="1" t="s">
        <v>9427</v>
      </c>
      <c r="D433" s="1" t="s">
        <v>1539</v>
      </c>
      <c r="E433" s="1" t="s">
        <v>1556</v>
      </c>
      <c r="F433" s="1" t="s">
        <v>1557</v>
      </c>
      <c r="G433" s="1" t="s">
        <v>1558</v>
      </c>
      <c r="H433" s="1" t="str">
        <f t="shared" si="24"/>
        <v>CPU</v>
      </c>
      <c r="I433" s="1" t="str">
        <f t="shared" si="25"/>
        <v>温度高于临界阈值: &gt;{$TEMP_CRIT: "CPU"}</v>
      </c>
      <c r="J433" s="1" t="str">
        <f t="shared" si="26"/>
        <v>CPU: 温度高于临界阈值: &gt;{$TEMP_CRIT: "CPU"}</v>
      </c>
      <c r="K433" s="1" t="str">
        <f t="shared" si="27"/>
        <v>Temperature is above critical threshold: &gt;{$TEMP_CRIT:"CPU"}</v>
      </c>
    </row>
    <row r="434" spans="1:11">
      <c r="A434" s="1">
        <v>1427</v>
      </c>
      <c r="B434" s="1" t="s">
        <v>9425</v>
      </c>
      <c r="C434" s="1" t="s">
        <v>9092</v>
      </c>
      <c r="D434" s="1" t="s">
        <v>1539</v>
      </c>
      <c r="E434" s="1" t="s">
        <v>1560</v>
      </c>
      <c r="F434" s="1" t="s">
        <v>1561</v>
      </c>
      <c r="G434" s="1" t="s">
        <v>1562</v>
      </c>
      <c r="H434" s="1" t="str">
        <f t="shared" si="24"/>
        <v>CPU</v>
      </c>
      <c r="I434" s="1" t="str">
        <f t="shared" si="25"/>
        <v>温度太低: &lt;{$TEMP_CRIT_LOW: "CPU"}</v>
      </c>
      <c r="J434" s="1" t="str">
        <f t="shared" si="26"/>
        <v>CPU: 温度太低: &lt;{$TEMP_CRIT_LOW: "CPU"}</v>
      </c>
      <c r="K434" s="1" t="str">
        <f t="shared" si="27"/>
        <v>Temperature is too low: &lt;{$TEMP_CRIT_LOW:"CPU"}</v>
      </c>
    </row>
    <row r="435" spans="1:11">
      <c r="A435" s="1">
        <v>1431</v>
      </c>
      <c r="B435" s="1" t="s">
        <v>9425</v>
      </c>
      <c r="C435" s="1" t="s">
        <v>9094</v>
      </c>
      <c r="D435" s="1" t="s">
        <v>1539</v>
      </c>
      <c r="E435" s="1" t="s">
        <v>1564</v>
      </c>
      <c r="F435" s="1" t="s">
        <v>173</v>
      </c>
      <c r="G435" s="1" t="s">
        <v>174</v>
      </c>
      <c r="H435" s="1" t="str">
        <f t="shared" si="24"/>
        <v/>
      </c>
      <c r="I435" s="1" t="str">
        <f t="shared" si="25"/>
        <v/>
      </c>
      <c r="J435" s="1" t="str">
        <f t="shared" si="26"/>
        <v>{#SNMPVALUE}: 温度高于临界阈值: &gt;{$TEMP_CRIT: "{#SNMPVALUE}"}</v>
      </c>
      <c r="K435" s="1" t="str">
        <f t="shared" si="27"/>
        <v/>
      </c>
    </row>
    <row r="436" spans="1:11">
      <c r="A436" s="1">
        <v>1432</v>
      </c>
      <c r="B436" s="1" t="s">
        <v>9425</v>
      </c>
      <c r="C436" s="1" t="s">
        <v>9095</v>
      </c>
      <c r="D436" s="1" t="s">
        <v>1539</v>
      </c>
      <c r="E436" s="1" t="s">
        <v>1566</v>
      </c>
      <c r="F436" s="1" t="s">
        <v>177</v>
      </c>
      <c r="G436" s="1" t="s">
        <v>178</v>
      </c>
      <c r="H436" s="1" t="str">
        <f t="shared" si="24"/>
        <v/>
      </c>
      <c r="I436" s="1" t="str">
        <f t="shared" si="25"/>
        <v/>
      </c>
      <c r="J436" s="1" t="str">
        <f t="shared" si="26"/>
        <v>{#SNMPVALUE}: 温度高于告警阈值: &gt;{$TEMP_WARN: "{#SNMPVALUE}"}</v>
      </c>
      <c r="K436" s="1" t="str">
        <f t="shared" si="27"/>
        <v/>
      </c>
    </row>
    <row r="437" spans="1:11">
      <c r="A437" s="1">
        <v>1433</v>
      </c>
      <c r="B437" s="1" t="s">
        <v>9425</v>
      </c>
      <c r="C437" s="1" t="s">
        <v>9096</v>
      </c>
      <c r="D437" s="1" t="s">
        <v>1539</v>
      </c>
      <c r="E437" s="1" t="s">
        <v>1568</v>
      </c>
      <c r="F437" s="1" t="s">
        <v>181</v>
      </c>
      <c r="G437" s="1" t="s">
        <v>182</v>
      </c>
      <c r="H437" s="1" t="str">
        <f t="shared" si="24"/>
        <v/>
      </c>
      <c r="I437" s="1" t="str">
        <f t="shared" si="25"/>
        <v/>
      </c>
      <c r="J437" s="1" t="str">
        <f t="shared" si="26"/>
        <v>{#SNMPVALUE}: 温度太低: &lt;{$TEMP_CRIT_LOW: "{#SNMPVALUE}"}</v>
      </c>
      <c r="K437" s="1" t="str">
        <f t="shared" si="27"/>
        <v/>
      </c>
    </row>
    <row r="438" spans="1:11">
      <c r="A438" s="1">
        <v>1434</v>
      </c>
      <c r="B438" s="1" t="s">
        <v>9428</v>
      </c>
      <c r="C438" s="1" t="s">
        <v>9066</v>
      </c>
      <c r="D438" s="1" t="s">
        <v>1570</v>
      </c>
      <c r="E438" s="1" t="s">
        <v>1571</v>
      </c>
      <c r="F438" s="1" t="s">
        <v>1572</v>
      </c>
      <c r="G438" s="1" t="s">
        <v>1573</v>
      </c>
      <c r="H438" s="1" t="str">
        <f t="shared" si="24"/>
        <v>IIS</v>
      </c>
      <c r="I438" s="1" t="str">
        <f t="shared" si="25"/>
        <v>{#APPPOOL}的请求队列太大(超过{$IIS.QUEUE.MAX.WARN})</v>
      </c>
      <c r="J438" s="1" t="str">
        <f t="shared" si="26"/>
        <v>IIS: {#APPPOOL}的请求队列太大(超过{$IIS.QUEUE.MAX.WARN})</v>
      </c>
      <c r="K438" s="1" t="str">
        <f t="shared" si="27"/>
        <v>Request queue of {#APPPOOL} is too large (over {$IIS.QUEUE.MAX.WARN})</v>
      </c>
    </row>
    <row r="439" spans="1:11">
      <c r="A439" s="1">
        <v>1437</v>
      </c>
      <c r="B439" s="1" t="s">
        <v>9428</v>
      </c>
      <c r="C439" s="1" t="s">
        <v>9071</v>
      </c>
      <c r="D439" s="1" t="s">
        <v>1570</v>
      </c>
      <c r="E439" s="1" t="s">
        <v>1575</v>
      </c>
      <c r="F439" s="1" t="s">
        <v>1576</v>
      </c>
      <c r="G439" s="1" t="s">
        <v>1577</v>
      </c>
      <c r="H439" s="1" t="str">
        <f t="shared" si="24"/>
        <v>IIS</v>
      </c>
      <c r="I439" s="1" t="str">
        <f t="shared" si="25"/>
        <v>{#APPPOOL}已重新启动(正常运行时间&lt;10分钟)</v>
      </c>
      <c r="J439" s="1" t="str">
        <f t="shared" si="26"/>
        <v>IIS: {#APPPOOL}已重新启动(正常运行时间&lt;10分钟)</v>
      </c>
      <c r="K439" s="1" t="str">
        <f t="shared" si="27"/>
        <v>{#APPPOOL} has been restarted (uptime &lt; 10m)</v>
      </c>
    </row>
    <row r="440" spans="1:11">
      <c r="A440" s="1">
        <v>1438</v>
      </c>
      <c r="B440" s="1" t="s">
        <v>9429</v>
      </c>
      <c r="C440" s="1" t="s">
        <v>9066</v>
      </c>
      <c r="D440" s="1" t="s">
        <v>1579</v>
      </c>
      <c r="E440" s="1" t="s">
        <v>1580</v>
      </c>
      <c r="F440" s="1" t="s">
        <v>1572</v>
      </c>
      <c r="G440" s="1" t="s">
        <v>1573</v>
      </c>
      <c r="H440" s="1" t="str">
        <f t="shared" si="24"/>
        <v>IIS</v>
      </c>
      <c r="I440" s="1" t="str">
        <f t="shared" si="25"/>
        <v>{#APPPOOL}的请求队列太大(超过{$IIS.QUEUE.MAX.WARN})</v>
      </c>
      <c r="J440" s="1" t="str">
        <f t="shared" si="26"/>
        <v>IIS: {#APPPOOL}的请求队列太大(超过{$IIS.QUEUE.MAX.WARN})</v>
      </c>
      <c r="K440" s="1" t="str">
        <f t="shared" si="27"/>
        <v>Request queue of {#APPPOOL} is too large (over {$IIS.QUEUE.MAX.WARN})</v>
      </c>
    </row>
    <row r="441" spans="1:11">
      <c r="A441" s="1">
        <v>1441</v>
      </c>
      <c r="B441" s="1" t="s">
        <v>9429</v>
      </c>
      <c r="C441" s="1" t="s">
        <v>9071</v>
      </c>
      <c r="D441" s="1" t="s">
        <v>1579</v>
      </c>
      <c r="E441" s="1" t="s">
        <v>1582</v>
      </c>
      <c r="F441" s="1" t="s">
        <v>1576</v>
      </c>
      <c r="G441" s="1" t="s">
        <v>1577</v>
      </c>
      <c r="H441" s="1" t="str">
        <f t="shared" si="24"/>
        <v>IIS</v>
      </c>
      <c r="I441" s="1" t="str">
        <f t="shared" si="25"/>
        <v>{#APPPOOL}已重新启动(正常运行时间&lt;10分钟)</v>
      </c>
      <c r="J441" s="1" t="str">
        <f t="shared" si="26"/>
        <v>IIS: {#APPPOOL}已重新启动(正常运行时间&lt;10分钟)</v>
      </c>
      <c r="K441" s="1" t="str">
        <f t="shared" si="27"/>
        <v>{#APPPOOL} has been restarted (uptime &lt; 10m)</v>
      </c>
    </row>
    <row r="442" spans="1:11">
      <c r="A442" s="1">
        <v>1446</v>
      </c>
      <c r="B442" s="1" t="s">
        <v>9430</v>
      </c>
      <c r="C442" s="1" t="s">
        <v>9363</v>
      </c>
      <c r="D442" s="1" t="s">
        <v>1584</v>
      </c>
      <c r="E442" s="1" t="s">
        <v>1585</v>
      </c>
      <c r="F442" s="1" t="s">
        <v>1171</v>
      </c>
      <c r="G442" s="1" t="s">
        <v>1172</v>
      </c>
      <c r="H442" s="1" t="str">
        <f t="shared" si="24"/>
        <v/>
      </c>
      <c r="I442" s="1" t="str">
        <f t="shared" si="25"/>
        <v/>
      </c>
      <c r="J442" s="1" t="str">
        <f t="shared" si="26"/>
        <v>缓存组[{#JMXNAME}]: 版本已变更(新版本: {ITEM.VALUE})</v>
      </c>
      <c r="K442" s="1" t="str">
        <f t="shared" si="27"/>
        <v/>
      </c>
    </row>
    <row r="443" spans="1:11">
      <c r="A443" s="1">
        <v>1449</v>
      </c>
      <c r="B443" s="1" t="s">
        <v>9430</v>
      </c>
      <c r="C443" s="1" t="s">
        <v>9364</v>
      </c>
      <c r="D443" s="1" t="s">
        <v>1584</v>
      </c>
      <c r="E443" s="1" t="s">
        <v>1587</v>
      </c>
      <c r="F443" s="1" t="s">
        <v>1588</v>
      </c>
      <c r="G443" s="1" t="s">
        <v>1589</v>
      </c>
      <c r="H443" s="1" t="str">
        <f t="shared" si="24"/>
        <v/>
      </c>
      <c r="I443" s="1" t="str">
        <f t="shared" si="25"/>
        <v/>
      </c>
      <c r="J443" s="1" t="str">
        <f t="shared" si="26"/>
        <v>数据区域{#JMXNAME}: 检查点缓冲区利用率太高(5分钟内超过{$IGNITE.CHECKPOINT.PUSED.MAX.HIGH})</v>
      </c>
      <c r="K443" s="1" t="str">
        <f t="shared" si="27"/>
        <v/>
      </c>
    </row>
    <row r="444" spans="1:11">
      <c r="A444" s="1">
        <v>1450</v>
      </c>
      <c r="B444" s="1" t="s">
        <v>9430</v>
      </c>
      <c r="C444" s="1" t="s">
        <v>9365</v>
      </c>
      <c r="D444" s="1" t="s">
        <v>1584</v>
      </c>
      <c r="E444" s="1" t="s">
        <v>1591</v>
      </c>
      <c r="F444" s="1" t="s">
        <v>1592</v>
      </c>
      <c r="G444" s="1" t="s">
        <v>1593</v>
      </c>
      <c r="H444" s="1" t="str">
        <f t="shared" si="24"/>
        <v/>
      </c>
      <c r="I444" s="1" t="str">
        <f t="shared" si="25"/>
        <v/>
      </c>
      <c r="J444" s="1" t="str">
        <f t="shared" si="26"/>
        <v>数据区域{#JMXNAME}: 检查点缓冲区利用率太高(5分钟内超过{$IGNITE.CHECKPOINT.PUSED.MAX.WARN})</v>
      </c>
      <c r="K444" s="1" t="str">
        <f t="shared" si="27"/>
        <v/>
      </c>
    </row>
    <row r="445" spans="1:11">
      <c r="A445" s="1">
        <v>1452</v>
      </c>
      <c r="B445" s="1" t="s">
        <v>9430</v>
      </c>
      <c r="C445" s="1" t="s">
        <v>9366</v>
      </c>
      <c r="D445" s="1" t="s">
        <v>1584</v>
      </c>
      <c r="E445" s="1" t="s">
        <v>1595</v>
      </c>
      <c r="F445" s="1" t="s">
        <v>1596</v>
      </c>
      <c r="G445" s="1" t="s">
        <v>1597</v>
      </c>
      <c r="H445" s="1" t="str">
        <f t="shared" si="24"/>
        <v/>
      </c>
      <c r="I445" s="1" t="str">
        <f t="shared" si="25"/>
        <v/>
      </c>
      <c r="J445" s="1" t="str">
        <f t="shared" si="26"/>
        <v>数据区域{#JMXNAME}: 数据区域利用率太高(5分钟内超过{$IGNITE.DATA.REGION.PUSED.MAX.HIGH})</v>
      </c>
      <c r="K445" s="1" t="str">
        <f t="shared" si="27"/>
        <v/>
      </c>
    </row>
    <row r="446" spans="1:11">
      <c r="A446" s="1">
        <v>1453</v>
      </c>
      <c r="B446" s="1" t="s">
        <v>9430</v>
      </c>
      <c r="C446" s="1" t="s">
        <v>9367</v>
      </c>
      <c r="D446" s="1" t="s">
        <v>1584</v>
      </c>
      <c r="E446" s="1" t="s">
        <v>1599</v>
      </c>
      <c r="F446" s="1" t="s">
        <v>1600</v>
      </c>
      <c r="G446" s="1" t="s">
        <v>1601</v>
      </c>
      <c r="H446" s="1" t="str">
        <f t="shared" si="24"/>
        <v/>
      </c>
      <c r="I446" s="1" t="str">
        <f t="shared" si="25"/>
        <v/>
      </c>
      <c r="J446" s="1" t="str">
        <f t="shared" si="26"/>
        <v>数据区域{#JMXNAME}: 数据区域利用率太高(5分钟内超过{$IGNITE.DATA.REGION.PUSED.MAX.WARN})</v>
      </c>
      <c r="K446" s="1" t="str">
        <f t="shared" si="27"/>
        <v/>
      </c>
    </row>
    <row r="447" spans="1:11">
      <c r="A447" s="1">
        <v>1455</v>
      </c>
      <c r="B447" s="1" t="s">
        <v>9430</v>
      </c>
      <c r="C447" s="1" t="s">
        <v>9368</v>
      </c>
      <c r="D447" s="1" t="s">
        <v>1584</v>
      </c>
      <c r="E447" s="1" t="s">
        <v>1603</v>
      </c>
      <c r="F447" s="1" t="s">
        <v>1604</v>
      </c>
      <c r="G447" s="1" t="s">
        <v>1605</v>
      </c>
      <c r="H447" s="1" t="str">
        <f t="shared" si="24"/>
        <v/>
      </c>
      <c r="I447" s="1" t="str">
        <f t="shared" si="25"/>
        <v/>
      </c>
      <c r="J447" s="1" t="str">
        <f t="shared" si="26"/>
        <v>Ignite[{#JMXIGNITEINSTANCENAME}]: 版本已变更(新版本: {ITEM.VALUE})</v>
      </c>
      <c r="K447" s="1" t="str">
        <f t="shared" si="27"/>
        <v/>
      </c>
    </row>
    <row r="448" spans="1:11">
      <c r="A448" s="1">
        <v>1456</v>
      </c>
      <c r="B448" s="1" t="s">
        <v>9430</v>
      </c>
      <c r="C448" s="1" t="s">
        <v>9369</v>
      </c>
      <c r="D448" s="1" t="s">
        <v>1584</v>
      </c>
      <c r="E448" s="1" t="s">
        <v>1607</v>
      </c>
      <c r="F448" s="1" t="s">
        <v>1608</v>
      </c>
      <c r="G448" s="1" t="s">
        <v>1609</v>
      </c>
      <c r="H448" s="1" t="str">
        <f t="shared" si="24"/>
        <v/>
      </c>
      <c r="I448" s="1" t="str">
        <f t="shared" si="25"/>
        <v/>
      </c>
      <c r="J448" s="1" t="str">
        <f t="shared" si="26"/>
        <v>Ignite[{#JMXIGNITEINSTANCENAME}]: 排队任务的数量太高(超过{$IGNITE.JOBS.QUEUE.MAX.WARN}15分钟)</v>
      </c>
      <c r="K448" s="1" t="str">
        <f t="shared" si="27"/>
        <v/>
      </c>
    </row>
    <row r="449" spans="1:11">
      <c r="A449" s="1">
        <v>1460</v>
      </c>
      <c r="B449" s="1" t="s">
        <v>9430</v>
      </c>
      <c r="C449" s="1" t="s">
        <v>9370</v>
      </c>
      <c r="D449" s="1" t="s">
        <v>1584</v>
      </c>
      <c r="E449" s="1" t="s">
        <v>1611</v>
      </c>
      <c r="F449" s="1" t="s">
        <v>1612</v>
      </c>
      <c r="G449" s="1" t="s">
        <v>1613</v>
      </c>
      <c r="H449" s="1" t="str">
        <f t="shared" si="24"/>
        <v/>
      </c>
      <c r="I449" s="1" t="str">
        <f t="shared" si="25"/>
        <v/>
      </c>
      <c r="J449" s="1" t="str">
        <f t="shared" si="26"/>
        <v>Ignite[{#JMXIGNITEINSTANCENAME}]: PME持续时间太长(超过{$IGNITE.PME.DURATION.MAX.HIGH}5分钟)</v>
      </c>
      <c r="K449" s="1" t="str">
        <f t="shared" si="27"/>
        <v/>
      </c>
    </row>
    <row r="450" spans="1:11">
      <c r="A450" s="1">
        <v>1461</v>
      </c>
      <c r="B450" s="1" t="s">
        <v>9430</v>
      </c>
      <c r="C450" s="1" t="s">
        <v>9371</v>
      </c>
      <c r="D450" s="1" t="s">
        <v>1584</v>
      </c>
      <c r="E450" s="1" t="s">
        <v>1615</v>
      </c>
      <c r="F450" s="1" t="s">
        <v>1616</v>
      </c>
      <c r="G450" s="1" t="s">
        <v>1617</v>
      </c>
      <c r="H450" s="1" t="str">
        <f t="shared" ref="H450:H513" si="28">IFERROR(IF(OR(MID(G450,FIND(":",G450)-1,1)="""",MID(G450,FIND(":",G450)-1,1)="}",MID(G450,FIND(":",G450)-1,1)=")",MID(G450,FIND(":",G450)-1,1)="]"),"",LEFT(F450,FIND(":",F450)-1)),"")</f>
        <v/>
      </c>
      <c r="I450" s="1" t="str">
        <f t="shared" ref="I450:I513" si="29">IFERROR(IF(OR(MID(G450,FIND(":",G450)-1,1)="""",MID(G450,FIND(":",G450)-1,1)="}",MID(G450,FIND(":",G450)-1,1)=")",MID(G450,FIND(":",G450)-1,1)="]"),"",RIGHT(G450,LEN(G450)-FIND(":",G450)-1)),"")</f>
        <v/>
      </c>
      <c r="J450" s="1" t="str">
        <f t="shared" ref="J450:J513" si="30">IF(AND(I450="",H450=""),G450,H450&amp;": "&amp;I450)</f>
        <v>Ignite[{#JMXIGNITEINSTANCENAME}]: PME持续时间太长(超过{$IGNITE.PME.DURATION.MAX.WARN}5分钟)</v>
      </c>
      <c r="K450" s="1" t="str">
        <f t="shared" ref="K450:K513" si="31">IFERROR(IF(OR(MID(F450,FIND(":",F450)-1,1)="""",MID(F450,FIND(":",F450)-1,1)="}",MID(F450,FIND(":",F450)-1,1)=")",MID(F450,FIND(":",F450)-1,1)="]"),"",RIGHT(F450,LEN(F450)-FIND(":",F450)-1)),"")</f>
        <v/>
      </c>
    </row>
    <row r="451" spans="1:11">
      <c r="A451" s="1">
        <v>1462</v>
      </c>
      <c r="B451" s="1" t="s">
        <v>9430</v>
      </c>
      <c r="C451" s="1" t="s">
        <v>9372</v>
      </c>
      <c r="D451" s="1" t="s">
        <v>1584</v>
      </c>
      <c r="E451" s="1" t="s">
        <v>1619</v>
      </c>
      <c r="F451" s="1" t="s">
        <v>1620</v>
      </c>
      <c r="G451" s="1" t="s">
        <v>1621</v>
      </c>
      <c r="H451" s="1" t="str">
        <f t="shared" si="28"/>
        <v/>
      </c>
      <c r="I451" s="1" t="str">
        <f t="shared" si="29"/>
        <v/>
      </c>
      <c r="J451" s="1" t="str">
        <f t="shared" si="30"/>
        <v>Ignite[{#JMXIGNITEINSTANCENAME}]: 正在运行的线程数太高(超过{$IGNITE.THREADS.COUNT.MAX.WARN}15分钟)</v>
      </c>
      <c r="K451" s="1" t="str">
        <f t="shared" si="31"/>
        <v/>
      </c>
    </row>
    <row r="452" spans="1:11">
      <c r="A452" s="1">
        <v>1463</v>
      </c>
      <c r="B452" s="1" t="s">
        <v>9430</v>
      </c>
      <c r="C452" s="1" t="s">
        <v>9373</v>
      </c>
      <c r="D452" s="1" t="s">
        <v>1584</v>
      </c>
      <c r="E452" s="1" t="s">
        <v>1623</v>
      </c>
      <c r="F452" s="1" t="s">
        <v>1624</v>
      </c>
      <c r="G452" s="1" t="s">
        <v>1625</v>
      </c>
      <c r="H452" s="1" t="str">
        <f t="shared" si="28"/>
        <v/>
      </c>
      <c r="I452" s="1" t="str">
        <f t="shared" si="29"/>
        <v/>
      </c>
      <c r="J452" s="1" t="str">
        <f t="shared" si="30"/>
        <v>Ignite[{#JMXIGNITEINSTANCENAME}]: 已重新启动(正常运行时间&lt;10分钟)</v>
      </c>
      <c r="K452" s="1" t="str">
        <f t="shared" si="31"/>
        <v/>
      </c>
    </row>
    <row r="453" spans="1:11">
      <c r="A453" s="1">
        <v>1464</v>
      </c>
      <c r="B453" s="1" t="s">
        <v>9430</v>
      </c>
      <c r="C453" s="1" t="s">
        <v>9374</v>
      </c>
      <c r="D453" s="1" t="s">
        <v>1584</v>
      </c>
      <c r="E453" s="1" t="s">
        <v>1627</v>
      </c>
      <c r="F453" s="1" t="s">
        <v>1628</v>
      </c>
      <c r="G453" s="1" t="s">
        <v>1629</v>
      </c>
      <c r="H453" s="1" t="str">
        <f t="shared" si="28"/>
        <v/>
      </c>
      <c r="I453" s="1" t="str">
        <f t="shared" si="29"/>
        <v/>
      </c>
      <c r="J453" s="1" t="str">
        <f t="shared" si="30"/>
        <v>Ignite[{#JMXIGNITEINSTANCENAME}]: 无法获取信息数据(或10分钟无数据)</v>
      </c>
      <c r="K453" s="1" t="str">
        <f t="shared" si="31"/>
        <v/>
      </c>
    </row>
    <row r="454" spans="1:11">
      <c r="A454" s="1">
        <v>1465</v>
      </c>
      <c r="B454" s="1" t="s">
        <v>9430</v>
      </c>
      <c r="C454" s="1" t="s">
        <v>9375</v>
      </c>
      <c r="D454" s="1" t="s">
        <v>1584</v>
      </c>
      <c r="E454" s="1" t="s">
        <v>1631</v>
      </c>
      <c r="F454" s="1" t="s">
        <v>1604</v>
      </c>
      <c r="G454" s="1" t="s">
        <v>1605</v>
      </c>
      <c r="H454" s="1" t="str">
        <f t="shared" si="28"/>
        <v/>
      </c>
      <c r="I454" s="1" t="str">
        <f t="shared" si="29"/>
        <v/>
      </c>
      <c r="J454" s="1" t="str">
        <f t="shared" si="30"/>
        <v>Ignite[{#JMXIGNITEINSTANCENAME}]: 版本已变更(新版本: {ITEM.VALUE})</v>
      </c>
      <c r="K454" s="1" t="str">
        <f t="shared" si="31"/>
        <v/>
      </c>
    </row>
    <row r="455" spans="1:11">
      <c r="A455" s="1">
        <v>1466</v>
      </c>
      <c r="B455" s="1" t="s">
        <v>9430</v>
      </c>
      <c r="C455" s="1" t="s">
        <v>9376</v>
      </c>
      <c r="D455" s="1" t="s">
        <v>1584</v>
      </c>
      <c r="E455" s="1" t="s">
        <v>1633</v>
      </c>
      <c r="F455" s="1" t="s">
        <v>1634</v>
      </c>
      <c r="G455" s="1" t="s">
        <v>1635</v>
      </c>
      <c r="H455" s="1" t="str">
        <f t="shared" si="28"/>
        <v/>
      </c>
      <c r="I455" s="1" t="str">
        <f t="shared" si="29"/>
        <v/>
      </c>
      <c r="J455" s="1" t="str">
        <f t="shared" si="30"/>
        <v>线程池[{#JMXNAME}]: 队列中消息过多(超过{$IGNITE.THREAD.QUEUE.MAX.WARN: "{#JMXNAME}"}达5分钟)</v>
      </c>
      <c r="K455" s="1" t="str">
        <f t="shared" si="31"/>
        <v/>
      </c>
    </row>
    <row r="456" spans="1:11">
      <c r="A456" s="1">
        <v>1467</v>
      </c>
      <c r="B456" s="1" t="s">
        <v>9431</v>
      </c>
      <c r="C456" s="1" t="s">
        <v>9334</v>
      </c>
      <c r="D456" s="1" t="s">
        <v>1637</v>
      </c>
      <c r="E456" s="1" t="s">
        <v>1638</v>
      </c>
      <c r="F456" s="1" t="s">
        <v>1639</v>
      </c>
      <c r="G456" s="1" t="s">
        <v>1640</v>
      </c>
      <c r="H456" s="1" t="str">
        <f t="shared" si="28"/>
        <v>InfluxDB</v>
      </c>
      <c r="I456" s="1" t="str">
        <f t="shared" si="29"/>
        <v>[{#ORG_NAME}]: 请求失败太多(超过{$INFLUXDB.REQ.FAIL.MAX.WARN}达5分钟)</v>
      </c>
      <c r="J456" s="1" t="str">
        <f t="shared" si="30"/>
        <v>InfluxDB: [{#ORG_NAME}]: 请求失败太多(超过{$INFLUXDB.REQ.FAIL.MAX.WARN}达5分钟)</v>
      </c>
      <c r="K456" s="1" t="str">
        <f t="shared" si="31"/>
        <v>[{#ORG_NAME}]: Too many requests failures (over {$INFLUXDB.REQ.FAIL.MAX.WARN} for 5m)</v>
      </c>
    </row>
    <row r="457" spans="1:11">
      <c r="A457" s="1">
        <v>1468</v>
      </c>
      <c r="B457" s="1" t="s">
        <v>9432</v>
      </c>
      <c r="C457" s="1" t="s">
        <v>9165</v>
      </c>
      <c r="D457" s="1" t="s">
        <v>1642</v>
      </c>
      <c r="E457" s="1" t="s">
        <v>1643</v>
      </c>
      <c r="F457" s="1" t="s">
        <v>161</v>
      </c>
      <c r="G457" s="1" t="s">
        <v>162</v>
      </c>
      <c r="H457" s="1" t="str">
        <f t="shared" si="28"/>
        <v/>
      </c>
      <c r="I457" s="1" t="str">
        <f t="shared" si="29"/>
        <v/>
      </c>
      <c r="J457" s="1" t="str">
        <f t="shared" si="30"/>
        <v>接口{#IFNAME}({#IFALIAS}): 带宽使用率太高(&gt;{$IF.UTIL.MAX: "{#IFNAME}"}%)</v>
      </c>
      <c r="K457" s="1" t="str">
        <f t="shared" si="31"/>
        <v/>
      </c>
    </row>
    <row r="458" spans="1:11">
      <c r="A458" s="1">
        <v>1469</v>
      </c>
      <c r="B458" s="1" t="s">
        <v>9432</v>
      </c>
      <c r="C458" s="1" t="s">
        <v>9166</v>
      </c>
      <c r="D458" s="1" t="s">
        <v>1642</v>
      </c>
      <c r="E458" s="1" t="s">
        <v>1645</v>
      </c>
      <c r="F458" s="1" t="s">
        <v>165</v>
      </c>
      <c r="G458" s="1" t="s">
        <v>166</v>
      </c>
      <c r="H458" s="1" t="str">
        <f t="shared" si="28"/>
        <v/>
      </c>
      <c r="I458" s="1" t="str">
        <f t="shared" si="29"/>
        <v/>
      </c>
      <c r="J458" s="1" t="str">
        <f t="shared" si="30"/>
        <v>接口{#IFNAME}({#IFALIAS}): 错误率太高(&gt;{$IF.ERRORS.WARN: "{#IFNAME}"}达5分钟)</v>
      </c>
      <c r="K458" s="1" t="str">
        <f t="shared" si="31"/>
        <v/>
      </c>
    </row>
    <row r="459" spans="1:11">
      <c r="A459" s="1">
        <v>1472</v>
      </c>
      <c r="B459" s="1" t="s">
        <v>9432</v>
      </c>
      <c r="C459" s="1" t="s">
        <v>9302</v>
      </c>
      <c r="D459" s="1" t="s">
        <v>1642</v>
      </c>
      <c r="E459" s="1" t="s">
        <v>1647</v>
      </c>
      <c r="F459" s="1" t="s">
        <v>169</v>
      </c>
      <c r="G459" s="1" t="s">
        <v>170</v>
      </c>
      <c r="H459" s="1" t="str">
        <f t="shared" si="28"/>
        <v/>
      </c>
      <c r="I459" s="1" t="str">
        <f t="shared" si="29"/>
        <v/>
      </c>
      <c r="J459" s="1" t="str">
        <f t="shared" si="30"/>
        <v>{#ENT_NAME}: 设备已更换(收到新序列号)</v>
      </c>
      <c r="K459" s="1" t="str">
        <f t="shared" si="31"/>
        <v/>
      </c>
    </row>
    <row r="460" spans="1:11">
      <c r="A460" s="1">
        <v>1473</v>
      </c>
      <c r="B460" s="1" t="s">
        <v>9432</v>
      </c>
      <c r="C460" s="1" t="s">
        <v>9303</v>
      </c>
      <c r="D460" s="1" t="s">
        <v>1642</v>
      </c>
      <c r="E460" s="1" t="s">
        <v>1649</v>
      </c>
      <c r="F460" s="1" t="s">
        <v>396</v>
      </c>
      <c r="G460" s="1" t="s">
        <v>397</v>
      </c>
      <c r="H460" s="1" t="str">
        <f t="shared" si="28"/>
        <v/>
      </c>
      <c r="I460" s="1" t="str">
        <f t="shared" si="29"/>
        <v/>
      </c>
      <c r="J460" s="1" t="str">
        <f t="shared" si="30"/>
        <v>{#SENSOR_INFO}: 温度高于临界阈值: &gt;{$TEMP_CRIT: "{#SENSOR_INFO}"}</v>
      </c>
      <c r="K460" s="1" t="str">
        <f t="shared" si="31"/>
        <v/>
      </c>
    </row>
    <row r="461" spans="1:11">
      <c r="A461" s="1">
        <v>1474</v>
      </c>
      <c r="B461" s="1" t="s">
        <v>9432</v>
      </c>
      <c r="C461" s="1" t="s">
        <v>9304</v>
      </c>
      <c r="D461" s="1" t="s">
        <v>1642</v>
      </c>
      <c r="E461" s="1" t="s">
        <v>1651</v>
      </c>
      <c r="F461" s="1" t="s">
        <v>392</v>
      </c>
      <c r="G461" s="1" t="s">
        <v>393</v>
      </c>
      <c r="H461" s="1" t="str">
        <f t="shared" si="28"/>
        <v/>
      </c>
      <c r="I461" s="1" t="str">
        <f t="shared" si="29"/>
        <v/>
      </c>
      <c r="J461" s="1" t="str">
        <f t="shared" si="30"/>
        <v>{#SENSOR_INFO}: 温度高于告警阈值: &gt;{$TEMP_WARN: "{#SENSOR_INFO}"}</v>
      </c>
      <c r="K461" s="1" t="str">
        <f t="shared" si="31"/>
        <v/>
      </c>
    </row>
    <row r="462" spans="1:11">
      <c r="A462" s="1">
        <v>1475</v>
      </c>
      <c r="B462" s="1" t="s">
        <v>9432</v>
      </c>
      <c r="C462" s="1" t="s">
        <v>9433</v>
      </c>
      <c r="D462" s="1" t="s">
        <v>1642</v>
      </c>
      <c r="E462" s="1" t="s">
        <v>1653</v>
      </c>
      <c r="F462" s="1" t="s">
        <v>400</v>
      </c>
      <c r="G462" s="1" t="s">
        <v>401</v>
      </c>
      <c r="H462" s="1" t="str">
        <f t="shared" si="28"/>
        <v/>
      </c>
      <c r="I462" s="1" t="str">
        <f t="shared" si="29"/>
        <v/>
      </c>
      <c r="J462" s="1" t="str">
        <f t="shared" si="30"/>
        <v>{#SENSOR_INFO}: 温度太低: &lt;{$TEMP_CRIT_LOW: "{#SENSOR_INFO}"}</v>
      </c>
      <c r="K462" s="1" t="str">
        <f t="shared" si="31"/>
        <v/>
      </c>
    </row>
    <row r="463" spans="1:11">
      <c r="A463" s="1">
        <v>1482</v>
      </c>
      <c r="B463" s="1" t="s">
        <v>9434</v>
      </c>
      <c r="C463" s="1" t="s">
        <v>9178</v>
      </c>
      <c r="D463" s="1" t="s">
        <v>1687</v>
      </c>
      <c r="E463" s="1" t="s">
        <v>1688</v>
      </c>
      <c r="F463" s="1" t="s">
        <v>161</v>
      </c>
      <c r="G463" s="1" t="s">
        <v>162</v>
      </c>
      <c r="H463" s="1" t="str">
        <f t="shared" si="28"/>
        <v/>
      </c>
      <c r="I463" s="1" t="str">
        <f t="shared" si="29"/>
        <v/>
      </c>
      <c r="J463" s="1" t="str">
        <f t="shared" si="30"/>
        <v>接口{#IFNAME}({#IFALIAS}): 带宽使用率太高(&gt;{$IF.UTIL.MAX: "{#IFNAME}"}%)</v>
      </c>
      <c r="K463" s="1" t="str">
        <f t="shared" si="31"/>
        <v/>
      </c>
    </row>
    <row r="464" spans="1:11">
      <c r="A464" s="1">
        <v>1484</v>
      </c>
      <c r="B464" s="1" t="s">
        <v>9434</v>
      </c>
      <c r="C464" s="1" t="s">
        <v>9426</v>
      </c>
      <c r="D464" s="1" t="s">
        <v>1687</v>
      </c>
      <c r="E464" s="1" t="s">
        <v>1690</v>
      </c>
      <c r="F464" s="1" t="s">
        <v>165</v>
      </c>
      <c r="G464" s="1" t="s">
        <v>166</v>
      </c>
      <c r="H464" s="1" t="str">
        <f t="shared" si="28"/>
        <v/>
      </c>
      <c r="I464" s="1" t="str">
        <f t="shared" si="29"/>
        <v/>
      </c>
      <c r="J464" s="1" t="str">
        <f t="shared" si="30"/>
        <v>接口{#IFNAME}({#IFALIAS}): 错误率太高(&gt;{$IF.ERRORS.WARN: "{#IFNAME}"}达5分钟)</v>
      </c>
      <c r="K464" s="1" t="str">
        <f t="shared" si="31"/>
        <v/>
      </c>
    </row>
    <row r="465" spans="1:11">
      <c r="A465" s="1">
        <v>1487</v>
      </c>
      <c r="B465" s="1" t="s">
        <v>9434</v>
      </c>
      <c r="C465" s="1" t="s">
        <v>9092</v>
      </c>
      <c r="D465" s="1" t="s">
        <v>1687</v>
      </c>
      <c r="E465" s="1" t="s">
        <v>1692</v>
      </c>
      <c r="F465" s="1" t="s">
        <v>396</v>
      </c>
      <c r="G465" s="1" t="s">
        <v>397</v>
      </c>
      <c r="H465" s="1" t="str">
        <f t="shared" si="28"/>
        <v/>
      </c>
      <c r="I465" s="1" t="str">
        <f t="shared" si="29"/>
        <v/>
      </c>
      <c r="J465" s="1" t="str">
        <f t="shared" si="30"/>
        <v>{#SENSOR_INFO}: 温度高于临界阈值: &gt;{$TEMP_CRIT: "{#SENSOR_INFO}"}</v>
      </c>
      <c r="K465" s="1" t="str">
        <f t="shared" si="31"/>
        <v/>
      </c>
    </row>
    <row r="466" spans="1:11">
      <c r="A466" s="1">
        <v>1488</v>
      </c>
      <c r="B466" s="1" t="s">
        <v>9434</v>
      </c>
      <c r="C466" s="1" t="s">
        <v>9435</v>
      </c>
      <c r="D466" s="1" t="s">
        <v>1687</v>
      </c>
      <c r="E466" s="1" t="s">
        <v>1694</v>
      </c>
      <c r="F466" s="1" t="s">
        <v>392</v>
      </c>
      <c r="G466" s="1" t="s">
        <v>393</v>
      </c>
      <c r="H466" s="1" t="str">
        <f t="shared" si="28"/>
        <v/>
      </c>
      <c r="I466" s="1" t="str">
        <f t="shared" si="29"/>
        <v/>
      </c>
      <c r="J466" s="1" t="str">
        <f t="shared" si="30"/>
        <v>{#SENSOR_INFO}: 温度高于告警阈值: &gt;{$TEMP_WARN: "{#SENSOR_INFO}"}</v>
      </c>
      <c r="K466" s="1" t="str">
        <f t="shared" si="31"/>
        <v/>
      </c>
    </row>
    <row r="467" spans="1:11">
      <c r="A467" s="1">
        <v>1489</v>
      </c>
      <c r="B467" s="1" t="s">
        <v>9434</v>
      </c>
      <c r="C467" s="1" t="s">
        <v>9436</v>
      </c>
      <c r="D467" s="1" t="s">
        <v>1687</v>
      </c>
      <c r="E467" s="1" t="s">
        <v>1696</v>
      </c>
      <c r="F467" s="1" t="s">
        <v>400</v>
      </c>
      <c r="G467" s="1" t="s">
        <v>401</v>
      </c>
      <c r="H467" s="1" t="str">
        <f t="shared" si="28"/>
        <v/>
      </c>
      <c r="I467" s="1" t="str">
        <f t="shared" si="29"/>
        <v/>
      </c>
      <c r="J467" s="1" t="str">
        <f t="shared" si="30"/>
        <v>{#SENSOR_INFO}: 温度太低: &lt;{$TEMP_CRIT_LOW: "{#SENSOR_INFO}"}</v>
      </c>
      <c r="K467" s="1" t="str">
        <f t="shared" si="31"/>
        <v/>
      </c>
    </row>
    <row r="468" spans="1:11">
      <c r="A468" s="1">
        <v>1490</v>
      </c>
      <c r="B468" s="1" t="s">
        <v>9434</v>
      </c>
      <c r="C468" s="1" t="s">
        <v>9093</v>
      </c>
      <c r="D468" s="1" t="s">
        <v>1687</v>
      </c>
      <c r="E468" s="1" t="s">
        <v>1698</v>
      </c>
      <c r="F468" s="1" t="s">
        <v>536</v>
      </c>
      <c r="G468" s="1" t="s">
        <v>537</v>
      </c>
      <c r="H468" s="1" t="str">
        <f t="shared" si="28"/>
        <v/>
      </c>
      <c r="I468" s="1" t="str">
        <f t="shared" si="29"/>
        <v/>
      </c>
      <c r="J468" s="1" t="str">
        <f t="shared" si="30"/>
        <v>{#SNMPVALUE}: CPU使用率高了(超过{$CPU.UTIL.CRIT}%达5分钟)</v>
      </c>
      <c r="K468" s="1" t="str">
        <f t="shared" si="31"/>
        <v/>
      </c>
    </row>
    <row r="469" spans="1:11">
      <c r="A469" s="1">
        <v>1492</v>
      </c>
      <c r="B469" s="1" t="s">
        <v>9434</v>
      </c>
      <c r="C469" s="1" t="s">
        <v>9095</v>
      </c>
      <c r="D469" s="1" t="s">
        <v>1687</v>
      </c>
      <c r="E469" s="1" t="s">
        <v>1700</v>
      </c>
      <c r="F469" s="1" t="s">
        <v>531</v>
      </c>
      <c r="G469" s="1" t="s">
        <v>532</v>
      </c>
      <c r="H469" s="1" t="str">
        <f t="shared" si="28"/>
        <v/>
      </c>
      <c r="I469" s="1" t="str">
        <f t="shared" si="29"/>
        <v/>
      </c>
      <c r="J469" s="1" t="str">
        <f t="shared" si="30"/>
        <v>{#SNMPVALUE}: 内存利用率高了(&gt;{$MEMORY.UTIL.MAX}%达5分钟)</v>
      </c>
      <c r="K469" s="1" t="str">
        <f t="shared" si="31"/>
        <v/>
      </c>
    </row>
    <row r="470" spans="1:11">
      <c r="A470" s="1">
        <v>1495</v>
      </c>
      <c r="B470" s="1" t="s">
        <v>9437</v>
      </c>
      <c r="C470" s="1" t="s">
        <v>9081</v>
      </c>
      <c r="D470" s="1" t="s">
        <v>1702</v>
      </c>
      <c r="E470" s="1" t="s">
        <v>9438</v>
      </c>
      <c r="F470" s="1" t="s">
        <v>1704</v>
      </c>
      <c r="G470" s="1" t="s">
        <v>1705</v>
      </c>
      <c r="H470" s="1" t="str">
        <f t="shared" si="28"/>
        <v>Kubernetes API</v>
      </c>
      <c r="I470" s="1" t="str">
        <f t="shared" si="29"/>
        <v>K8S客户端证书在{$KUBE.API.CERT.EXPIRATION}天后过期</v>
      </c>
      <c r="J470" s="1" t="str">
        <f t="shared" si="30"/>
        <v>Kubernetes API: K8S客户端证书在{$KUBE.API.CERT.EXPIRATION}天后过期</v>
      </c>
      <c r="K470" s="1" t="str">
        <f t="shared" si="31"/>
        <v>Kubernetes client certificate expires in {$KUBE.API.CERT.EXPIRATION} days</v>
      </c>
    </row>
    <row r="471" spans="1:11">
      <c r="A471" s="1">
        <v>1509</v>
      </c>
      <c r="B471" s="1" t="s">
        <v>9439</v>
      </c>
      <c r="C471" s="1" t="s">
        <v>9440</v>
      </c>
      <c r="D471" s="1" t="s">
        <v>1707</v>
      </c>
      <c r="E471" s="1" t="s">
        <v>9441</v>
      </c>
      <c r="F471" s="1" t="s">
        <v>1709</v>
      </c>
      <c r="G471" s="1" t="s">
        <v>1710</v>
      </c>
      <c r="H471" s="1" t="str">
        <f t="shared" si="28"/>
        <v>Node [{#NAME}] Limits</v>
      </c>
      <c r="I471" s="1" t="str">
        <f t="shared" si="29"/>
        <v>总CPU限制太高(超过可分配的90%)</v>
      </c>
      <c r="J471" s="1" t="str">
        <f t="shared" si="30"/>
        <v>Node [{#NAME}] Limits: 总CPU限制太高(超过可分配的90%)</v>
      </c>
      <c r="K471" s="1" t="str">
        <f t="shared" si="31"/>
        <v>Total CPU limits are too high (more than 90% of allocatable)</v>
      </c>
    </row>
    <row r="472" spans="1:11">
      <c r="A472" s="1">
        <v>1510</v>
      </c>
      <c r="B472" s="1" t="s">
        <v>9439</v>
      </c>
      <c r="C472" s="1" t="s">
        <v>9442</v>
      </c>
      <c r="D472" s="1" t="s">
        <v>1707</v>
      </c>
      <c r="E472" s="1" t="s">
        <v>9443</v>
      </c>
      <c r="F472" s="1" t="s">
        <v>1713</v>
      </c>
      <c r="G472" s="1" t="s">
        <v>1714</v>
      </c>
      <c r="H472" s="1" t="str">
        <f t="shared" si="28"/>
        <v>Node [{#NAME}] Limits</v>
      </c>
      <c r="I472" s="1" t="str">
        <f t="shared" si="29"/>
        <v>总CPU限制太高(超过可分配的100%)</v>
      </c>
      <c r="J472" s="1" t="str">
        <f t="shared" si="30"/>
        <v>Node [{#NAME}] Limits: 总CPU限制太高(超过可分配的100%)</v>
      </c>
      <c r="K472" s="1" t="str">
        <f t="shared" si="31"/>
        <v>Total CPU limits are too high (more than 100% of allocatable)</v>
      </c>
    </row>
    <row r="473" spans="1:11">
      <c r="A473" s="1">
        <v>1511</v>
      </c>
      <c r="B473" s="1" t="s">
        <v>9439</v>
      </c>
      <c r="C473" s="1" t="s">
        <v>9444</v>
      </c>
      <c r="D473" s="1" t="s">
        <v>1707</v>
      </c>
      <c r="E473" s="1" t="s">
        <v>9445</v>
      </c>
      <c r="F473" s="1" t="s">
        <v>1717</v>
      </c>
      <c r="G473" s="1" t="s">
        <v>1718</v>
      </c>
      <c r="H473" s="1" t="str">
        <f t="shared" si="28"/>
        <v>Node [{#NAME}] Requests</v>
      </c>
      <c r="I473" s="1" t="str">
        <f t="shared" si="29"/>
        <v>总CPU请求太高(超过可分配的50%)</v>
      </c>
      <c r="J473" s="1" t="str">
        <f t="shared" si="30"/>
        <v>Node [{#NAME}] Requests: 总CPU请求太高(超过可分配的50%)</v>
      </c>
      <c r="K473" s="1" t="str">
        <f t="shared" si="31"/>
        <v>Total CPU requests are too high (more than 50% of allocatable)</v>
      </c>
    </row>
    <row r="474" spans="1:11">
      <c r="A474" s="1">
        <v>1512</v>
      </c>
      <c r="B474" s="1" t="s">
        <v>9439</v>
      </c>
      <c r="C474" s="1" t="s">
        <v>9446</v>
      </c>
      <c r="D474" s="1" t="s">
        <v>1707</v>
      </c>
      <c r="E474" s="1" t="s">
        <v>9447</v>
      </c>
      <c r="F474" s="1" t="s">
        <v>1721</v>
      </c>
      <c r="G474" s="1" t="s">
        <v>1722</v>
      </c>
      <c r="H474" s="1" t="str">
        <f t="shared" si="28"/>
        <v>Node [{#NAME}] Requests</v>
      </c>
      <c r="I474" s="1" t="str">
        <f t="shared" si="29"/>
        <v>总CPU请求太高(超过可分配的80%)</v>
      </c>
      <c r="J474" s="1" t="str">
        <f t="shared" si="30"/>
        <v>Node [{#NAME}] Requests: 总CPU请求太高(超过可分配的80%)</v>
      </c>
      <c r="K474" s="1" t="str">
        <f t="shared" si="31"/>
        <v>Total CPU requests are too high (more than 80% of allocatable)</v>
      </c>
    </row>
    <row r="475" spans="1:11">
      <c r="A475" s="1">
        <v>1513</v>
      </c>
      <c r="B475" s="1" t="s">
        <v>9439</v>
      </c>
      <c r="C475" s="1" t="s">
        <v>9448</v>
      </c>
      <c r="D475" s="1" t="s">
        <v>1707</v>
      </c>
      <c r="E475" s="1" t="s">
        <v>9449</v>
      </c>
      <c r="F475" s="1" t="s">
        <v>1725</v>
      </c>
      <c r="G475" s="1" t="s">
        <v>1726</v>
      </c>
      <c r="H475" s="1" t="str">
        <f t="shared" si="28"/>
        <v>Node [{#NAME}] Limits</v>
      </c>
      <c r="I475" s="1" t="str">
        <f t="shared" si="29"/>
        <v>总内存限制太高(超过90%的可分配内存)</v>
      </c>
      <c r="J475" s="1" t="str">
        <f t="shared" si="30"/>
        <v>Node [{#NAME}] Limits: 总内存限制太高(超过90%的可分配内存)</v>
      </c>
      <c r="K475" s="1" t="str">
        <f t="shared" si="31"/>
        <v>Total memory limits are too high (more than 90% of allocatable)</v>
      </c>
    </row>
    <row r="476" spans="1:11">
      <c r="A476" s="1">
        <v>1514</v>
      </c>
      <c r="B476" s="1" t="s">
        <v>9439</v>
      </c>
      <c r="C476" s="1" t="s">
        <v>9450</v>
      </c>
      <c r="D476" s="1" t="s">
        <v>1707</v>
      </c>
      <c r="E476" s="1" t="s">
        <v>9451</v>
      </c>
      <c r="F476" s="1" t="s">
        <v>1729</v>
      </c>
      <c r="G476" s="1" t="s">
        <v>1730</v>
      </c>
      <c r="H476" s="1" t="str">
        <f t="shared" si="28"/>
        <v>Node [{#NAME}] Limits</v>
      </c>
      <c r="I476" s="1" t="str">
        <f t="shared" si="29"/>
        <v>总内存限制太高(超过可分配的100%)</v>
      </c>
      <c r="J476" s="1" t="str">
        <f t="shared" si="30"/>
        <v>Node [{#NAME}] Limits: 总内存限制太高(超过可分配的100%)</v>
      </c>
      <c r="K476" s="1" t="str">
        <f t="shared" si="31"/>
        <v>Total memory limits are too high (more than 100% of allocatable)</v>
      </c>
    </row>
    <row r="477" spans="1:11">
      <c r="A477" s="1">
        <v>1515</v>
      </c>
      <c r="B477" s="1" t="s">
        <v>9439</v>
      </c>
      <c r="C477" s="1" t="s">
        <v>9452</v>
      </c>
      <c r="D477" s="1" t="s">
        <v>1707</v>
      </c>
      <c r="E477" s="1" t="s">
        <v>9453</v>
      </c>
      <c r="F477" s="1" t="s">
        <v>1733</v>
      </c>
      <c r="G477" s="1" t="s">
        <v>1734</v>
      </c>
      <c r="H477" s="1" t="str">
        <f t="shared" si="28"/>
        <v>Node [{#NAME}] Requests</v>
      </c>
      <c r="I477" s="1" t="str">
        <f t="shared" si="29"/>
        <v>总内存请求太高(超过可分配的50%)</v>
      </c>
      <c r="J477" s="1" t="str">
        <f t="shared" si="30"/>
        <v>Node [{#NAME}] Requests: 总内存请求太高(超过可分配的50%)</v>
      </c>
      <c r="K477" s="1" t="str">
        <f t="shared" si="31"/>
        <v>Total memory requests are too high (more than 50% of allocatable)</v>
      </c>
    </row>
    <row r="478" spans="1:11">
      <c r="A478" s="1">
        <v>1516</v>
      </c>
      <c r="B478" s="1" t="s">
        <v>9439</v>
      </c>
      <c r="C478" s="1" t="s">
        <v>9454</v>
      </c>
      <c r="D478" s="1" t="s">
        <v>1707</v>
      </c>
      <c r="E478" s="1" t="s">
        <v>9455</v>
      </c>
      <c r="F478" s="1" t="s">
        <v>1737</v>
      </c>
      <c r="G478" s="1" t="s">
        <v>1738</v>
      </c>
      <c r="H478" s="1" t="str">
        <f t="shared" si="28"/>
        <v>Node [{#NAME}] Requests</v>
      </c>
      <c r="I478" s="1" t="str">
        <f t="shared" si="29"/>
        <v>总内存请求太高(超过80%的可分配内存)</v>
      </c>
      <c r="J478" s="1" t="str">
        <f t="shared" si="30"/>
        <v>Node [{#NAME}] Requests: 总内存请求太高(超过80%的可分配内存)</v>
      </c>
      <c r="K478" s="1" t="str">
        <f t="shared" si="31"/>
        <v>Total memory requests are too high (more than 80% of allocatable)</v>
      </c>
    </row>
    <row r="479" spans="1:11">
      <c r="A479" s="1">
        <v>1517</v>
      </c>
      <c r="B479" s="1" t="s">
        <v>9439</v>
      </c>
      <c r="C479" s="1" t="s">
        <v>9456</v>
      </c>
      <c r="D479" s="1" t="s">
        <v>1707</v>
      </c>
      <c r="E479" s="1" t="s">
        <v>9457</v>
      </c>
      <c r="F479" s="1" t="s">
        <v>1741</v>
      </c>
      <c r="G479" s="1" t="s">
        <v>1742</v>
      </c>
      <c r="H479" s="1" t="str">
        <f t="shared" si="28"/>
        <v>Node [{#NAME}] Used</v>
      </c>
      <c r="I479" s="1" t="str">
        <f t="shared" si="29"/>
        <v>Kubelet太多pod(超过95%的容量)</v>
      </c>
      <c r="J479" s="1" t="str">
        <f t="shared" si="30"/>
        <v>Node [{#NAME}] Used: Kubelet太多pod(超过95%的容量)</v>
      </c>
      <c r="K479" s="1" t="str">
        <f t="shared" si="31"/>
        <v>Kubelet too many pods (more than 95% of capacity)</v>
      </c>
    </row>
    <row r="480" spans="1:11">
      <c r="A480" s="1">
        <v>1518</v>
      </c>
      <c r="B480" s="1" t="s">
        <v>9439</v>
      </c>
      <c r="C480" s="1" t="s">
        <v>9458</v>
      </c>
      <c r="D480" s="1" t="s">
        <v>1707</v>
      </c>
      <c r="E480" s="1" t="s">
        <v>9459</v>
      </c>
      <c r="F480" s="1" t="s">
        <v>1745</v>
      </c>
      <c r="G480" s="1" t="s">
        <v>1746</v>
      </c>
      <c r="H480" s="1" t="str">
        <f t="shared" si="28"/>
        <v>Node [{#NAME}] Conditions</v>
      </c>
      <c r="I480" s="1" t="str">
        <f t="shared" si="29"/>
        <v>磁盘大小存在压力(状态: {ITEM.VALUE})</v>
      </c>
      <c r="J480" s="1" t="str">
        <f t="shared" si="30"/>
        <v>Node [{#NAME}] Conditions: 磁盘大小存在压力(状态: {ITEM.VALUE})</v>
      </c>
      <c r="K480" s="1" t="str">
        <f t="shared" si="31"/>
        <v>Pressure exists on the disk size (state: {ITEM.VALUE})</v>
      </c>
    </row>
    <row r="481" spans="1:11">
      <c r="A481" s="1">
        <v>1519</v>
      </c>
      <c r="B481" s="1" t="s">
        <v>9439</v>
      </c>
      <c r="C481" s="1" t="s">
        <v>9460</v>
      </c>
      <c r="D481" s="1" t="s">
        <v>1707</v>
      </c>
      <c r="E481" s="1" t="s">
        <v>9461</v>
      </c>
      <c r="F481" s="1" t="s">
        <v>1749</v>
      </c>
      <c r="G481" s="1" t="s">
        <v>1750</v>
      </c>
      <c r="H481" s="1" t="str">
        <f t="shared" si="28"/>
        <v>Node [{#NAME}] Conditions</v>
      </c>
      <c r="I481" s="1" t="str">
        <f t="shared" si="29"/>
        <v>节点内存存在压力(状态: {ITEM.VALUE})</v>
      </c>
      <c r="J481" s="1" t="str">
        <f t="shared" si="30"/>
        <v>Node [{#NAME}] Conditions: 节点内存存在压力(状态: {ITEM.VALUE})</v>
      </c>
      <c r="K481" s="1" t="str">
        <f t="shared" si="31"/>
        <v>Pressure exists on the node memory (state: {ITEM.VALUE})</v>
      </c>
    </row>
    <row r="482" spans="1:11">
      <c r="A482" s="1">
        <v>1520</v>
      </c>
      <c r="B482" s="1" t="s">
        <v>9439</v>
      </c>
      <c r="C482" s="1" t="s">
        <v>9462</v>
      </c>
      <c r="D482" s="1" t="s">
        <v>1707</v>
      </c>
      <c r="E482" s="1" t="s">
        <v>9463</v>
      </c>
      <c r="F482" s="1" t="s">
        <v>1753</v>
      </c>
      <c r="G482" s="1" t="s">
        <v>1754</v>
      </c>
      <c r="H482" s="1" t="str">
        <f t="shared" si="28"/>
        <v>Node [{#NAME}] Conditions</v>
      </c>
      <c r="I482" s="1" t="str">
        <f t="shared" si="29"/>
        <v>网络配置不正确(状态: {ITEM.VALUE})</v>
      </c>
      <c r="J482" s="1" t="str">
        <f t="shared" si="30"/>
        <v>Node [{#NAME}] Conditions: 网络配置不正确(状态: {ITEM.VALUE})</v>
      </c>
      <c r="K482" s="1" t="str">
        <f t="shared" si="31"/>
        <v>Network is not correctly configured (state: {ITEM.VALUE})</v>
      </c>
    </row>
    <row r="483" spans="1:11">
      <c r="A483" s="1">
        <v>1521</v>
      </c>
      <c r="B483" s="1" t="s">
        <v>9439</v>
      </c>
      <c r="C483" s="1" t="s">
        <v>9464</v>
      </c>
      <c r="D483" s="1" t="s">
        <v>1707</v>
      </c>
      <c r="E483" s="1" t="s">
        <v>9465</v>
      </c>
      <c r="F483" s="1" t="s">
        <v>1757</v>
      </c>
      <c r="G483" s="1" t="s">
        <v>1758</v>
      </c>
      <c r="H483" s="1" t="str">
        <f t="shared" si="28"/>
        <v>Node [{#NAME}] Conditions</v>
      </c>
      <c r="I483" s="1" t="str">
        <f t="shared" si="29"/>
        <v>进程存在压力(状态: {ITEM.VALUE})</v>
      </c>
      <c r="J483" s="1" t="str">
        <f t="shared" si="30"/>
        <v>Node [{#NAME}] Conditions: 进程存在压力(状态: {ITEM.VALUE})</v>
      </c>
      <c r="K483" s="1" t="str">
        <f t="shared" si="31"/>
        <v>Pressure exists on the processes (state: {ITEM.VALUE})</v>
      </c>
    </row>
    <row r="484" spans="1:11">
      <c r="A484" s="1">
        <v>1522</v>
      </c>
      <c r="B484" s="1" t="s">
        <v>9439</v>
      </c>
      <c r="C484" s="1" t="s">
        <v>9466</v>
      </c>
      <c r="D484" s="1" t="s">
        <v>1707</v>
      </c>
      <c r="E484" s="1" t="s">
        <v>9467</v>
      </c>
      <c r="F484" s="1" t="s">
        <v>1761</v>
      </c>
      <c r="G484" s="1" t="s">
        <v>1762</v>
      </c>
      <c r="H484" s="1" t="str">
        <f t="shared" si="28"/>
        <v>Node [{#NAME}] Conditions</v>
      </c>
      <c r="I484" s="1" t="str">
        <f t="shared" si="29"/>
        <v>未处于就绪状态(状态: {ITEM.VALUE})</v>
      </c>
      <c r="J484" s="1" t="str">
        <f t="shared" si="30"/>
        <v>Node [{#NAME}] Conditions: 未处于就绪状态(状态: {ITEM.VALUE})</v>
      </c>
      <c r="K484" s="1" t="str">
        <f t="shared" si="31"/>
        <v>Is not in Ready state (state: {ITEM.VALUE})</v>
      </c>
    </row>
    <row r="485" spans="1:11">
      <c r="A485" s="1">
        <v>1523</v>
      </c>
      <c r="B485" s="1" t="s">
        <v>9439</v>
      </c>
      <c r="C485" s="1" t="s">
        <v>9468</v>
      </c>
      <c r="D485" s="1" t="s">
        <v>1707</v>
      </c>
      <c r="E485" s="1" t="s">
        <v>4999</v>
      </c>
      <c r="F485" s="1" t="s">
        <v>1765</v>
      </c>
      <c r="G485" s="1" t="s">
        <v>1766</v>
      </c>
      <c r="H485" s="1" t="str">
        <f t="shared" si="28"/>
        <v/>
      </c>
      <c r="I485" s="1" t="str">
        <f t="shared" si="29"/>
        <v/>
      </c>
      <c r="J485" s="1" t="str">
        <f t="shared" si="30"/>
        <v>节点[{#NAME}]: 已重启(正常运行时间&lt;10分钟)</v>
      </c>
      <c r="K485" s="1" t="str">
        <f t="shared" si="31"/>
        <v/>
      </c>
    </row>
    <row r="486" spans="1:11">
      <c r="A486" s="1">
        <v>1526</v>
      </c>
      <c r="B486" s="1" t="s">
        <v>9469</v>
      </c>
      <c r="C486" s="1" t="s">
        <v>9294</v>
      </c>
      <c r="D486" s="1" t="s">
        <v>1781</v>
      </c>
      <c r="E486" s="1" t="s">
        <v>1782</v>
      </c>
      <c r="F486" s="1" t="s">
        <v>161</v>
      </c>
      <c r="G486" s="1" t="s">
        <v>162</v>
      </c>
      <c r="H486" s="1" t="str">
        <f t="shared" si="28"/>
        <v/>
      </c>
      <c r="I486" s="1" t="str">
        <f t="shared" si="29"/>
        <v/>
      </c>
      <c r="J486" s="1" t="str">
        <f t="shared" si="30"/>
        <v>接口{#IFNAME}({#IFALIAS}): 带宽使用率太高(&gt;{$IF.UTIL.MAX: "{#IFNAME}"}%)</v>
      </c>
      <c r="K486" s="1" t="str">
        <f t="shared" si="31"/>
        <v/>
      </c>
    </row>
    <row r="487" spans="1:11">
      <c r="A487" s="1">
        <v>1527</v>
      </c>
      <c r="B487" s="1" t="s">
        <v>9469</v>
      </c>
      <c r="C487" s="1" t="s">
        <v>9295</v>
      </c>
      <c r="D487" s="1" t="s">
        <v>1781</v>
      </c>
      <c r="E487" s="1" t="s">
        <v>1784</v>
      </c>
      <c r="F487" s="1" t="s">
        <v>165</v>
      </c>
      <c r="G487" s="1" t="s">
        <v>166</v>
      </c>
      <c r="H487" s="1" t="str">
        <f t="shared" si="28"/>
        <v/>
      </c>
      <c r="I487" s="1" t="str">
        <f t="shared" si="29"/>
        <v/>
      </c>
      <c r="J487" s="1" t="str">
        <f t="shared" si="30"/>
        <v>接口{#IFNAME}({#IFALIAS}): 错误率太高(&gt;{$IF.ERRORS.WARN: "{#IFNAME}"}达5分钟)</v>
      </c>
      <c r="K487" s="1" t="str">
        <f t="shared" si="31"/>
        <v/>
      </c>
    </row>
    <row r="488" spans="1:11">
      <c r="A488" s="1">
        <v>1531</v>
      </c>
      <c r="B488" s="1" t="s">
        <v>9469</v>
      </c>
      <c r="C488" s="1" t="s">
        <v>9331</v>
      </c>
      <c r="D488" s="1" t="s">
        <v>1781</v>
      </c>
      <c r="E488" s="1" t="s">
        <v>1786</v>
      </c>
      <c r="F488" s="1" t="s">
        <v>1775</v>
      </c>
      <c r="G488" s="1" t="s">
        <v>1776</v>
      </c>
      <c r="H488" s="1" t="str">
        <f t="shared" si="28"/>
        <v/>
      </c>
      <c r="I488" s="1" t="str">
        <f t="shared" si="29"/>
        <v/>
      </c>
      <c r="J488" s="1" t="str">
        <f t="shared" si="30"/>
        <v>{#DEVNAME}: 磁盘读/写请求响应太高(读取&gt;{$VFS.DEV.READ.AWAIT.WARN: "{#DEVNAME}"}毫秒15分钟或写入&gt;{$VFS.DEV.WRITE.AWAIT.WARN: "{#DEVNAME}"}毫秒达15分钟)</v>
      </c>
      <c r="K488" s="1" t="str">
        <f t="shared" si="31"/>
        <v/>
      </c>
    </row>
    <row r="489" spans="1:11">
      <c r="A489" s="1">
        <v>1532</v>
      </c>
      <c r="B489" s="1" t="s">
        <v>9469</v>
      </c>
      <c r="C489" s="1" t="s">
        <v>9332</v>
      </c>
      <c r="D489" s="1" t="s">
        <v>1781</v>
      </c>
      <c r="E489" s="1" t="s">
        <v>1788</v>
      </c>
      <c r="F489" s="1" t="s">
        <v>1789</v>
      </c>
      <c r="G489" s="1" t="s">
        <v>1790</v>
      </c>
      <c r="H489" s="1" t="str">
        <f t="shared" si="28"/>
        <v/>
      </c>
      <c r="I489" s="1" t="str">
        <f t="shared" si="29"/>
        <v/>
      </c>
      <c r="J489" s="1" t="str">
        <f t="shared" si="30"/>
        <v>{#FSNAME}: 可用inode耗尽(可用&lt;{$VFS.FS.INODE.PFREE.MIN.CRIT: "{#FSNAME}"}%)</v>
      </c>
      <c r="K489" s="1" t="str">
        <f t="shared" si="31"/>
        <v/>
      </c>
    </row>
    <row r="490" spans="1:11">
      <c r="A490" s="1">
        <v>1533</v>
      </c>
      <c r="B490" s="1" t="s">
        <v>9469</v>
      </c>
      <c r="C490" s="1" t="s">
        <v>9297</v>
      </c>
      <c r="D490" s="1" t="s">
        <v>1781</v>
      </c>
      <c r="E490" s="1" t="s">
        <v>1792</v>
      </c>
      <c r="F490" s="1" t="s">
        <v>1793</v>
      </c>
      <c r="G490" s="1" t="s">
        <v>1794</v>
      </c>
      <c r="H490" s="1" t="str">
        <f t="shared" si="28"/>
        <v/>
      </c>
      <c r="I490" s="1" t="str">
        <f t="shared" si="29"/>
        <v/>
      </c>
      <c r="J490" s="1" t="str">
        <f t="shared" si="30"/>
        <v>{#FSNAME}: 可用inode耗尽(可用&lt;{$VFS.FS.INODE.PFREE.MIN.WARN: "{#FSNAME}"}%)</v>
      </c>
      <c r="K490" s="1" t="str">
        <f t="shared" si="31"/>
        <v/>
      </c>
    </row>
    <row r="491" spans="1:11">
      <c r="A491" s="1">
        <v>1534</v>
      </c>
      <c r="B491" s="1" t="s">
        <v>9469</v>
      </c>
      <c r="C491" s="1" t="s">
        <v>9298</v>
      </c>
      <c r="D491" s="1" t="s">
        <v>1781</v>
      </c>
      <c r="E491" s="1" t="s">
        <v>1796</v>
      </c>
      <c r="F491" s="1" t="s">
        <v>297</v>
      </c>
      <c r="G491" s="1" t="s">
        <v>298</v>
      </c>
      <c r="H491" s="1" t="str">
        <f t="shared" si="28"/>
        <v/>
      </c>
      <c r="I491" s="1" t="str">
        <f t="shared" si="29"/>
        <v/>
      </c>
      <c r="J491" s="1" t="str">
        <f t="shared" si="30"/>
        <v>{#FSNAME}: 磁盘空间严重不足(已使用率&gt;{$VFS.FS.PUSED.MAX.CRIT: "{#FSNAME}"}%)</v>
      </c>
      <c r="K491" s="1" t="str">
        <f t="shared" si="31"/>
        <v/>
      </c>
    </row>
    <row r="492" spans="1:11">
      <c r="A492" s="1">
        <v>1535</v>
      </c>
      <c r="B492" s="1" t="s">
        <v>9469</v>
      </c>
      <c r="C492" s="1" t="s">
        <v>9299</v>
      </c>
      <c r="D492" s="1" t="s">
        <v>1781</v>
      </c>
      <c r="E492" s="1" t="s">
        <v>1798</v>
      </c>
      <c r="F492" s="1" t="s">
        <v>301</v>
      </c>
      <c r="G492" s="1" t="s">
        <v>302</v>
      </c>
      <c r="H492" s="1" t="str">
        <f t="shared" si="28"/>
        <v/>
      </c>
      <c r="I492" s="1" t="str">
        <f t="shared" si="29"/>
        <v/>
      </c>
      <c r="J492" s="1" t="str">
        <f t="shared" si="30"/>
        <v>{#FSNAME}: 磁盘空间不足(已使用率&gt;{$VFS.FS.PUSED.MAX.WARN: "{#FSNAME}"}%)</v>
      </c>
      <c r="K492" s="1" t="str">
        <f t="shared" si="31"/>
        <v/>
      </c>
    </row>
    <row r="493" spans="1:11">
      <c r="A493" s="1">
        <v>1536</v>
      </c>
      <c r="B493" s="1" t="s">
        <v>9470</v>
      </c>
      <c r="C493" s="1" t="s">
        <v>9294</v>
      </c>
      <c r="D493" s="1" t="s">
        <v>1800</v>
      </c>
      <c r="E493" s="1" t="s">
        <v>1801</v>
      </c>
      <c r="F493" s="1" t="s">
        <v>161</v>
      </c>
      <c r="G493" s="1" t="s">
        <v>162</v>
      </c>
      <c r="H493" s="1" t="str">
        <f t="shared" si="28"/>
        <v/>
      </c>
      <c r="I493" s="1" t="str">
        <f t="shared" si="29"/>
        <v/>
      </c>
      <c r="J493" s="1" t="str">
        <f t="shared" si="30"/>
        <v>接口{#IFNAME}({#IFALIAS}): 带宽使用率太高(&gt;{$IF.UTIL.MAX: "{#IFNAME}"}%)</v>
      </c>
      <c r="K493" s="1" t="str">
        <f t="shared" si="31"/>
        <v/>
      </c>
    </row>
    <row r="494" spans="1:11">
      <c r="A494" s="1">
        <v>1538</v>
      </c>
      <c r="B494" s="1" t="s">
        <v>9470</v>
      </c>
      <c r="C494" s="1" t="s">
        <v>9329</v>
      </c>
      <c r="D494" s="1" t="s">
        <v>1800</v>
      </c>
      <c r="E494" s="1" t="s">
        <v>1803</v>
      </c>
      <c r="F494" s="1" t="s">
        <v>165</v>
      </c>
      <c r="G494" s="1" t="s">
        <v>166</v>
      </c>
      <c r="H494" s="1" t="str">
        <f t="shared" si="28"/>
        <v/>
      </c>
      <c r="I494" s="1" t="str">
        <f t="shared" si="29"/>
        <v/>
      </c>
      <c r="J494" s="1" t="str">
        <f t="shared" si="30"/>
        <v>接口{#IFNAME}({#IFALIAS}): 错误率太高(&gt;{$IF.ERRORS.WARN: "{#IFNAME}"}达5分钟)</v>
      </c>
      <c r="K494" s="1" t="str">
        <f t="shared" si="31"/>
        <v/>
      </c>
    </row>
    <row r="495" spans="1:11">
      <c r="A495" s="1">
        <v>1541</v>
      </c>
      <c r="B495" s="1" t="s">
        <v>9470</v>
      </c>
      <c r="C495" s="1" t="s">
        <v>9331</v>
      </c>
      <c r="D495" s="1" t="s">
        <v>1800</v>
      </c>
      <c r="E495" s="1" t="s">
        <v>1805</v>
      </c>
      <c r="F495" s="1" t="s">
        <v>1770</v>
      </c>
      <c r="G495" s="1" t="s">
        <v>1771</v>
      </c>
      <c r="H495" s="1" t="str">
        <f t="shared" si="28"/>
        <v>Linux</v>
      </c>
      <c r="I495" s="1" t="str">
        <f t="shared" si="29"/>
        <v>高CPU利用率(超过{$CPU.UTIL.CRIT}%达5分钟)</v>
      </c>
      <c r="J495" s="1" t="str">
        <f t="shared" si="30"/>
        <v>Linux: 高CPU利用率(超过{$CPU.UTIL.CRIT}%达5分钟)</v>
      </c>
      <c r="K495" s="1" t="str">
        <f t="shared" si="31"/>
        <v>High CPU utilization (over {$CPU.UTIL.CRIT}% for 5m)</v>
      </c>
    </row>
    <row r="496" spans="1:11">
      <c r="A496" s="1">
        <v>1542</v>
      </c>
      <c r="B496" s="1" t="s">
        <v>9470</v>
      </c>
      <c r="C496" s="1" t="s">
        <v>9332</v>
      </c>
      <c r="D496" s="1" t="s">
        <v>1800</v>
      </c>
      <c r="E496" s="1" t="s">
        <v>1807</v>
      </c>
      <c r="F496" s="1" t="s">
        <v>1789</v>
      </c>
      <c r="G496" s="1" t="s">
        <v>1790</v>
      </c>
      <c r="H496" s="1" t="str">
        <f t="shared" si="28"/>
        <v/>
      </c>
      <c r="I496" s="1" t="str">
        <f t="shared" si="29"/>
        <v/>
      </c>
      <c r="J496" s="1" t="str">
        <f t="shared" si="30"/>
        <v>{#FSNAME}: 可用inode耗尽(可用&lt;{$VFS.FS.INODE.PFREE.MIN.CRIT: "{#FSNAME}"}%)</v>
      </c>
      <c r="K496" s="1" t="str">
        <f t="shared" si="31"/>
        <v/>
      </c>
    </row>
    <row r="497" spans="1:11">
      <c r="A497" s="1">
        <v>1543</v>
      </c>
      <c r="B497" s="1" t="s">
        <v>9470</v>
      </c>
      <c r="C497" s="1" t="s">
        <v>9297</v>
      </c>
      <c r="D497" s="1" t="s">
        <v>1800</v>
      </c>
      <c r="E497" s="1" t="s">
        <v>1809</v>
      </c>
      <c r="F497" s="1" t="s">
        <v>1793</v>
      </c>
      <c r="G497" s="1" t="s">
        <v>1794</v>
      </c>
      <c r="H497" s="1" t="str">
        <f t="shared" si="28"/>
        <v/>
      </c>
      <c r="I497" s="1" t="str">
        <f t="shared" si="29"/>
        <v/>
      </c>
      <c r="J497" s="1" t="str">
        <f t="shared" si="30"/>
        <v>{#FSNAME}: 可用inode耗尽(可用&lt;{$VFS.FS.INODE.PFREE.MIN.WARN: "{#FSNAME}"}%)</v>
      </c>
      <c r="K497" s="1" t="str">
        <f t="shared" si="31"/>
        <v/>
      </c>
    </row>
    <row r="498" spans="1:11">
      <c r="A498" s="1">
        <v>1544</v>
      </c>
      <c r="B498" s="1" t="s">
        <v>9470</v>
      </c>
      <c r="C498" s="1" t="s">
        <v>9298</v>
      </c>
      <c r="D498" s="1" t="s">
        <v>1800</v>
      </c>
      <c r="E498" s="1" t="s">
        <v>1811</v>
      </c>
      <c r="F498" s="1" t="s">
        <v>297</v>
      </c>
      <c r="G498" s="1" t="s">
        <v>298</v>
      </c>
      <c r="H498" s="1" t="str">
        <f t="shared" si="28"/>
        <v/>
      </c>
      <c r="I498" s="1" t="str">
        <f t="shared" si="29"/>
        <v/>
      </c>
      <c r="J498" s="1" t="str">
        <f t="shared" si="30"/>
        <v>{#FSNAME}: 磁盘空间严重不足(已使用率&gt;{$VFS.FS.PUSED.MAX.CRIT: "{#FSNAME}"}%)</v>
      </c>
      <c r="K498" s="1" t="str">
        <f t="shared" si="31"/>
        <v/>
      </c>
    </row>
    <row r="499" spans="1:11">
      <c r="A499" s="1">
        <v>1545</v>
      </c>
      <c r="B499" s="1" t="s">
        <v>9470</v>
      </c>
      <c r="C499" s="1" t="s">
        <v>9299</v>
      </c>
      <c r="D499" s="1" t="s">
        <v>1800</v>
      </c>
      <c r="E499" s="1" t="s">
        <v>1813</v>
      </c>
      <c r="F499" s="1" t="s">
        <v>301</v>
      </c>
      <c r="G499" s="1" t="s">
        <v>302</v>
      </c>
      <c r="H499" s="1" t="str">
        <f t="shared" si="28"/>
        <v/>
      </c>
      <c r="I499" s="1" t="str">
        <f t="shared" si="29"/>
        <v/>
      </c>
      <c r="J499" s="1" t="str">
        <f t="shared" si="30"/>
        <v>{#FSNAME}: 磁盘空间不足(已使用率&gt;{$VFS.FS.PUSED.MAX.WARN: "{#FSNAME}"}%)</v>
      </c>
      <c r="K499" s="1" t="str">
        <f t="shared" si="31"/>
        <v/>
      </c>
    </row>
    <row r="500" spans="1:11">
      <c r="A500" s="1">
        <v>1546</v>
      </c>
      <c r="B500" s="1" t="s">
        <v>9471</v>
      </c>
      <c r="C500" s="1" t="s">
        <v>9294</v>
      </c>
      <c r="D500" s="1" t="s">
        <v>1815</v>
      </c>
      <c r="E500" s="1" t="s">
        <v>1816</v>
      </c>
      <c r="F500" s="1" t="s">
        <v>1817</v>
      </c>
      <c r="G500" s="1" t="s">
        <v>1818</v>
      </c>
      <c r="H500" s="1" t="str">
        <f t="shared" si="28"/>
        <v/>
      </c>
      <c r="I500" s="1" t="str">
        <f t="shared" si="29"/>
        <v/>
      </c>
      <c r="J500" s="1" t="str">
        <f t="shared" si="30"/>
        <v>接口{#IFNAME}: 带宽使用率高了(&gt;{$IF.UTIL.MAX: "{#IFNAME}"}%)</v>
      </c>
      <c r="K500" s="1" t="str">
        <f t="shared" si="31"/>
        <v/>
      </c>
    </row>
    <row r="501" spans="1:11">
      <c r="A501" s="1">
        <v>1547</v>
      </c>
      <c r="B501" s="1" t="s">
        <v>9471</v>
      </c>
      <c r="C501" s="1" t="s">
        <v>9295</v>
      </c>
      <c r="D501" s="1" t="s">
        <v>1815</v>
      </c>
      <c r="E501" s="1" t="s">
        <v>1820</v>
      </c>
      <c r="F501" s="1" t="s">
        <v>1821</v>
      </c>
      <c r="G501" s="1" t="s">
        <v>1822</v>
      </c>
      <c r="H501" s="1" t="str">
        <f t="shared" si="28"/>
        <v/>
      </c>
      <c r="I501" s="1" t="str">
        <f t="shared" si="29"/>
        <v/>
      </c>
      <c r="J501" s="1" t="str">
        <f t="shared" si="30"/>
        <v>接口{#IFNAME}: 错误率高了(&gt;{$IF.ERRORS.WARN: "{#IFNAME}"}达5分钟)</v>
      </c>
      <c r="K501" s="1" t="str">
        <f t="shared" si="31"/>
        <v/>
      </c>
    </row>
    <row r="502" spans="1:11">
      <c r="A502" s="1">
        <v>1550</v>
      </c>
      <c r="B502" s="1" t="s">
        <v>9471</v>
      </c>
      <c r="C502" s="1" t="s">
        <v>9296</v>
      </c>
      <c r="D502" s="1" t="s">
        <v>1815</v>
      </c>
      <c r="E502" s="1" t="s">
        <v>1824</v>
      </c>
      <c r="F502" s="1" t="s">
        <v>1775</v>
      </c>
      <c r="G502" s="1" t="s">
        <v>1776</v>
      </c>
      <c r="H502" s="1" t="str">
        <f t="shared" si="28"/>
        <v/>
      </c>
      <c r="I502" s="1" t="str">
        <f t="shared" si="29"/>
        <v/>
      </c>
      <c r="J502" s="1" t="str">
        <f t="shared" si="30"/>
        <v>{#DEVNAME}: 磁盘读/写请求响应太高(读取&gt;{$VFS.DEV.READ.AWAIT.WARN: "{#DEVNAME}"}毫秒15分钟或写入&gt;{$VFS.DEV.WRITE.AWAIT.WARN: "{#DEVNAME}"}毫秒达15分钟)</v>
      </c>
      <c r="K502" s="1" t="str">
        <f t="shared" si="31"/>
        <v/>
      </c>
    </row>
    <row r="503" spans="1:11">
      <c r="A503" s="1">
        <v>1552</v>
      </c>
      <c r="B503" s="1" t="s">
        <v>9471</v>
      </c>
      <c r="C503" s="1" t="s">
        <v>9332</v>
      </c>
      <c r="D503" s="1" t="s">
        <v>1815</v>
      </c>
      <c r="E503" s="1" t="s">
        <v>1826</v>
      </c>
      <c r="F503" s="1" t="s">
        <v>1789</v>
      </c>
      <c r="G503" s="1" t="s">
        <v>1790</v>
      </c>
      <c r="H503" s="1" t="str">
        <f t="shared" si="28"/>
        <v/>
      </c>
      <c r="I503" s="1" t="str">
        <f t="shared" si="29"/>
        <v/>
      </c>
      <c r="J503" s="1" t="str">
        <f t="shared" si="30"/>
        <v>{#FSNAME}: 可用inode耗尽(可用&lt;{$VFS.FS.INODE.PFREE.MIN.CRIT: "{#FSNAME}"}%)</v>
      </c>
      <c r="K503" s="1" t="str">
        <f t="shared" si="31"/>
        <v/>
      </c>
    </row>
    <row r="504" spans="1:11">
      <c r="A504" s="1">
        <v>1553</v>
      </c>
      <c r="B504" s="1" t="s">
        <v>9471</v>
      </c>
      <c r="C504" s="1" t="s">
        <v>9297</v>
      </c>
      <c r="D504" s="1" t="s">
        <v>1815</v>
      </c>
      <c r="E504" s="1" t="s">
        <v>1828</v>
      </c>
      <c r="F504" s="1" t="s">
        <v>1793</v>
      </c>
      <c r="G504" s="1" t="s">
        <v>1794</v>
      </c>
      <c r="H504" s="1" t="str">
        <f t="shared" si="28"/>
        <v/>
      </c>
      <c r="I504" s="1" t="str">
        <f t="shared" si="29"/>
        <v/>
      </c>
      <c r="J504" s="1" t="str">
        <f t="shared" si="30"/>
        <v>{#FSNAME}: 可用inode耗尽(可用&lt;{$VFS.FS.INODE.PFREE.MIN.WARN: "{#FSNAME}"}%)</v>
      </c>
      <c r="K504" s="1" t="str">
        <f t="shared" si="31"/>
        <v/>
      </c>
    </row>
    <row r="505" spans="1:11">
      <c r="A505" s="1">
        <v>1554</v>
      </c>
      <c r="B505" s="1" t="s">
        <v>9471</v>
      </c>
      <c r="C505" s="1" t="s">
        <v>9298</v>
      </c>
      <c r="D505" s="1" t="s">
        <v>1815</v>
      </c>
      <c r="E505" s="1" t="s">
        <v>1830</v>
      </c>
      <c r="F505" s="1" t="s">
        <v>297</v>
      </c>
      <c r="G505" s="1" t="s">
        <v>298</v>
      </c>
      <c r="H505" s="1" t="str">
        <f t="shared" si="28"/>
        <v/>
      </c>
      <c r="I505" s="1" t="str">
        <f t="shared" si="29"/>
        <v/>
      </c>
      <c r="J505" s="1" t="str">
        <f t="shared" si="30"/>
        <v>{#FSNAME}: 磁盘空间严重不足(已使用率&gt;{$VFS.FS.PUSED.MAX.CRIT: "{#FSNAME}"}%)</v>
      </c>
      <c r="K505" s="1" t="str">
        <f t="shared" si="31"/>
        <v/>
      </c>
    </row>
    <row r="506" spans="1:11">
      <c r="A506" s="1">
        <v>1555</v>
      </c>
      <c r="B506" s="1" t="s">
        <v>9471</v>
      </c>
      <c r="C506" s="1" t="s">
        <v>9299</v>
      </c>
      <c r="D506" s="1" t="s">
        <v>1815</v>
      </c>
      <c r="E506" s="1" t="s">
        <v>1832</v>
      </c>
      <c r="F506" s="1" t="s">
        <v>301</v>
      </c>
      <c r="G506" s="1" t="s">
        <v>302</v>
      </c>
      <c r="H506" s="1" t="str">
        <f t="shared" si="28"/>
        <v/>
      </c>
      <c r="I506" s="1" t="str">
        <f t="shared" si="29"/>
        <v/>
      </c>
      <c r="J506" s="1" t="str">
        <f t="shared" si="30"/>
        <v>{#FSNAME}: 磁盘空间不足(已使用率&gt;{$VFS.FS.PUSED.MAX.WARN: "{#FSNAME}"}%)</v>
      </c>
      <c r="K506" s="1" t="str">
        <f t="shared" si="31"/>
        <v/>
      </c>
    </row>
    <row r="507" spans="1:11">
      <c r="A507" s="1">
        <v>1556</v>
      </c>
      <c r="B507" s="1" t="s">
        <v>9472</v>
      </c>
      <c r="C507" s="1" t="s">
        <v>9294</v>
      </c>
      <c r="D507" s="1" t="s">
        <v>1834</v>
      </c>
      <c r="E507" s="1" t="s">
        <v>1835</v>
      </c>
      <c r="F507" s="1" t="s">
        <v>1817</v>
      </c>
      <c r="G507" s="1" t="s">
        <v>1818</v>
      </c>
      <c r="H507" s="1" t="str">
        <f t="shared" si="28"/>
        <v/>
      </c>
      <c r="I507" s="1" t="str">
        <f t="shared" si="29"/>
        <v/>
      </c>
      <c r="J507" s="1" t="str">
        <f t="shared" si="30"/>
        <v>接口{#IFNAME}: 带宽使用率高了(&gt;{$IF.UTIL.MAX: "{#IFNAME}"}%)</v>
      </c>
      <c r="K507" s="1" t="str">
        <f t="shared" si="31"/>
        <v/>
      </c>
    </row>
    <row r="508" spans="1:11">
      <c r="A508" s="1">
        <v>1557</v>
      </c>
      <c r="B508" s="1" t="s">
        <v>9472</v>
      </c>
      <c r="C508" s="1" t="s">
        <v>9295</v>
      </c>
      <c r="D508" s="1" t="s">
        <v>1834</v>
      </c>
      <c r="E508" s="1" t="s">
        <v>1837</v>
      </c>
      <c r="F508" s="1" t="s">
        <v>1821</v>
      </c>
      <c r="G508" s="1" t="s">
        <v>1822</v>
      </c>
      <c r="H508" s="1" t="str">
        <f t="shared" si="28"/>
        <v/>
      </c>
      <c r="I508" s="1" t="str">
        <f t="shared" si="29"/>
        <v/>
      </c>
      <c r="J508" s="1" t="str">
        <f t="shared" si="30"/>
        <v>接口{#IFNAME}: 错误率高了(&gt;{$IF.ERRORS.WARN: "{#IFNAME}"}达5分钟)</v>
      </c>
      <c r="K508" s="1" t="str">
        <f t="shared" si="31"/>
        <v/>
      </c>
    </row>
    <row r="509" spans="1:11">
      <c r="A509" s="1">
        <v>1560</v>
      </c>
      <c r="B509" s="1" t="s">
        <v>9472</v>
      </c>
      <c r="C509" s="1" t="s">
        <v>9296</v>
      </c>
      <c r="D509" s="1" t="s">
        <v>1834</v>
      </c>
      <c r="E509" s="1" t="s">
        <v>1839</v>
      </c>
      <c r="F509" s="1" t="s">
        <v>1775</v>
      </c>
      <c r="G509" s="1" t="s">
        <v>1776</v>
      </c>
      <c r="H509" s="1" t="str">
        <f t="shared" si="28"/>
        <v/>
      </c>
      <c r="I509" s="1" t="str">
        <f t="shared" si="29"/>
        <v/>
      </c>
      <c r="J509" s="1" t="str">
        <f t="shared" si="30"/>
        <v>{#DEVNAME}: 磁盘读/写请求响应太高(读取&gt;{$VFS.DEV.READ.AWAIT.WARN: "{#DEVNAME}"}毫秒15分钟或写入&gt;{$VFS.DEV.WRITE.AWAIT.WARN: "{#DEVNAME}"}毫秒达15分钟)</v>
      </c>
      <c r="K509" s="1" t="str">
        <f t="shared" si="31"/>
        <v/>
      </c>
    </row>
    <row r="510" spans="1:11">
      <c r="A510" s="1">
        <v>1562</v>
      </c>
      <c r="B510" s="1" t="s">
        <v>9472</v>
      </c>
      <c r="C510" s="1" t="s">
        <v>9332</v>
      </c>
      <c r="D510" s="1" t="s">
        <v>1834</v>
      </c>
      <c r="E510" s="1" t="s">
        <v>1841</v>
      </c>
      <c r="F510" s="1" t="s">
        <v>1789</v>
      </c>
      <c r="G510" s="1" t="s">
        <v>1790</v>
      </c>
      <c r="H510" s="1" t="str">
        <f t="shared" si="28"/>
        <v/>
      </c>
      <c r="I510" s="1" t="str">
        <f t="shared" si="29"/>
        <v/>
      </c>
      <c r="J510" s="1" t="str">
        <f t="shared" si="30"/>
        <v>{#FSNAME}: 可用inode耗尽(可用&lt;{$VFS.FS.INODE.PFREE.MIN.CRIT: "{#FSNAME}"}%)</v>
      </c>
      <c r="K510" s="1" t="str">
        <f t="shared" si="31"/>
        <v/>
      </c>
    </row>
    <row r="511" spans="1:11">
      <c r="A511" s="1">
        <v>1563</v>
      </c>
      <c r="B511" s="1" t="s">
        <v>9472</v>
      </c>
      <c r="C511" s="1" t="s">
        <v>9297</v>
      </c>
      <c r="D511" s="1" t="s">
        <v>1834</v>
      </c>
      <c r="E511" s="1" t="s">
        <v>1843</v>
      </c>
      <c r="F511" s="1" t="s">
        <v>1793</v>
      </c>
      <c r="G511" s="1" t="s">
        <v>1794</v>
      </c>
      <c r="H511" s="1" t="str">
        <f t="shared" si="28"/>
        <v/>
      </c>
      <c r="I511" s="1" t="str">
        <f t="shared" si="29"/>
        <v/>
      </c>
      <c r="J511" s="1" t="str">
        <f t="shared" si="30"/>
        <v>{#FSNAME}: 可用inode耗尽(可用&lt;{$VFS.FS.INODE.PFREE.MIN.WARN: "{#FSNAME}"}%)</v>
      </c>
      <c r="K511" s="1" t="str">
        <f t="shared" si="31"/>
        <v/>
      </c>
    </row>
    <row r="512" spans="1:11">
      <c r="A512" s="1">
        <v>1564</v>
      </c>
      <c r="B512" s="1" t="s">
        <v>9472</v>
      </c>
      <c r="C512" s="1" t="s">
        <v>9298</v>
      </c>
      <c r="D512" s="1" t="s">
        <v>1834</v>
      </c>
      <c r="E512" s="1" t="s">
        <v>1845</v>
      </c>
      <c r="F512" s="1" t="s">
        <v>297</v>
      </c>
      <c r="G512" s="1" t="s">
        <v>298</v>
      </c>
      <c r="H512" s="1" t="str">
        <f t="shared" si="28"/>
        <v/>
      </c>
      <c r="I512" s="1" t="str">
        <f t="shared" si="29"/>
        <v/>
      </c>
      <c r="J512" s="1" t="str">
        <f t="shared" si="30"/>
        <v>{#FSNAME}: 磁盘空间严重不足(已使用率&gt;{$VFS.FS.PUSED.MAX.CRIT: "{#FSNAME}"}%)</v>
      </c>
      <c r="K512" s="1" t="str">
        <f t="shared" si="31"/>
        <v/>
      </c>
    </row>
    <row r="513" spans="1:11">
      <c r="A513" s="1">
        <v>1565</v>
      </c>
      <c r="B513" s="1" t="s">
        <v>9472</v>
      </c>
      <c r="C513" s="1" t="s">
        <v>9299</v>
      </c>
      <c r="D513" s="1" t="s">
        <v>1834</v>
      </c>
      <c r="E513" s="1" t="s">
        <v>1847</v>
      </c>
      <c r="F513" s="1" t="s">
        <v>301</v>
      </c>
      <c r="G513" s="1" t="s">
        <v>302</v>
      </c>
      <c r="H513" s="1" t="str">
        <f t="shared" si="28"/>
        <v/>
      </c>
      <c r="I513" s="1" t="str">
        <f t="shared" si="29"/>
        <v/>
      </c>
      <c r="J513" s="1" t="str">
        <f t="shared" si="30"/>
        <v>{#FSNAME}: 磁盘空间不足(已使用率&gt;{$VFS.FS.PUSED.MAX.WARN: "{#FSNAME}"}%)</v>
      </c>
      <c r="K513" s="1" t="str">
        <f t="shared" si="31"/>
        <v/>
      </c>
    </row>
    <row r="514" spans="1:11">
      <c r="A514" s="1">
        <v>1582</v>
      </c>
      <c r="B514" s="1" t="s">
        <v>9473</v>
      </c>
      <c r="C514" s="1" t="s">
        <v>9474</v>
      </c>
      <c r="D514" s="1" t="s">
        <v>1886</v>
      </c>
      <c r="E514" s="1" t="s">
        <v>1887</v>
      </c>
      <c r="F514" s="1" t="s">
        <v>1888</v>
      </c>
      <c r="G514" s="1" t="s">
        <v>1889</v>
      </c>
      <c r="H514" s="1" t="str">
        <f t="shared" ref="H514:H577" si="32">IFERROR(IF(OR(MID(G514,FIND(":",G514)-1,1)="""",MID(G514,FIND(":",G514)-1,1)="}",MID(G514,FIND(":",G514)-1,1)=")",MID(G514,FIND(":",G514)-1,1)="]"),"",LEFT(F514,FIND(":",F514)-1)),"")</f>
        <v>MSSQL DB '{#DBNAME}'</v>
      </c>
      <c r="I514" s="1" t="str">
        <f t="shared" ref="I514:I577" si="33">IFERROR(IF(OR(MID(G514,FIND(":",G514)-1,1)="""",MID(G514,FIND(":",G514)-1,1)="}",MID(G514,FIND(":",G514)-1,1)=")",MID(G514,FIND(":",G514)-1,1)="]"),"",RIGHT(G514,LEN(G514)-FIND(":",G514)-1)),"")</f>
        <v>差异备份早于{$MSSQL.BACKUP_DIFF.CRIT: "{#DBNAME}"}</v>
      </c>
      <c r="J514" s="1" t="str">
        <f t="shared" ref="J514:J577" si="34">IF(AND(I514="",H514=""),G514,H514&amp;": "&amp;I514)</f>
        <v>MSSQL DB '{#DBNAME}': 差异备份早于{$MSSQL.BACKUP_DIFF.CRIT: "{#DBNAME}"}</v>
      </c>
      <c r="K514" s="1" t="str">
        <f t="shared" ref="K514:K577" si="35">IFERROR(IF(OR(MID(F514,FIND(":",F514)-1,1)="""",MID(F514,FIND(":",F514)-1,1)="}",MID(F514,FIND(":",F514)-1,1)=")",MID(F514,FIND(":",F514)-1,1)="]"),"",RIGHT(F514,LEN(F514)-FIND(":",F514)-1)),"")</f>
        <v>Diff backup older than {$MSSQL.BACKUP_DIFF.CRIT:"{#DBNAME}"}</v>
      </c>
    </row>
    <row r="515" spans="1:11">
      <c r="A515" s="1">
        <v>1583</v>
      </c>
      <c r="B515" s="1" t="s">
        <v>9473</v>
      </c>
      <c r="C515" s="1" t="s">
        <v>9475</v>
      </c>
      <c r="D515" s="1" t="s">
        <v>1886</v>
      </c>
      <c r="E515" s="1" t="s">
        <v>1891</v>
      </c>
      <c r="F515" s="1" t="s">
        <v>1892</v>
      </c>
      <c r="G515" s="1" t="s">
        <v>1893</v>
      </c>
      <c r="H515" s="1" t="str">
        <f t="shared" si="32"/>
        <v>MSSQL DB '{#DBNAME}'</v>
      </c>
      <c r="I515" s="1" t="str">
        <f t="shared" si="33"/>
        <v>差异备份早于{$MSSQL.BACKUP_DIFF.WARN: "{#DBNAME}"}</v>
      </c>
      <c r="J515" s="1" t="str">
        <f t="shared" si="34"/>
        <v>MSSQL DB '{#DBNAME}': 差异备份早于{$MSSQL.BACKUP_DIFF.WARN: "{#DBNAME}"}</v>
      </c>
      <c r="K515" s="1" t="str">
        <f t="shared" si="35"/>
        <v>Diff backup older than {$MSSQL.BACKUP_DIFF.WARN:"{#DBNAME}"}</v>
      </c>
    </row>
    <row r="516" spans="1:11">
      <c r="A516" s="1">
        <v>1584</v>
      </c>
      <c r="B516" s="1" t="s">
        <v>9473</v>
      </c>
      <c r="C516" s="1" t="s">
        <v>9476</v>
      </c>
      <c r="D516" s="1" t="s">
        <v>1886</v>
      </c>
      <c r="E516" s="1" t="s">
        <v>1895</v>
      </c>
      <c r="F516" s="1" t="s">
        <v>1896</v>
      </c>
      <c r="G516" s="1" t="s">
        <v>1897</v>
      </c>
      <c r="H516" s="1" t="str">
        <f t="shared" si="32"/>
        <v>MSSQL DB '{#DBNAME}'</v>
      </c>
      <c r="I516" s="1" t="str">
        <f t="shared" si="33"/>
        <v>完整备份早于{$MSSQL.BACKUP_FULL.CRIT: "{#DBNAME}"}</v>
      </c>
      <c r="J516" s="1" t="str">
        <f t="shared" si="34"/>
        <v>MSSQL DB '{#DBNAME}': 完整备份早于{$MSSQL.BACKUP_FULL.CRIT: "{#DBNAME}"}</v>
      </c>
      <c r="K516" s="1" t="str">
        <f t="shared" si="35"/>
        <v>Full backup older than {$MSSQL.BACKUP_FULL.CRIT:"{#DBNAME}"}</v>
      </c>
    </row>
    <row r="517" spans="1:11">
      <c r="A517" s="1">
        <v>1585</v>
      </c>
      <c r="B517" s="1" t="s">
        <v>9473</v>
      </c>
      <c r="C517" s="1" t="s">
        <v>9477</v>
      </c>
      <c r="D517" s="1" t="s">
        <v>1886</v>
      </c>
      <c r="E517" s="1" t="s">
        <v>1899</v>
      </c>
      <c r="F517" s="1" t="s">
        <v>1900</v>
      </c>
      <c r="G517" s="1" t="s">
        <v>1901</v>
      </c>
      <c r="H517" s="1" t="str">
        <f t="shared" si="32"/>
        <v>MSSQL DB '{#DBNAME}'</v>
      </c>
      <c r="I517" s="1" t="str">
        <f t="shared" si="33"/>
        <v>完整备份早于{$MSSQL.BACKUP_FULL.WARN: "{#DBNAME}"}</v>
      </c>
      <c r="J517" s="1" t="str">
        <f t="shared" si="34"/>
        <v>MSSQL DB '{#DBNAME}': 完整备份早于{$MSSQL.BACKUP_FULL.WARN: "{#DBNAME}"}</v>
      </c>
      <c r="K517" s="1" t="str">
        <f t="shared" si="35"/>
        <v>Full backup older than {$MSSQL.BACKUP_FULL.WARN:"{#DBNAME}"}</v>
      </c>
    </row>
    <row r="518" spans="1:11">
      <c r="A518" s="1">
        <v>1586</v>
      </c>
      <c r="B518" s="1" t="s">
        <v>9473</v>
      </c>
      <c r="C518" s="1" t="s">
        <v>9478</v>
      </c>
      <c r="D518" s="1" t="s">
        <v>1886</v>
      </c>
      <c r="E518" s="1" t="s">
        <v>1903</v>
      </c>
      <c r="F518" s="1" t="s">
        <v>1904</v>
      </c>
      <c r="G518" s="1" t="s">
        <v>1905</v>
      </c>
      <c r="H518" s="1" t="str">
        <f t="shared" si="32"/>
        <v>MSSQL DB '{#DBNAME}'</v>
      </c>
      <c r="I518" s="1" t="str">
        <f t="shared" si="33"/>
        <v>日志备份早于{$MSSQL.BACKUP_LOG.CRIT: "{#DBNAME}"}</v>
      </c>
      <c r="J518" s="1" t="str">
        <f t="shared" si="34"/>
        <v>MSSQL DB '{#DBNAME}': 日志备份早于{$MSSQL.BACKUP_LOG.CRIT: "{#DBNAME}"}</v>
      </c>
      <c r="K518" s="1" t="str">
        <f t="shared" si="35"/>
        <v>Log backup older than {$MSSQL.BACKUP_LOG.CRIT:"{#DBNAME}"}</v>
      </c>
    </row>
    <row r="519" spans="1:11">
      <c r="A519" s="1">
        <v>1587</v>
      </c>
      <c r="B519" s="1" t="s">
        <v>9473</v>
      </c>
      <c r="C519" s="1" t="s">
        <v>9479</v>
      </c>
      <c r="D519" s="1" t="s">
        <v>1886</v>
      </c>
      <c r="E519" s="1" t="s">
        <v>1907</v>
      </c>
      <c r="F519" s="1" t="s">
        <v>1908</v>
      </c>
      <c r="G519" s="1" t="s">
        <v>1909</v>
      </c>
      <c r="H519" s="1" t="str">
        <f t="shared" si="32"/>
        <v>MSSQL DB '{#DBNAME}'</v>
      </c>
      <c r="I519" s="1" t="str">
        <f t="shared" si="33"/>
        <v>日志备份早于{$MSSQL.BACKUP_LOG.WARN: "{#DBNAME}"}</v>
      </c>
      <c r="J519" s="1" t="str">
        <f t="shared" si="34"/>
        <v>MSSQL DB '{#DBNAME}': 日志备份早于{$MSSQL.BACKUP_LOG.WARN: "{#DBNAME}"}</v>
      </c>
      <c r="K519" s="1" t="str">
        <f t="shared" si="35"/>
        <v>Log backup older than {$MSSQL.BACKUP_LOG.WARN:"{#DBNAME}"}</v>
      </c>
    </row>
    <row r="520" spans="1:11">
      <c r="A520" s="1">
        <v>1588</v>
      </c>
      <c r="B520" s="1" t="s">
        <v>9473</v>
      </c>
      <c r="C520" s="1" t="s">
        <v>9480</v>
      </c>
      <c r="D520" s="1" t="s">
        <v>1886</v>
      </c>
      <c r="E520" s="1" t="s">
        <v>1911</v>
      </c>
      <c r="F520" s="1" t="s">
        <v>1912</v>
      </c>
      <c r="G520" s="1" t="s">
        <v>1913</v>
      </c>
      <c r="H520" s="1" t="str">
        <f t="shared" si="32"/>
        <v>MSSQL DB '{#DBNAME}'</v>
      </c>
      <c r="I520" s="1" t="str">
        <f t="shared" si="33"/>
        <v>刷新日志的总等待时间很长(超过{$MSSQL.LOG_FLUSH_WAIT_TIME.MAX: "{#DBNAME}"}毫秒达5分钟)</v>
      </c>
      <c r="J520" s="1" t="str">
        <f t="shared" si="34"/>
        <v>MSSQL DB '{#DBNAME}': 刷新日志的总等待时间很长(超过{$MSSQL.LOG_FLUSH_WAIT_TIME.MAX: "{#DBNAME}"}毫秒达5分钟)</v>
      </c>
      <c r="K520" s="1" t="str">
        <f t="shared" si="35"/>
        <v>Total wait time to flush the log is high (over {$MSSQL.LOG_FLUSH_WAIT_TIME.MAX:"{#DBNAME}"}ms for 5m)</v>
      </c>
    </row>
    <row r="521" spans="1:11">
      <c r="A521" s="1">
        <v>1589</v>
      </c>
      <c r="B521" s="1" t="s">
        <v>9473</v>
      </c>
      <c r="C521" s="1" t="s">
        <v>9481</v>
      </c>
      <c r="D521" s="1" t="s">
        <v>1886</v>
      </c>
      <c r="E521" s="1" t="s">
        <v>1915</v>
      </c>
      <c r="F521" s="1" t="s">
        <v>1916</v>
      </c>
      <c r="G521" s="1" t="s">
        <v>1917</v>
      </c>
      <c r="H521" s="1" t="str">
        <f t="shared" si="32"/>
        <v>MSSQL DB '{#DBNAME}'</v>
      </c>
      <c r="I521" s="1" t="str">
        <f t="shared" si="33"/>
        <v>等待日志刷新的提交数很高(超过{$MSSQL.LOG_FLUSH_WAITS.MAX: "{#DBNAME}"}/秒达5分钟)</v>
      </c>
      <c r="J521" s="1" t="str">
        <f t="shared" si="34"/>
        <v>MSSQL DB '{#DBNAME}': 等待日志刷新的提交数很高(超过{$MSSQL.LOG_FLUSH_WAITS.MAX: "{#DBNAME}"}/秒达5分钟)</v>
      </c>
      <c r="K521" s="1" t="str">
        <f t="shared" si="35"/>
        <v>Number of commits waiting for the log flush is high (over {$MSSQL.LOG_FLUSH_WAITS.MAX:"{#DBNAME}"}/sec for 5m)</v>
      </c>
    </row>
    <row r="522" spans="1:11">
      <c r="A522" s="1">
        <v>1590</v>
      </c>
      <c r="B522" s="1" t="s">
        <v>9473</v>
      </c>
      <c r="C522" s="1" t="s">
        <v>9482</v>
      </c>
      <c r="D522" s="1" t="s">
        <v>1886</v>
      </c>
      <c r="E522" s="1" t="s">
        <v>1919</v>
      </c>
      <c r="F522" s="1" t="s">
        <v>1920</v>
      </c>
      <c r="G522" s="1" t="s">
        <v>9483</v>
      </c>
      <c r="H522" s="1" t="str">
        <f t="shared" si="32"/>
        <v>MSSQL DB '{#DBNAME}'</v>
      </c>
      <c r="I522" s="1" t="str">
        <f t="shared" si="33"/>
        <v>日志使用率过高（超过 {$MSSQL.PERCENT_LOG_USED.MAX:"{#DBNAME}"}%，达5分钟）</v>
      </c>
      <c r="J522" s="1" t="str">
        <f t="shared" si="34"/>
        <v>MSSQL DB '{#DBNAME}': 日志使用率过高（超过 {$MSSQL.PERCENT_LOG_USED.MAX:"{#DBNAME}"}%，达5分钟）</v>
      </c>
      <c r="K522" s="1" t="str">
        <f t="shared" si="35"/>
        <v>Percent of log usage is high (over {$MSSQL.PERCENT_LOG_USED.MAX:"{#DBNAME}"}% for 5m)</v>
      </c>
    </row>
    <row r="523" spans="1:11">
      <c r="A523" s="1">
        <v>1592</v>
      </c>
      <c r="B523" s="1" t="s">
        <v>9473</v>
      </c>
      <c r="C523" s="1" t="s">
        <v>9484</v>
      </c>
      <c r="D523" s="1" t="s">
        <v>1886</v>
      </c>
      <c r="E523" s="1" t="s">
        <v>1923</v>
      </c>
      <c r="F523" s="1" t="s">
        <v>1924</v>
      </c>
      <c r="G523" s="1" t="s">
        <v>1925</v>
      </c>
      <c r="H523" s="1" t="str">
        <f t="shared" si="32"/>
        <v/>
      </c>
      <c r="I523" s="1" t="str">
        <f t="shared" si="33"/>
        <v/>
      </c>
      <c r="J523" s="1" t="str">
        <f t="shared" si="34"/>
        <v>MSSQL任务"{#JOBNAME}": 任务持续时间大于{$MSSQL.BACKUP_DURATION.WARN: "{#JOBNAME}"}</v>
      </c>
      <c r="K523" s="1" t="str">
        <f t="shared" si="35"/>
        <v>Job duration is greater than {$MSSQL.BACKUP_DURATION.WARN:"{#JOBNAME}"}</v>
      </c>
    </row>
    <row r="524" spans="1:11">
      <c r="A524" s="1">
        <v>1614</v>
      </c>
      <c r="B524" s="1" t="s">
        <v>9485</v>
      </c>
      <c r="C524" s="1" t="s">
        <v>9474</v>
      </c>
      <c r="D524" s="1" t="s">
        <v>1927</v>
      </c>
      <c r="E524" s="1" t="s">
        <v>9486</v>
      </c>
      <c r="F524" s="1" t="s">
        <v>1888</v>
      </c>
      <c r="G524" s="1" t="s">
        <v>1889</v>
      </c>
      <c r="H524" s="1" t="str">
        <f t="shared" si="32"/>
        <v>MSSQL DB '{#DBNAME}'</v>
      </c>
      <c r="I524" s="1" t="str">
        <f t="shared" si="33"/>
        <v>差异备份早于{$MSSQL.BACKUP_DIFF.CRIT: "{#DBNAME}"}</v>
      </c>
      <c r="J524" s="1" t="str">
        <f t="shared" si="34"/>
        <v>MSSQL DB '{#DBNAME}': 差异备份早于{$MSSQL.BACKUP_DIFF.CRIT: "{#DBNAME}"}</v>
      </c>
      <c r="K524" s="1" t="str">
        <f t="shared" si="35"/>
        <v>Diff backup older than {$MSSQL.BACKUP_DIFF.CRIT:"{#DBNAME}"}</v>
      </c>
    </row>
    <row r="525" spans="1:11">
      <c r="A525" s="1">
        <v>1615</v>
      </c>
      <c r="B525" s="1" t="s">
        <v>9485</v>
      </c>
      <c r="C525" s="1" t="s">
        <v>9475</v>
      </c>
      <c r="D525" s="1" t="s">
        <v>1927</v>
      </c>
      <c r="E525" s="1" t="s">
        <v>9487</v>
      </c>
      <c r="F525" s="1" t="s">
        <v>1892</v>
      </c>
      <c r="G525" s="1" t="s">
        <v>1893</v>
      </c>
      <c r="H525" s="1" t="str">
        <f t="shared" si="32"/>
        <v>MSSQL DB '{#DBNAME}'</v>
      </c>
      <c r="I525" s="1" t="str">
        <f t="shared" si="33"/>
        <v>差异备份早于{$MSSQL.BACKUP_DIFF.WARN: "{#DBNAME}"}</v>
      </c>
      <c r="J525" s="1" t="str">
        <f t="shared" si="34"/>
        <v>MSSQL DB '{#DBNAME}': 差异备份早于{$MSSQL.BACKUP_DIFF.WARN: "{#DBNAME}"}</v>
      </c>
      <c r="K525" s="1" t="str">
        <f t="shared" si="35"/>
        <v>Diff backup older than {$MSSQL.BACKUP_DIFF.WARN:"{#DBNAME}"}</v>
      </c>
    </row>
    <row r="526" spans="1:11">
      <c r="A526" s="1">
        <v>1616</v>
      </c>
      <c r="B526" s="1" t="s">
        <v>9485</v>
      </c>
      <c r="C526" s="1" t="s">
        <v>9476</v>
      </c>
      <c r="D526" s="1" t="s">
        <v>1927</v>
      </c>
      <c r="E526" s="1" t="s">
        <v>9488</v>
      </c>
      <c r="F526" s="1" t="s">
        <v>1896</v>
      </c>
      <c r="G526" s="1" t="s">
        <v>1897</v>
      </c>
      <c r="H526" s="1" t="str">
        <f t="shared" si="32"/>
        <v>MSSQL DB '{#DBNAME}'</v>
      </c>
      <c r="I526" s="1" t="str">
        <f t="shared" si="33"/>
        <v>完整备份早于{$MSSQL.BACKUP_FULL.CRIT: "{#DBNAME}"}</v>
      </c>
      <c r="J526" s="1" t="str">
        <f t="shared" si="34"/>
        <v>MSSQL DB '{#DBNAME}': 完整备份早于{$MSSQL.BACKUP_FULL.CRIT: "{#DBNAME}"}</v>
      </c>
      <c r="K526" s="1" t="str">
        <f t="shared" si="35"/>
        <v>Full backup older than {$MSSQL.BACKUP_FULL.CRIT:"{#DBNAME}"}</v>
      </c>
    </row>
    <row r="527" spans="1:11">
      <c r="A527" s="1">
        <v>1617</v>
      </c>
      <c r="B527" s="1" t="s">
        <v>9485</v>
      </c>
      <c r="C527" s="1" t="s">
        <v>9477</v>
      </c>
      <c r="D527" s="1" t="s">
        <v>1927</v>
      </c>
      <c r="E527" s="1" t="s">
        <v>9489</v>
      </c>
      <c r="F527" s="1" t="s">
        <v>1900</v>
      </c>
      <c r="G527" s="1" t="s">
        <v>1901</v>
      </c>
      <c r="H527" s="1" t="str">
        <f t="shared" si="32"/>
        <v>MSSQL DB '{#DBNAME}'</v>
      </c>
      <c r="I527" s="1" t="str">
        <f t="shared" si="33"/>
        <v>完整备份早于{$MSSQL.BACKUP_FULL.WARN: "{#DBNAME}"}</v>
      </c>
      <c r="J527" s="1" t="str">
        <f t="shared" si="34"/>
        <v>MSSQL DB '{#DBNAME}': 完整备份早于{$MSSQL.BACKUP_FULL.WARN: "{#DBNAME}"}</v>
      </c>
      <c r="K527" s="1" t="str">
        <f t="shared" si="35"/>
        <v>Full backup older than {$MSSQL.BACKUP_FULL.WARN:"{#DBNAME}"}</v>
      </c>
    </row>
    <row r="528" spans="1:11">
      <c r="A528" s="1">
        <v>1618</v>
      </c>
      <c r="B528" s="1" t="s">
        <v>9485</v>
      </c>
      <c r="C528" s="1" t="s">
        <v>9478</v>
      </c>
      <c r="D528" s="1" t="s">
        <v>1927</v>
      </c>
      <c r="E528" s="1" t="s">
        <v>3934</v>
      </c>
      <c r="F528" s="1" t="s">
        <v>1904</v>
      </c>
      <c r="G528" s="1" t="s">
        <v>1905</v>
      </c>
      <c r="H528" s="1" t="str">
        <f t="shared" si="32"/>
        <v>MSSQL DB '{#DBNAME}'</v>
      </c>
      <c r="I528" s="1" t="str">
        <f t="shared" si="33"/>
        <v>日志备份早于{$MSSQL.BACKUP_LOG.CRIT: "{#DBNAME}"}</v>
      </c>
      <c r="J528" s="1" t="str">
        <f t="shared" si="34"/>
        <v>MSSQL DB '{#DBNAME}': 日志备份早于{$MSSQL.BACKUP_LOG.CRIT: "{#DBNAME}"}</v>
      </c>
      <c r="K528" s="1" t="str">
        <f t="shared" si="35"/>
        <v>Log backup older than {$MSSQL.BACKUP_LOG.CRIT:"{#DBNAME}"}</v>
      </c>
    </row>
    <row r="529" spans="1:11">
      <c r="A529" s="1">
        <v>1619</v>
      </c>
      <c r="B529" s="1" t="s">
        <v>9485</v>
      </c>
      <c r="C529" s="1" t="s">
        <v>9479</v>
      </c>
      <c r="D529" s="1" t="s">
        <v>1927</v>
      </c>
      <c r="E529" s="1" t="s">
        <v>3938</v>
      </c>
      <c r="F529" s="1" t="s">
        <v>1908</v>
      </c>
      <c r="G529" s="1" t="s">
        <v>1909</v>
      </c>
      <c r="H529" s="1" t="str">
        <f t="shared" si="32"/>
        <v>MSSQL DB '{#DBNAME}'</v>
      </c>
      <c r="I529" s="1" t="str">
        <f t="shared" si="33"/>
        <v>日志备份早于{$MSSQL.BACKUP_LOG.WARN: "{#DBNAME}"}</v>
      </c>
      <c r="J529" s="1" t="str">
        <f t="shared" si="34"/>
        <v>MSSQL DB '{#DBNAME}': 日志备份早于{$MSSQL.BACKUP_LOG.WARN: "{#DBNAME}"}</v>
      </c>
      <c r="K529" s="1" t="str">
        <f t="shared" si="35"/>
        <v>Log backup older than {$MSSQL.BACKUP_LOG.WARN:"{#DBNAME}"}</v>
      </c>
    </row>
    <row r="530" spans="1:11">
      <c r="A530" s="1">
        <v>1620</v>
      </c>
      <c r="B530" s="1" t="s">
        <v>9485</v>
      </c>
      <c r="C530" s="1" t="s">
        <v>9480</v>
      </c>
      <c r="D530" s="1" t="s">
        <v>1927</v>
      </c>
      <c r="E530" s="1" t="s">
        <v>9490</v>
      </c>
      <c r="F530" s="1" t="s">
        <v>1912</v>
      </c>
      <c r="G530" s="1" t="s">
        <v>1913</v>
      </c>
      <c r="H530" s="1" t="str">
        <f t="shared" si="32"/>
        <v>MSSQL DB '{#DBNAME}'</v>
      </c>
      <c r="I530" s="1" t="str">
        <f t="shared" si="33"/>
        <v>刷新日志的总等待时间很长(超过{$MSSQL.LOG_FLUSH_WAIT_TIME.MAX: "{#DBNAME}"}毫秒达5分钟)</v>
      </c>
      <c r="J530" s="1" t="str">
        <f t="shared" si="34"/>
        <v>MSSQL DB '{#DBNAME}': 刷新日志的总等待时间很长(超过{$MSSQL.LOG_FLUSH_WAIT_TIME.MAX: "{#DBNAME}"}毫秒达5分钟)</v>
      </c>
      <c r="K530" s="1" t="str">
        <f t="shared" si="35"/>
        <v>Total wait time to flush the log is high (over {$MSSQL.LOG_FLUSH_WAIT_TIME.MAX:"{#DBNAME}"}ms for 5m)</v>
      </c>
    </row>
    <row r="531" spans="1:11">
      <c r="A531" s="1">
        <v>1621</v>
      </c>
      <c r="B531" s="1" t="s">
        <v>9485</v>
      </c>
      <c r="C531" s="1" t="s">
        <v>9481</v>
      </c>
      <c r="D531" s="1" t="s">
        <v>1927</v>
      </c>
      <c r="E531" s="1" t="s">
        <v>9491</v>
      </c>
      <c r="F531" s="1" t="s">
        <v>1916</v>
      </c>
      <c r="G531" s="1" t="s">
        <v>1917</v>
      </c>
      <c r="H531" s="1" t="str">
        <f t="shared" si="32"/>
        <v>MSSQL DB '{#DBNAME}'</v>
      </c>
      <c r="I531" s="1" t="str">
        <f t="shared" si="33"/>
        <v>等待日志刷新的提交数很高(超过{$MSSQL.LOG_FLUSH_WAITS.MAX: "{#DBNAME}"}/秒达5分钟)</v>
      </c>
      <c r="J531" s="1" t="str">
        <f t="shared" si="34"/>
        <v>MSSQL DB '{#DBNAME}': 等待日志刷新的提交数很高(超过{$MSSQL.LOG_FLUSH_WAITS.MAX: "{#DBNAME}"}/秒达5分钟)</v>
      </c>
      <c r="K531" s="1" t="str">
        <f t="shared" si="35"/>
        <v>Number of commits waiting for the log flush is high (over {$MSSQL.LOG_FLUSH_WAITS.MAX:"{#DBNAME}"}/sec for 5m)</v>
      </c>
    </row>
    <row r="532" spans="1:11">
      <c r="A532" s="1">
        <v>1622</v>
      </c>
      <c r="B532" s="1" t="s">
        <v>9485</v>
      </c>
      <c r="C532" s="1" t="s">
        <v>9482</v>
      </c>
      <c r="D532" s="1" t="s">
        <v>1927</v>
      </c>
      <c r="E532" s="1" t="s">
        <v>9492</v>
      </c>
      <c r="F532" s="1" t="s">
        <v>1920</v>
      </c>
      <c r="G532" s="1" t="s">
        <v>9483</v>
      </c>
      <c r="H532" s="1" t="str">
        <f t="shared" si="32"/>
        <v>MSSQL DB '{#DBNAME}'</v>
      </c>
      <c r="I532" s="1" t="str">
        <f t="shared" si="33"/>
        <v>日志使用率过高（超过 {$MSSQL.PERCENT_LOG_USED.MAX:"{#DBNAME}"}%，达5分钟）</v>
      </c>
      <c r="J532" s="1" t="str">
        <f t="shared" si="34"/>
        <v>MSSQL DB '{#DBNAME}': 日志使用率过高（超过 {$MSSQL.PERCENT_LOG_USED.MAX:"{#DBNAME}"}%，达5分钟）</v>
      </c>
      <c r="K532" s="1" t="str">
        <f t="shared" si="35"/>
        <v>Percent of log usage is high (over {$MSSQL.PERCENT_LOG_USED.MAX:"{#DBNAME}"}% for 5m)</v>
      </c>
    </row>
    <row r="533" spans="1:11">
      <c r="A533" s="1">
        <v>1624</v>
      </c>
      <c r="B533" s="1" t="s">
        <v>9485</v>
      </c>
      <c r="C533" s="1" t="s">
        <v>9484</v>
      </c>
      <c r="D533" s="1" t="s">
        <v>1927</v>
      </c>
      <c r="E533" s="1" t="s">
        <v>1126</v>
      </c>
      <c r="F533" s="1" t="s">
        <v>1924</v>
      </c>
      <c r="G533" s="1" t="s">
        <v>1925</v>
      </c>
      <c r="H533" s="1" t="str">
        <f t="shared" si="32"/>
        <v/>
      </c>
      <c r="I533" s="1" t="str">
        <f t="shared" si="33"/>
        <v/>
      </c>
      <c r="J533" s="1" t="str">
        <f t="shared" si="34"/>
        <v>MSSQL任务"{#JOBNAME}": 任务持续时间大于{$MSSQL.BACKUP_DURATION.WARN: "{#JOBNAME}"}</v>
      </c>
      <c r="K533" s="1" t="str">
        <f t="shared" si="35"/>
        <v>Job duration is greater than {$MSSQL.BACKUP_DURATION.WARN:"{#JOBNAME}"}</v>
      </c>
    </row>
    <row r="534" spans="1:11">
      <c r="A534" s="1">
        <v>1630</v>
      </c>
      <c r="B534" s="1" t="s">
        <v>9493</v>
      </c>
      <c r="C534" s="1" t="s">
        <v>9350</v>
      </c>
      <c r="D534" s="1" t="s">
        <v>1948</v>
      </c>
      <c r="E534" s="1" t="s">
        <v>1949</v>
      </c>
      <c r="F534" s="1" t="s">
        <v>161</v>
      </c>
      <c r="G534" s="1" t="s">
        <v>162</v>
      </c>
      <c r="H534" s="1" t="str">
        <f t="shared" si="32"/>
        <v/>
      </c>
      <c r="I534" s="1" t="str">
        <f t="shared" si="33"/>
        <v/>
      </c>
      <c r="J534" s="1" t="str">
        <f t="shared" si="34"/>
        <v>接口{#IFNAME}({#IFALIAS}): 带宽使用率太高(&gt;{$IF.UTIL.MAX: "{#IFNAME}"}%)</v>
      </c>
      <c r="K534" s="1" t="str">
        <f t="shared" si="35"/>
        <v/>
      </c>
    </row>
    <row r="535" spans="1:11">
      <c r="A535" s="1">
        <v>1631</v>
      </c>
      <c r="B535" s="1" t="s">
        <v>9493</v>
      </c>
      <c r="C535" s="1" t="s">
        <v>9351</v>
      </c>
      <c r="D535" s="1" t="s">
        <v>1948</v>
      </c>
      <c r="E535" s="1" t="s">
        <v>1951</v>
      </c>
      <c r="F535" s="1" t="s">
        <v>165</v>
      </c>
      <c r="G535" s="1" t="s">
        <v>166</v>
      </c>
      <c r="H535" s="1" t="str">
        <f t="shared" si="32"/>
        <v/>
      </c>
      <c r="I535" s="1" t="str">
        <f t="shared" si="33"/>
        <v/>
      </c>
      <c r="J535" s="1" t="str">
        <f t="shared" si="34"/>
        <v>接口{#IFNAME}({#IFALIAS}): 错误率太高(&gt;{$IF.ERRORS.WARN: "{#IFNAME}"}达5分钟)</v>
      </c>
      <c r="K535" s="1" t="str">
        <f t="shared" si="35"/>
        <v/>
      </c>
    </row>
    <row r="536" spans="1:11">
      <c r="A536" s="1">
        <v>1634</v>
      </c>
      <c r="B536" s="1" t="s">
        <v>9493</v>
      </c>
      <c r="C536" s="1" t="s">
        <v>9494</v>
      </c>
      <c r="D536" s="1" t="s">
        <v>1948</v>
      </c>
      <c r="E536" s="1" t="s">
        <v>1953</v>
      </c>
      <c r="F536" s="1" t="s">
        <v>169</v>
      </c>
      <c r="G536" s="1" t="s">
        <v>170</v>
      </c>
      <c r="H536" s="1" t="str">
        <f t="shared" si="32"/>
        <v/>
      </c>
      <c r="I536" s="1" t="str">
        <f t="shared" si="33"/>
        <v/>
      </c>
      <c r="J536" s="1" t="str">
        <f t="shared" si="34"/>
        <v>{#ENT_NAME}: 设备已更换(收到新序列号)</v>
      </c>
      <c r="K536" s="1" t="str">
        <f t="shared" si="35"/>
        <v/>
      </c>
    </row>
    <row r="537" spans="1:11">
      <c r="A537" s="1">
        <v>1636</v>
      </c>
      <c r="B537" s="1" t="s">
        <v>9493</v>
      </c>
      <c r="C537" s="1" t="s">
        <v>9422</v>
      </c>
      <c r="D537" s="1" t="s">
        <v>1948</v>
      </c>
      <c r="E537" s="1" t="s">
        <v>1955</v>
      </c>
      <c r="F537" s="1" t="s">
        <v>297</v>
      </c>
      <c r="G537" s="1" t="s">
        <v>298</v>
      </c>
      <c r="H537" s="1" t="str">
        <f t="shared" si="32"/>
        <v/>
      </c>
      <c r="I537" s="1" t="str">
        <f t="shared" si="33"/>
        <v/>
      </c>
      <c r="J537" s="1" t="str">
        <f t="shared" si="34"/>
        <v>{#FSNAME}: 磁盘空间严重不足(已使用率&gt;{$VFS.FS.PUSED.MAX.CRIT: "{#FSNAME}"}%)</v>
      </c>
      <c r="K537" s="1" t="str">
        <f t="shared" si="35"/>
        <v/>
      </c>
    </row>
    <row r="538" spans="1:11">
      <c r="A538" s="1">
        <v>1637</v>
      </c>
      <c r="B538" s="1" t="s">
        <v>9493</v>
      </c>
      <c r="C538" s="1" t="s">
        <v>9423</v>
      </c>
      <c r="D538" s="1" t="s">
        <v>1948</v>
      </c>
      <c r="E538" s="1" t="s">
        <v>1957</v>
      </c>
      <c r="F538" s="1" t="s">
        <v>301</v>
      </c>
      <c r="G538" s="1" t="s">
        <v>302</v>
      </c>
      <c r="H538" s="1" t="str">
        <f t="shared" si="32"/>
        <v/>
      </c>
      <c r="I538" s="1" t="str">
        <f t="shared" si="33"/>
        <v/>
      </c>
      <c r="J538" s="1" t="str">
        <f t="shared" si="34"/>
        <v>{#FSNAME}: 磁盘空间不足(已使用率&gt;{$VFS.FS.PUSED.MAX.WARN: "{#FSNAME}"}%)</v>
      </c>
      <c r="K538" s="1" t="str">
        <f t="shared" si="35"/>
        <v/>
      </c>
    </row>
    <row r="539" spans="1:11">
      <c r="A539" s="1">
        <v>1638</v>
      </c>
      <c r="B539" s="1" t="s">
        <v>9493</v>
      </c>
      <c r="C539" s="1" t="s">
        <v>9424</v>
      </c>
      <c r="D539" s="1" t="s">
        <v>1948</v>
      </c>
      <c r="E539" s="1" t="s">
        <v>1959</v>
      </c>
      <c r="F539" s="1" t="s">
        <v>305</v>
      </c>
      <c r="G539" s="1" t="s">
        <v>306</v>
      </c>
      <c r="H539" s="1" t="str">
        <f t="shared" si="32"/>
        <v/>
      </c>
      <c r="I539" s="1" t="str">
        <f t="shared" si="33"/>
        <v/>
      </c>
      <c r="J539" s="1" t="str">
        <f t="shared" si="34"/>
        <v>{#MEMNAME}: 内存利用率高了(&gt;{$MEMORY.UTIL.MAX}%达5分钟)</v>
      </c>
      <c r="K539" s="1" t="str">
        <f t="shared" si="35"/>
        <v/>
      </c>
    </row>
    <row r="540" spans="1:11">
      <c r="A540" s="1">
        <v>1640</v>
      </c>
      <c r="B540" s="1" t="s">
        <v>9493</v>
      </c>
      <c r="C540" s="1" t="s">
        <v>9352</v>
      </c>
      <c r="D540" s="1" t="s">
        <v>1948</v>
      </c>
      <c r="E540" s="1" t="s">
        <v>1961</v>
      </c>
      <c r="F540" s="1" t="s">
        <v>1962</v>
      </c>
      <c r="G540" s="1" t="s">
        <v>1963</v>
      </c>
      <c r="H540" s="1" t="str">
        <f t="shared" si="32"/>
        <v/>
      </c>
      <c r="I540" s="1" t="str">
        <f t="shared" si="33"/>
        <v/>
      </c>
      <c r="J540" s="1" t="str">
        <f t="shared" si="34"/>
        <v>{#SENSOR_INFO}: 温度高于告警阈值: &gt;{$TEMP.MAX.WARN: "{#SENSOR_INFO}"}</v>
      </c>
      <c r="K540" s="1" t="str">
        <f t="shared" si="35"/>
        <v/>
      </c>
    </row>
    <row r="541" spans="1:11">
      <c r="A541" s="1">
        <v>1641</v>
      </c>
      <c r="B541" s="1" t="s">
        <v>9493</v>
      </c>
      <c r="C541" s="1" t="s">
        <v>9354</v>
      </c>
      <c r="D541" s="1" t="s">
        <v>1948</v>
      </c>
      <c r="E541" s="1" t="s">
        <v>1965</v>
      </c>
      <c r="F541" s="1" t="s">
        <v>1966</v>
      </c>
      <c r="G541" s="1" t="s">
        <v>1967</v>
      </c>
      <c r="H541" s="1" t="str">
        <f t="shared" si="32"/>
        <v/>
      </c>
      <c r="I541" s="1" t="str">
        <f t="shared" si="33"/>
        <v/>
      </c>
      <c r="J541" s="1" t="str">
        <f t="shared" si="34"/>
        <v>{#SENSOR_INFO}: 温度高于临界阈值: &gt;{$TEMP.MAX.CRIT: "{#SENSOR_INFO}"}</v>
      </c>
      <c r="K541" s="1" t="str">
        <f t="shared" si="35"/>
        <v/>
      </c>
    </row>
    <row r="542" spans="1:11">
      <c r="A542" s="1">
        <v>1642</v>
      </c>
      <c r="B542" s="1" t="s">
        <v>9493</v>
      </c>
      <c r="C542" s="1" t="s">
        <v>9357</v>
      </c>
      <c r="D542" s="1" t="s">
        <v>1948</v>
      </c>
      <c r="E542" s="1" t="s">
        <v>1969</v>
      </c>
      <c r="F542" s="1" t="s">
        <v>1970</v>
      </c>
      <c r="G542" s="1" t="s">
        <v>1971</v>
      </c>
      <c r="H542" s="1" t="str">
        <f t="shared" si="32"/>
        <v/>
      </c>
      <c r="I542" s="1" t="str">
        <f t="shared" si="33"/>
        <v/>
      </c>
      <c r="J542" s="1" t="str">
        <f t="shared" si="34"/>
        <v>{#SENSOR_INFO}: 温度太低: &lt;{$TEMP.MIN.CRIT: "{#SENSOR_INFO}"}</v>
      </c>
      <c r="K542" s="1" t="str">
        <f t="shared" si="35"/>
        <v/>
      </c>
    </row>
    <row r="543" spans="1:11">
      <c r="A543" s="1">
        <v>1643</v>
      </c>
      <c r="B543" s="1" t="s">
        <v>9495</v>
      </c>
      <c r="C543" s="1" t="s">
        <v>9294</v>
      </c>
      <c r="D543" s="1" t="s">
        <v>1973</v>
      </c>
      <c r="E543" s="1" t="s">
        <v>1974</v>
      </c>
      <c r="F543" s="1" t="s">
        <v>1975</v>
      </c>
      <c r="G543" s="1" t="s">
        <v>1976</v>
      </c>
      <c r="H543" s="1" t="str">
        <f t="shared" si="32"/>
        <v/>
      </c>
      <c r="I543" s="1" t="str">
        <f t="shared" si="33"/>
        <v/>
      </c>
      <c r="J543" s="1" t="str">
        <f t="shared" si="34"/>
        <v>数据库计数器[{#INSTANCE}]: 平均读取时间延迟太高(&gt;{$MS.EXCHANGE.DB.ACTIVE.READ.TIME}达{$MS.EXCHANGE.DB.ACTIVE.READ.WARN}秒)</v>
      </c>
      <c r="K543" s="1" t="str">
        <f t="shared" si="35"/>
        <v/>
      </c>
    </row>
    <row r="544" spans="1:11">
      <c r="A544" s="1">
        <v>1646</v>
      </c>
      <c r="B544" s="1" t="s">
        <v>9495</v>
      </c>
      <c r="C544" s="1" t="s">
        <v>9330</v>
      </c>
      <c r="D544" s="1" t="s">
        <v>1973</v>
      </c>
      <c r="E544" s="1" t="s">
        <v>1978</v>
      </c>
      <c r="F544" s="1" t="s">
        <v>1979</v>
      </c>
      <c r="G544" s="1" t="s">
        <v>1980</v>
      </c>
      <c r="H544" s="1" t="str">
        <f t="shared" si="32"/>
        <v/>
      </c>
      <c r="I544" s="1" t="str">
        <f t="shared" si="33"/>
        <v/>
      </c>
      <c r="J544" s="1" t="str">
        <f t="shared" si="34"/>
        <v>数据库计数器[{#INSTANCE}]: 平均读取时间延迟太高(&gt;{$MS.EXCHANGE.DB.PASSIVE.READ.TIME}达{$MS.EXCHANGE.DB.PASSIVE.READ.WARN}秒)</v>
      </c>
      <c r="K544" s="1" t="str">
        <f t="shared" si="35"/>
        <v/>
      </c>
    </row>
    <row r="545" spans="1:11">
      <c r="A545" s="1">
        <v>1647</v>
      </c>
      <c r="B545" s="1" t="s">
        <v>9495</v>
      </c>
      <c r="C545" s="1" t="s">
        <v>9296</v>
      </c>
      <c r="D545" s="1" t="s">
        <v>1973</v>
      </c>
      <c r="E545" s="1" t="s">
        <v>1982</v>
      </c>
      <c r="F545" s="1" t="s">
        <v>1983</v>
      </c>
      <c r="G545" s="1" t="s">
        <v>1984</v>
      </c>
      <c r="H545" s="1" t="str">
        <f t="shared" si="32"/>
        <v/>
      </c>
      <c r="I545" s="1" t="str">
        <f t="shared" si="33"/>
        <v/>
      </c>
      <c r="J545" s="1" t="str">
        <f t="shared" si="34"/>
        <v>域控制器[{#INSTANCE}]: LDAP读取时间太长(&gt;{$MS.EXCHANGE.LDAP.WARN}秒达{$MS.EXCHANGE.LDAP.TIME})</v>
      </c>
      <c r="K545" s="1" t="str">
        <f t="shared" si="35"/>
        <v/>
      </c>
    </row>
    <row r="546" spans="1:11">
      <c r="A546" s="1">
        <v>1648</v>
      </c>
      <c r="B546" s="1" t="s">
        <v>9495</v>
      </c>
      <c r="C546" s="1" t="s">
        <v>9331</v>
      </c>
      <c r="D546" s="1" t="s">
        <v>1973</v>
      </c>
      <c r="E546" s="1" t="s">
        <v>1986</v>
      </c>
      <c r="F546" s="1" t="s">
        <v>1987</v>
      </c>
      <c r="G546" s="1" t="s">
        <v>1988</v>
      </c>
      <c r="H546" s="1" t="str">
        <f t="shared" si="32"/>
        <v/>
      </c>
      <c r="I546" s="1" t="str">
        <f t="shared" si="33"/>
        <v/>
      </c>
      <c r="J546" s="1" t="str">
        <f t="shared" si="34"/>
        <v>域控制器[{#INSTANCE}]: LDAP搜索时间太长(&gt;{$MS.EXCHANGE.LDAP.WARN}秒达{$MS.EXCHANGE.LDAP.TIME})</v>
      </c>
      <c r="K546" s="1" t="str">
        <f t="shared" si="35"/>
        <v/>
      </c>
    </row>
    <row r="547" spans="1:11">
      <c r="A547" s="1">
        <v>1649</v>
      </c>
      <c r="B547" s="1" t="s">
        <v>9495</v>
      </c>
      <c r="C547" s="1" t="s">
        <v>9332</v>
      </c>
      <c r="D547" s="1" t="s">
        <v>1973</v>
      </c>
      <c r="E547" s="1" t="s">
        <v>1990</v>
      </c>
      <c r="F547" s="1" t="s">
        <v>1991</v>
      </c>
      <c r="G547" s="1" t="s">
        <v>1992</v>
      </c>
      <c r="H547" s="1" t="str">
        <f t="shared" si="32"/>
        <v/>
      </c>
      <c r="I547" s="1" t="str">
        <f t="shared" si="33"/>
        <v/>
      </c>
      <c r="J547" s="1" t="str">
        <f t="shared" si="34"/>
        <v>信息存储[{#INSTANCE}]: 日志记录停顿太高(&gt;{$MS.EXCHANGE.LOG.STALLS.WARN}达{$MS.EXCHANGE.LOG.STALLS.TIME})</v>
      </c>
      <c r="K547" s="1" t="str">
        <f t="shared" si="35"/>
        <v/>
      </c>
    </row>
    <row r="548" spans="1:11">
      <c r="A548" s="1">
        <v>1650</v>
      </c>
      <c r="B548" s="1" t="s">
        <v>9495</v>
      </c>
      <c r="C548" s="1" t="s">
        <v>9297</v>
      </c>
      <c r="D548" s="1" t="s">
        <v>1973</v>
      </c>
      <c r="E548" s="1" t="s">
        <v>1994</v>
      </c>
      <c r="F548" s="1" t="s">
        <v>1995</v>
      </c>
      <c r="G548" s="1" t="s">
        <v>1996</v>
      </c>
      <c r="H548" s="1" t="str">
        <f t="shared" si="32"/>
        <v/>
      </c>
      <c r="I548" s="1" t="str">
        <f t="shared" si="33"/>
        <v/>
      </c>
      <c r="J548" s="1" t="str">
        <f t="shared" si="34"/>
        <v>信息存储[{#INSTANCE}]: 页面错误太高(&gt;{$MS.EXCHANGE.DB.FAULTS.WARN}达{$MS.EXCHANGE.DB.FAULTS.TIME})</v>
      </c>
      <c r="K548" s="1" t="str">
        <f t="shared" si="35"/>
        <v/>
      </c>
    </row>
    <row r="549" spans="1:11">
      <c r="A549" s="1">
        <v>1651</v>
      </c>
      <c r="B549" s="1" t="s">
        <v>9495</v>
      </c>
      <c r="C549" s="1" t="s">
        <v>9298</v>
      </c>
      <c r="D549" s="1" t="s">
        <v>1973</v>
      </c>
      <c r="E549" s="1" t="s">
        <v>1998</v>
      </c>
      <c r="F549" s="1" t="s">
        <v>1999</v>
      </c>
      <c r="G549" s="1" t="s">
        <v>2000</v>
      </c>
      <c r="H549" s="1" t="str">
        <f t="shared" si="32"/>
        <v/>
      </c>
      <c r="I549" s="1" t="str">
        <f t="shared" si="33"/>
        <v/>
      </c>
      <c r="J549" s="1" t="str">
        <f t="shared" si="34"/>
        <v>信息存储[{#INSTANCE}]: RPC请求延迟太高(&gt;{$MS.EXCHANGE.RPC.WARN}秒达{$MS.EXCHANGE.RPC.TIME})</v>
      </c>
      <c r="K549" s="1" t="str">
        <f t="shared" si="35"/>
        <v/>
      </c>
    </row>
    <row r="550" spans="1:11">
      <c r="A550" s="1">
        <v>1652</v>
      </c>
      <c r="B550" s="1" t="s">
        <v>9495</v>
      </c>
      <c r="C550" s="1" t="s">
        <v>9299</v>
      </c>
      <c r="D550" s="1" t="s">
        <v>1973</v>
      </c>
      <c r="E550" s="1" t="s">
        <v>2002</v>
      </c>
      <c r="F550" s="1" t="s">
        <v>2003</v>
      </c>
      <c r="G550" s="1" t="s">
        <v>2004</v>
      </c>
      <c r="H550" s="1" t="str">
        <f t="shared" si="32"/>
        <v/>
      </c>
      <c r="I550" s="1" t="str">
        <f t="shared" si="33"/>
        <v/>
      </c>
      <c r="J550" s="1" t="str">
        <f t="shared" si="34"/>
        <v>信息存储[{#INSTANCE}]: RPC请求总数太高(&gt;{$MS.EXCHANGE.RPC.COUNT.TIME}达{$MS.EXCHANGE.RPC.COUNT.WARN})</v>
      </c>
      <c r="K550" s="1" t="str">
        <f t="shared" si="35"/>
        <v/>
      </c>
    </row>
    <row r="551" spans="1:11">
      <c r="A551" s="1">
        <v>1653</v>
      </c>
      <c r="B551" s="1" t="s">
        <v>9496</v>
      </c>
      <c r="C551" s="1" t="s">
        <v>9294</v>
      </c>
      <c r="D551" s="1" t="s">
        <v>2006</v>
      </c>
      <c r="E551" s="1" t="s">
        <v>2007</v>
      </c>
      <c r="F551" s="1" t="s">
        <v>1975</v>
      </c>
      <c r="G551" s="1" t="s">
        <v>1976</v>
      </c>
      <c r="H551" s="1" t="str">
        <f t="shared" si="32"/>
        <v/>
      </c>
      <c r="I551" s="1" t="str">
        <f t="shared" si="33"/>
        <v/>
      </c>
      <c r="J551" s="1" t="str">
        <f t="shared" si="34"/>
        <v>数据库计数器[{#INSTANCE}]: 平均读取时间延迟太高(&gt;{$MS.EXCHANGE.DB.ACTIVE.READ.TIME}达{$MS.EXCHANGE.DB.ACTIVE.READ.WARN}秒)</v>
      </c>
      <c r="K551" s="1" t="str">
        <f t="shared" si="35"/>
        <v/>
      </c>
    </row>
    <row r="552" spans="1:11">
      <c r="A552" s="1">
        <v>1656</v>
      </c>
      <c r="B552" s="1" t="s">
        <v>9496</v>
      </c>
      <c r="C552" s="1" t="s">
        <v>9330</v>
      </c>
      <c r="D552" s="1" t="s">
        <v>2006</v>
      </c>
      <c r="E552" s="1" t="s">
        <v>2009</v>
      </c>
      <c r="F552" s="1" t="s">
        <v>1979</v>
      </c>
      <c r="G552" s="1" t="s">
        <v>1980</v>
      </c>
      <c r="H552" s="1" t="str">
        <f t="shared" si="32"/>
        <v/>
      </c>
      <c r="I552" s="1" t="str">
        <f t="shared" si="33"/>
        <v/>
      </c>
      <c r="J552" s="1" t="str">
        <f t="shared" si="34"/>
        <v>数据库计数器[{#INSTANCE}]: 平均读取时间延迟太高(&gt;{$MS.EXCHANGE.DB.PASSIVE.READ.TIME}达{$MS.EXCHANGE.DB.PASSIVE.READ.WARN}秒)</v>
      </c>
      <c r="K552" s="1" t="str">
        <f t="shared" si="35"/>
        <v/>
      </c>
    </row>
    <row r="553" spans="1:11">
      <c r="A553" s="1">
        <v>1657</v>
      </c>
      <c r="B553" s="1" t="s">
        <v>9496</v>
      </c>
      <c r="C553" s="1" t="s">
        <v>9296</v>
      </c>
      <c r="D553" s="1" t="s">
        <v>2006</v>
      </c>
      <c r="E553" s="1" t="s">
        <v>2011</v>
      </c>
      <c r="F553" s="1" t="s">
        <v>1983</v>
      </c>
      <c r="G553" s="1" t="s">
        <v>1984</v>
      </c>
      <c r="H553" s="1" t="str">
        <f t="shared" si="32"/>
        <v/>
      </c>
      <c r="I553" s="1" t="str">
        <f t="shared" si="33"/>
        <v/>
      </c>
      <c r="J553" s="1" t="str">
        <f t="shared" si="34"/>
        <v>域控制器[{#INSTANCE}]: LDAP读取时间太长(&gt;{$MS.EXCHANGE.LDAP.WARN}秒达{$MS.EXCHANGE.LDAP.TIME})</v>
      </c>
      <c r="K553" s="1" t="str">
        <f t="shared" si="35"/>
        <v/>
      </c>
    </row>
    <row r="554" spans="1:11">
      <c r="A554" s="1">
        <v>1658</v>
      </c>
      <c r="B554" s="1" t="s">
        <v>9496</v>
      </c>
      <c r="C554" s="1" t="s">
        <v>9331</v>
      </c>
      <c r="D554" s="1" t="s">
        <v>2006</v>
      </c>
      <c r="E554" s="1" t="s">
        <v>2013</v>
      </c>
      <c r="F554" s="1" t="s">
        <v>1987</v>
      </c>
      <c r="G554" s="1" t="s">
        <v>1988</v>
      </c>
      <c r="H554" s="1" t="str">
        <f t="shared" si="32"/>
        <v/>
      </c>
      <c r="I554" s="1" t="str">
        <f t="shared" si="33"/>
        <v/>
      </c>
      <c r="J554" s="1" t="str">
        <f t="shared" si="34"/>
        <v>域控制器[{#INSTANCE}]: LDAP搜索时间太长(&gt;{$MS.EXCHANGE.LDAP.WARN}秒达{$MS.EXCHANGE.LDAP.TIME})</v>
      </c>
      <c r="K554" s="1" t="str">
        <f t="shared" si="35"/>
        <v/>
      </c>
    </row>
    <row r="555" spans="1:11">
      <c r="A555" s="1">
        <v>1659</v>
      </c>
      <c r="B555" s="1" t="s">
        <v>9496</v>
      </c>
      <c r="C555" s="1" t="s">
        <v>9332</v>
      </c>
      <c r="D555" s="1" t="s">
        <v>2006</v>
      </c>
      <c r="E555" s="1" t="s">
        <v>2015</v>
      </c>
      <c r="F555" s="1" t="s">
        <v>1991</v>
      </c>
      <c r="G555" s="1" t="s">
        <v>1992</v>
      </c>
      <c r="H555" s="1" t="str">
        <f t="shared" si="32"/>
        <v/>
      </c>
      <c r="I555" s="1" t="str">
        <f t="shared" si="33"/>
        <v/>
      </c>
      <c r="J555" s="1" t="str">
        <f t="shared" si="34"/>
        <v>信息存储[{#INSTANCE}]: 日志记录停顿太高(&gt;{$MS.EXCHANGE.LOG.STALLS.WARN}达{$MS.EXCHANGE.LOG.STALLS.TIME})</v>
      </c>
      <c r="K555" s="1" t="str">
        <f t="shared" si="35"/>
        <v/>
      </c>
    </row>
    <row r="556" spans="1:11">
      <c r="A556" s="1">
        <v>1660</v>
      </c>
      <c r="B556" s="1" t="s">
        <v>9496</v>
      </c>
      <c r="C556" s="1" t="s">
        <v>9297</v>
      </c>
      <c r="D556" s="1" t="s">
        <v>2006</v>
      </c>
      <c r="E556" s="1" t="s">
        <v>2017</v>
      </c>
      <c r="F556" s="1" t="s">
        <v>1995</v>
      </c>
      <c r="G556" s="1" t="s">
        <v>1996</v>
      </c>
      <c r="H556" s="1" t="str">
        <f t="shared" si="32"/>
        <v/>
      </c>
      <c r="I556" s="1" t="str">
        <f t="shared" si="33"/>
        <v/>
      </c>
      <c r="J556" s="1" t="str">
        <f t="shared" si="34"/>
        <v>信息存储[{#INSTANCE}]: 页面错误太高(&gt;{$MS.EXCHANGE.DB.FAULTS.WARN}达{$MS.EXCHANGE.DB.FAULTS.TIME})</v>
      </c>
      <c r="K556" s="1" t="str">
        <f t="shared" si="35"/>
        <v/>
      </c>
    </row>
    <row r="557" spans="1:11">
      <c r="A557" s="1">
        <v>1661</v>
      </c>
      <c r="B557" s="1" t="s">
        <v>9496</v>
      </c>
      <c r="C557" s="1" t="s">
        <v>9298</v>
      </c>
      <c r="D557" s="1" t="s">
        <v>2006</v>
      </c>
      <c r="E557" s="1" t="s">
        <v>2019</v>
      </c>
      <c r="F557" s="1" t="s">
        <v>1999</v>
      </c>
      <c r="G557" s="1" t="s">
        <v>2000</v>
      </c>
      <c r="H557" s="1" t="str">
        <f t="shared" si="32"/>
        <v/>
      </c>
      <c r="I557" s="1" t="str">
        <f t="shared" si="33"/>
        <v/>
      </c>
      <c r="J557" s="1" t="str">
        <f t="shared" si="34"/>
        <v>信息存储[{#INSTANCE}]: RPC请求延迟太高(&gt;{$MS.EXCHANGE.RPC.WARN}秒达{$MS.EXCHANGE.RPC.TIME})</v>
      </c>
      <c r="K557" s="1" t="str">
        <f t="shared" si="35"/>
        <v/>
      </c>
    </row>
    <row r="558" spans="1:11">
      <c r="A558" s="1">
        <v>1662</v>
      </c>
      <c r="B558" s="1" t="s">
        <v>9496</v>
      </c>
      <c r="C558" s="1" t="s">
        <v>9299</v>
      </c>
      <c r="D558" s="1" t="s">
        <v>2006</v>
      </c>
      <c r="E558" s="1" t="s">
        <v>2021</v>
      </c>
      <c r="F558" s="1" t="s">
        <v>2003</v>
      </c>
      <c r="G558" s="1" t="s">
        <v>2004</v>
      </c>
      <c r="H558" s="1" t="str">
        <f t="shared" si="32"/>
        <v/>
      </c>
      <c r="I558" s="1" t="str">
        <f t="shared" si="33"/>
        <v/>
      </c>
      <c r="J558" s="1" t="str">
        <f t="shared" si="34"/>
        <v>信息存储[{#INSTANCE}]: RPC请求总数太高(&gt;{$MS.EXCHANGE.RPC.COUNT.TIME}达{$MS.EXCHANGE.RPC.COUNT.WARN})</v>
      </c>
      <c r="K558" s="1" t="str">
        <f t="shared" si="35"/>
        <v/>
      </c>
    </row>
    <row r="559" spans="1:11">
      <c r="A559" s="1">
        <v>1663</v>
      </c>
      <c r="B559" s="1" t="s">
        <v>9497</v>
      </c>
      <c r="C559" s="1" t="s">
        <v>9098</v>
      </c>
      <c r="D559" s="1" t="s">
        <v>2023</v>
      </c>
      <c r="E559" s="1" t="s">
        <v>2024</v>
      </c>
      <c r="F559" s="1" t="s">
        <v>541</v>
      </c>
      <c r="G559" s="1" t="s">
        <v>542</v>
      </c>
      <c r="H559" s="1" t="str">
        <f t="shared" si="32"/>
        <v/>
      </c>
      <c r="I559" s="1" t="str">
        <f t="shared" si="33"/>
        <v/>
      </c>
      <c r="J559" s="1" t="str">
        <f t="shared" si="34"/>
        <v>#{#SNMPINDEX}: CPU使用率高了(超过{$CPU.UTIL.CRIT}%达5分钟)</v>
      </c>
      <c r="K559" s="1" t="str">
        <f t="shared" si="35"/>
        <v/>
      </c>
    </row>
    <row r="560" spans="1:11">
      <c r="A560" s="1">
        <v>1664</v>
      </c>
      <c r="B560" s="1" t="s">
        <v>9497</v>
      </c>
      <c r="C560" s="1" t="s">
        <v>9100</v>
      </c>
      <c r="D560" s="1" t="s">
        <v>2023</v>
      </c>
      <c r="E560" s="1" t="s">
        <v>2026</v>
      </c>
      <c r="F560" s="1" t="s">
        <v>1557</v>
      </c>
      <c r="G560" s="1" t="s">
        <v>1558</v>
      </c>
      <c r="H560" s="1" t="str">
        <f t="shared" si="32"/>
        <v>CPU</v>
      </c>
      <c r="I560" s="1" t="str">
        <f t="shared" si="33"/>
        <v>温度高于临界阈值: &gt;{$TEMP_CRIT: "CPU"}</v>
      </c>
      <c r="J560" s="1" t="str">
        <f t="shared" si="34"/>
        <v>CPU: 温度高于临界阈值: &gt;{$TEMP_CRIT: "CPU"}</v>
      </c>
      <c r="K560" s="1" t="str">
        <f t="shared" si="35"/>
        <v>Temperature is above critical threshold: &gt;{$TEMP_CRIT:"CPU"}</v>
      </c>
    </row>
    <row r="561" spans="1:11">
      <c r="A561" s="1">
        <v>1665</v>
      </c>
      <c r="B561" s="1" t="s">
        <v>9497</v>
      </c>
      <c r="C561" s="1" t="s">
        <v>9102</v>
      </c>
      <c r="D561" s="1" t="s">
        <v>2023</v>
      </c>
      <c r="E561" s="1" t="s">
        <v>2028</v>
      </c>
      <c r="F561" s="1" t="s">
        <v>1553</v>
      </c>
      <c r="G561" s="1" t="s">
        <v>1554</v>
      </c>
      <c r="H561" s="1" t="str">
        <f t="shared" si="32"/>
        <v>CPU</v>
      </c>
      <c r="I561" s="1" t="str">
        <f t="shared" si="33"/>
        <v>温度高于告警阈值: &gt;{$TEMP_WARN: "CPU"}</v>
      </c>
      <c r="J561" s="1" t="str">
        <f t="shared" si="34"/>
        <v>CPU: 温度高于告警阈值: &gt;{$TEMP_WARN: "CPU"}</v>
      </c>
      <c r="K561" s="1" t="str">
        <f t="shared" si="35"/>
        <v>Temperature is above warning threshold: &gt;{$TEMP_WARN:"CPU"}</v>
      </c>
    </row>
    <row r="562" spans="1:11">
      <c r="A562" s="1">
        <v>1666</v>
      </c>
      <c r="B562" s="1" t="s">
        <v>9497</v>
      </c>
      <c r="C562" s="1" t="s">
        <v>9104</v>
      </c>
      <c r="D562" s="1" t="s">
        <v>2023</v>
      </c>
      <c r="E562" s="1" t="s">
        <v>2030</v>
      </c>
      <c r="F562" s="1" t="s">
        <v>1561</v>
      </c>
      <c r="G562" s="1" t="s">
        <v>1562</v>
      </c>
      <c r="H562" s="1" t="str">
        <f t="shared" si="32"/>
        <v>CPU</v>
      </c>
      <c r="I562" s="1" t="str">
        <f t="shared" si="33"/>
        <v>温度太低: &lt;{$TEMP_CRIT_LOW: "CPU"}</v>
      </c>
      <c r="J562" s="1" t="str">
        <f t="shared" si="34"/>
        <v>CPU: 温度太低: &lt;{$TEMP_CRIT_LOW: "CPU"}</v>
      </c>
      <c r="K562" s="1" t="str">
        <f t="shared" si="35"/>
        <v>Temperature is too low: &lt;{$TEMP_CRIT_LOW:"CPU"}</v>
      </c>
    </row>
    <row r="563" spans="1:11">
      <c r="A563" s="1">
        <v>1667</v>
      </c>
      <c r="B563" s="1" t="s">
        <v>9497</v>
      </c>
      <c r="C563" s="1" t="s">
        <v>9106</v>
      </c>
      <c r="D563" s="1" t="s">
        <v>2023</v>
      </c>
      <c r="E563" s="1" t="s">
        <v>2032</v>
      </c>
      <c r="F563" s="1" t="s">
        <v>2033</v>
      </c>
      <c r="G563" s="1" t="s">
        <v>2034</v>
      </c>
      <c r="H563" s="1" t="str">
        <f t="shared" si="32"/>
        <v>Device</v>
      </c>
      <c r="I563" s="1" t="str">
        <f t="shared" si="33"/>
        <v>温度高于临界阈值: &gt;{$TEMP_CRIT: "Device"}</v>
      </c>
      <c r="J563" s="1" t="str">
        <f t="shared" si="34"/>
        <v>Device: 温度高于临界阈值: &gt;{$TEMP_CRIT: "Device"}</v>
      </c>
      <c r="K563" s="1" t="str">
        <f t="shared" si="35"/>
        <v>Temperature is above critical threshold: &gt;{$TEMP_CRIT:"Device"}</v>
      </c>
    </row>
    <row r="564" spans="1:11">
      <c r="A564" s="1">
        <v>1668</v>
      </c>
      <c r="B564" s="1" t="s">
        <v>9497</v>
      </c>
      <c r="C564" s="1" t="s">
        <v>9108</v>
      </c>
      <c r="D564" s="1" t="s">
        <v>2023</v>
      </c>
      <c r="E564" s="1" t="s">
        <v>2036</v>
      </c>
      <c r="F564" s="1" t="s">
        <v>2037</v>
      </c>
      <c r="G564" s="1" t="s">
        <v>2038</v>
      </c>
      <c r="H564" s="1" t="str">
        <f t="shared" si="32"/>
        <v>Device</v>
      </c>
      <c r="I564" s="1" t="str">
        <f t="shared" si="33"/>
        <v>温度高于告警阈值: &gt;{$TEMP_WARN: "Device"}</v>
      </c>
      <c r="J564" s="1" t="str">
        <f t="shared" si="34"/>
        <v>Device: 温度高于告警阈值: &gt;{$TEMP_WARN: "Device"}</v>
      </c>
      <c r="K564" s="1" t="str">
        <f t="shared" si="35"/>
        <v>Temperature is above warning threshold: &gt;{$TEMP_WARN:"Device"}</v>
      </c>
    </row>
    <row r="565" spans="1:11">
      <c r="A565" s="1">
        <v>1669</v>
      </c>
      <c r="B565" s="1" t="s">
        <v>9497</v>
      </c>
      <c r="C565" s="1" t="s">
        <v>9110</v>
      </c>
      <c r="D565" s="1" t="s">
        <v>2023</v>
      </c>
      <c r="E565" s="1" t="s">
        <v>2040</v>
      </c>
      <c r="F565" s="1" t="s">
        <v>2041</v>
      </c>
      <c r="G565" s="1" t="s">
        <v>2042</v>
      </c>
      <c r="H565" s="1" t="str">
        <f t="shared" si="32"/>
        <v>Device</v>
      </c>
      <c r="I565" s="1" t="str">
        <f t="shared" si="33"/>
        <v>温度太低: &lt;{$TEMP_CRIT_LOW: "Device"}</v>
      </c>
      <c r="J565" s="1" t="str">
        <f t="shared" si="34"/>
        <v>Device: 温度太低: &lt;{$TEMP_CRIT_LOW: "Device"}</v>
      </c>
      <c r="K565" s="1" t="str">
        <f t="shared" si="35"/>
        <v>Temperature is too low: &lt;{$TEMP_CRIT_LOW:"Device"}</v>
      </c>
    </row>
    <row r="566" spans="1:11">
      <c r="A566" s="1">
        <v>1670</v>
      </c>
      <c r="B566" s="1" t="s">
        <v>9497</v>
      </c>
      <c r="C566" s="1" t="s">
        <v>9112</v>
      </c>
      <c r="D566" s="1" t="s">
        <v>2023</v>
      </c>
      <c r="E566" s="1" t="s">
        <v>2044</v>
      </c>
      <c r="F566" s="1" t="s">
        <v>2045</v>
      </c>
      <c r="G566" s="1" t="s">
        <v>2046</v>
      </c>
      <c r="H566" s="1" t="str">
        <f t="shared" si="32"/>
        <v/>
      </c>
      <c r="I566" s="1" t="str">
        <f t="shared" si="33"/>
        <v/>
      </c>
      <c r="J566" s="1" t="str">
        <f t="shared" si="34"/>
        <v>Disk-{#SNMPINDEX}: 磁盘空间严重不足(已使用率&gt;{$VFS.FS.PUSED.MAX.CRIT: "Disk-{#SNMPINDEX}"}%)</v>
      </c>
      <c r="K566" s="1" t="str">
        <f t="shared" si="35"/>
        <v/>
      </c>
    </row>
    <row r="567" spans="1:11">
      <c r="A567" s="1">
        <v>1671</v>
      </c>
      <c r="B567" s="1" t="s">
        <v>9497</v>
      </c>
      <c r="C567" s="1" t="s">
        <v>9114</v>
      </c>
      <c r="D567" s="1" t="s">
        <v>2023</v>
      </c>
      <c r="E567" s="1" t="s">
        <v>2048</v>
      </c>
      <c r="F567" s="1" t="s">
        <v>2049</v>
      </c>
      <c r="G567" s="1" t="s">
        <v>2050</v>
      </c>
      <c r="H567" s="1" t="str">
        <f t="shared" si="32"/>
        <v/>
      </c>
      <c r="I567" s="1" t="str">
        <f t="shared" si="33"/>
        <v/>
      </c>
      <c r="J567" s="1" t="str">
        <f t="shared" si="34"/>
        <v>Disk-{#SNMPINDEX}: 磁盘空间不足(已使用率&gt;{$VFS.FS.PUSED.MAX.WARN: "Disk-{#SNMPINDEX}"}%)</v>
      </c>
      <c r="K567" s="1" t="str">
        <f t="shared" si="35"/>
        <v/>
      </c>
    </row>
    <row r="568" spans="1:11">
      <c r="A568" s="1">
        <v>1673</v>
      </c>
      <c r="B568" s="1" t="s">
        <v>9497</v>
      </c>
      <c r="C568" s="1" t="s">
        <v>9117</v>
      </c>
      <c r="D568" s="1" t="s">
        <v>2023</v>
      </c>
      <c r="E568" s="1" t="s">
        <v>2052</v>
      </c>
      <c r="F568" s="1" t="s">
        <v>161</v>
      </c>
      <c r="G568" s="1" t="s">
        <v>162</v>
      </c>
      <c r="H568" s="1" t="str">
        <f t="shared" si="32"/>
        <v/>
      </c>
      <c r="I568" s="1" t="str">
        <f t="shared" si="33"/>
        <v/>
      </c>
      <c r="J568" s="1" t="str">
        <f t="shared" si="34"/>
        <v>接口{#IFNAME}({#IFALIAS}): 带宽使用率太高(&gt;{$IF.UTIL.MAX: "{#IFNAME}"}%)</v>
      </c>
      <c r="K568" s="1" t="str">
        <f t="shared" si="35"/>
        <v/>
      </c>
    </row>
    <row r="569" spans="1:11">
      <c r="A569" s="1">
        <v>1674</v>
      </c>
      <c r="B569" s="1" t="s">
        <v>9497</v>
      </c>
      <c r="C569" s="1" t="s">
        <v>9119</v>
      </c>
      <c r="D569" s="1" t="s">
        <v>2023</v>
      </c>
      <c r="E569" s="1" t="s">
        <v>2054</v>
      </c>
      <c r="F569" s="1" t="s">
        <v>165</v>
      </c>
      <c r="G569" s="1" t="s">
        <v>166</v>
      </c>
      <c r="H569" s="1" t="str">
        <f t="shared" si="32"/>
        <v/>
      </c>
      <c r="I569" s="1" t="str">
        <f t="shared" si="33"/>
        <v/>
      </c>
      <c r="J569" s="1" t="str">
        <f t="shared" si="34"/>
        <v>接口{#IFNAME}({#IFALIAS}): 错误率太高(&gt;{$IF.ERRORS.WARN: "{#IFNAME}"}达5分钟)</v>
      </c>
      <c r="K569" s="1" t="str">
        <f t="shared" si="35"/>
        <v/>
      </c>
    </row>
    <row r="570" spans="1:11">
      <c r="A570" s="1">
        <v>1676</v>
      </c>
      <c r="B570" s="1" t="s">
        <v>9497</v>
      </c>
      <c r="C570" s="1" t="s">
        <v>9121</v>
      </c>
      <c r="D570" s="1" t="s">
        <v>2023</v>
      </c>
      <c r="E570" s="1" t="s">
        <v>2056</v>
      </c>
      <c r="F570" s="1" t="s">
        <v>2057</v>
      </c>
      <c r="G570" s="1" t="s">
        <v>2058</v>
      </c>
      <c r="H570" s="1" t="str">
        <f t="shared" si="32"/>
        <v/>
      </c>
      <c r="I570" s="1" t="str">
        <f t="shared" si="33"/>
        <v/>
      </c>
      <c r="J570" s="1" t="str">
        <f t="shared" si="34"/>
        <v>接口{#IFNAME}({#IFALIAS}): LTE调制解调器RSRP低(低于{$LTEMODEM.RSRP.MIN.WARN}dbm5分钟)</v>
      </c>
      <c r="K570" s="1" t="str">
        <f t="shared" si="35"/>
        <v/>
      </c>
    </row>
    <row r="571" spans="1:11">
      <c r="A571" s="1">
        <v>1677</v>
      </c>
      <c r="B571" s="1" t="s">
        <v>9497</v>
      </c>
      <c r="C571" s="1" t="s">
        <v>9122</v>
      </c>
      <c r="D571" s="1" t="s">
        <v>2023</v>
      </c>
      <c r="E571" s="1" t="s">
        <v>2060</v>
      </c>
      <c r="F571" s="1" t="s">
        <v>2061</v>
      </c>
      <c r="G571" s="1" t="s">
        <v>2062</v>
      </c>
      <c r="H571" s="1" t="str">
        <f t="shared" si="32"/>
        <v/>
      </c>
      <c r="I571" s="1" t="str">
        <f t="shared" si="33"/>
        <v/>
      </c>
      <c r="J571" s="1" t="str">
        <f t="shared" si="34"/>
        <v>接口{#IFNAME}({#IFALIAS}): LTE调制解调器RSRQ低(低于{$LTEMODEM.RSRQ.MIN.WARN}db5分钟)</v>
      </c>
      <c r="K571" s="1" t="str">
        <f t="shared" si="35"/>
        <v/>
      </c>
    </row>
    <row r="572" spans="1:11">
      <c r="A572" s="1">
        <v>1678</v>
      </c>
      <c r="B572" s="1" t="s">
        <v>9497</v>
      </c>
      <c r="C572" s="1" t="s">
        <v>9123</v>
      </c>
      <c r="D572" s="1" t="s">
        <v>2023</v>
      </c>
      <c r="E572" s="1" t="s">
        <v>2064</v>
      </c>
      <c r="F572" s="1" t="s">
        <v>2065</v>
      </c>
      <c r="G572" s="1" t="s">
        <v>2058</v>
      </c>
      <c r="H572" s="1" t="str">
        <f t="shared" si="32"/>
        <v/>
      </c>
      <c r="I572" s="1" t="str">
        <f t="shared" si="33"/>
        <v/>
      </c>
      <c r="J572" s="1" t="str">
        <f t="shared" si="34"/>
        <v>接口{#IFNAME}({#IFALIAS}): LTE调制解调器RSRP低(低于{$LTEMODEM.RSRP.MIN.WARN}dbm5分钟)</v>
      </c>
      <c r="K572" s="1" t="str">
        <f t="shared" si="35"/>
        <v/>
      </c>
    </row>
    <row r="573" spans="1:11">
      <c r="A573" s="1">
        <v>1679</v>
      </c>
      <c r="B573" s="1" t="s">
        <v>9497</v>
      </c>
      <c r="C573" s="1" t="s">
        <v>9124</v>
      </c>
      <c r="D573" s="1" t="s">
        <v>2023</v>
      </c>
      <c r="E573" s="1" t="s">
        <v>2067</v>
      </c>
      <c r="F573" s="1" t="s">
        <v>2068</v>
      </c>
      <c r="G573" s="1" t="s">
        <v>2062</v>
      </c>
      <c r="H573" s="1" t="str">
        <f t="shared" si="32"/>
        <v/>
      </c>
      <c r="I573" s="1" t="str">
        <f t="shared" si="33"/>
        <v/>
      </c>
      <c r="J573" s="1" t="str">
        <f t="shared" si="34"/>
        <v>接口{#IFNAME}({#IFALIAS}): LTE调制解调器RSRQ低(低于{$LTEMODEM.RSRQ.MIN.WARN}db5分钟)</v>
      </c>
      <c r="K573" s="1" t="str">
        <f t="shared" si="35"/>
        <v/>
      </c>
    </row>
    <row r="574" spans="1:11">
      <c r="A574" s="1">
        <v>1681</v>
      </c>
      <c r="B574" s="1" t="s">
        <v>9498</v>
      </c>
      <c r="C574" s="1" t="s">
        <v>9098</v>
      </c>
      <c r="D574" s="1" t="s">
        <v>2070</v>
      </c>
      <c r="E574" s="1" t="s">
        <v>2071</v>
      </c>
      <c r="F574" s="1" t="s">
        <v>541</v>
      </c>
      <c r="G574" s="1" t="s">
        <v>542</v>
      </c>
      <c r="H574" s="1" t="str">
        <f t="shared" si="32"/>
        <v/>
      </c>
      <c r="I574" s="1" t="str">
        <f t="shared" si="33"/>
        <v/>
      </c>
      <c r="J574" s="1" t="str">
        <f t="shared" si="34"/>
        <v>#{#SNMPINDEX}: CPU使用率高了(超过{$CPU.UTIL.CRIT}%达5分钟)</v>
      </c>
      <c r="K574" s="1" t="str">
        <f t="shared" si="35"/>
        <v/>
      </c>
    </row>
    <row r="575" spans="1:11">
      <c r="A575" s="1">
        <v>1682</v>
      </c>
      <c r="B575" s="1" t="s">
        <v>9498</v>
      </c>
      <c r="C575" s="1" t="s">
        <v>9100</v>
      </c>
      <c r="D575" s="1" t="s">
        <v>2070</v>
      </c>
      <c r="E575" s="1" t="s">
        <v>2073</v>
      </c>
      <c r="F575" s="1" t="s">
        <v>1557</v>
      </c>
      <c r="G575" s="1" t="s">
        <v>1558</v>
      </c>
      <c r="H575" s="1" t="str">
        <f t="shared" si="32"/>
        <v>CPU</v>
      </c>
      <c r="I575" s="1" t="str">
        <f t="shared" si="33"/>
        <v>温度高于临界阈值: &gt;{$TEMP_CRIT: "CPU"}</v>
      </c>
      <c r="J575" s="1" t="str">
        <f t="shared" si="34"/>
        <v>CPU: 温度高于临界阈值: &gt;{$TEMP_CRIT: "CPU"}</v>
      </c>
      <c r="K575" s="1" t="str">
        <f t="shared" si="35"/>
        <v>Temperature is above critical threshold: &gt;{$TEMP_CRIT:"CPU"}</v>
      </c>
    </row>
    <row r="576" spans="1:11">
      <c r="A576" s="1">
        <v>1683</v>
      </c>
      <c r="B576" s="1" t="s">
        <v>9498</v>
      </c>
      <c r="C576" s="1" t="s">
        <v>9102</v>
      </c>
      <c r="D576" s="1" t="s">
        <v>2070</v>
      </c>
      <c r="E576" s="1" t="s">
        <v>2075</v>
      </c>
      <c r="F576" s="1" t="s">
        <v>1553</v>
      </c>
      <c r="G576" s="1" t="s">
        <v>1554</v>
      </c>
      <c r="H576" s="1" t="str">
        <f t="shared" si="32"/>
        <v>CPU</v>
      </c>
      <c r="I576" s="1" t="str">
        <f t="shared" si="33"/>
        <v>温度高于告警阈值: &gt;{$TEMP_WARN: "CPU"}</v>
      </c>
      <c r="J576" s="1" t="str">
        <f t="shared" si="34"/>
        <v>CPU: 温度高于告警阈值: &gt;{$TEMP_WARN: "CPU"}</v>
      </c>
      <c r="K576" s="1" t="str">
        <f t="shared" si="35"/>
        <v>Temperature is above warning threshold: &gt;{$TEMP_WARN:"CPU"}</v>
      </c>
    </row>
    <row r="577" spans="1:11">
      <c r="A577" s="1">
        <v>1684</v>
      </c>
      <c r="B577" s="1" t="s">
        <v>9498</v>
      </c>
      <c r="C577" s="1" t="s">
        <v>9104</v>
      </c>
      <c r="D577" s="1" t="s">
        <v>2070</v>
      </c>
      <c r="E577" s="1" t="s">
        <v>2077</v>
      </c>
      <c r="F577" s="1" t="s">
        <v>1561</v>
      </c>
      <c r="G577" s="1" t="s">
        <v>1562</v>
      </c>
      <c r="H577" s="1" t="str">
        <f t="shared" si="32"/>
        <v>CPU</v>
      </c>
      <c r="I577" s="1" t="str">
        <f t="shared" si="33"/>
        <v>温度太低: &lt;{$TEMP_CRIT_LOW: "CPU"}</v>
      </c>
      <c r="J577" s="1" t="str">
        <f t="shared" si="34"/>
        <v>CPU: 温度太低: &lt;{$TEMP_CRIT_LOW: "CPU"}</v>
      </c>
      <c r="K577" s="1" t="str">
        <f t="shared" si="35"/>
        <v>Temperature is too low: &lt;{$TEMP_CRIT_LOW:"CPU"}</v>
      </c>
    </row>
    <row r="578" spans="1:11">
      <c r="A578" s="1">
        <v>1685</v>
      </c>
      <c r="B578" s="1" t="s">
        <v>9498</v>
      </c>
      <c r="C578" s="1" t="s">
        <v>9106</v>
      </c>
      <c r="D578" s="1" t="s">
        <v>2070</v>
      </c>
      <c r="E578" s="1" t="s">
        <v>2079</v>
      </c>
      <c r="F578" s="1" t="s">
        <v>2033</v>
      </c>
      <c r="G578" s="1" t="s">
        <v>2034</v>
      </c>
      <c r="H578" s="1" t="str">
        <f t="shared" ref="H578:H641" si="36">IFERROR(IF(OR(MID(G578,FIND(":",G578)-1,1)="""",MID(G578,FIND(":",G578)-1,1)="}",MID(G578,FIND(":",G578)-1,1)=")",MID(G578,FIND(":",G578)-1,1)="]"),"",LEFT(F578,FIND(":",F578)-1)),"")</f>
        <v>Device</v>
      </c>
      <c r="I578" s="1" t="str">
        <f t="shared" ref="I578:I641" si="37">IFERROR(IF(OR(MID(G578,FIND(":",G578)-1,1)="""",MID(G578,FIND(":",G578)-1,1)="}",MID(G578,FIND(":",G578)-1,1)=")",MID(G578,FIND(":",G578)-1,1)="]"),"",RIGHT(G578,LEN(G578)-FIND(":",G578)-1)),"")</f>
        <v>温度高于临界阈值: &gt;{$TEMP_CRIT: "Device"}</v>
      </c>
      <c r="J578" s="1" t="str">
        <f t="shared" ref="J578:J641" si="38">IF(AND(I578="",H578=""),G578,H578&amp;": "&amp;I578)</f>
        <v>Device: 温度高于临界阈值: &gt;{$TEMP_CRIT: "Device"}</v>
      </c>
      <c r="K578" s="1" t="str">
        <f t="shared" ref="K578:K641" si="39">IFERROR(IF(OR(MID(F578,FIND(":",F578)-1,1)="""",MID(F578,FIND(":",F578)-1,1)="}",MID(F578,FIND(":",F578)-1,1)=")",MID(F578,FIND(":",F578)-1,1)="]"),"",RIGHT(F578,LEN(F578)-FIND(":",F578)-1)),"")</f>
        <v>Temperature is above critical threshold: &gt;{$TEMP_CRIT:"Device"}</v>
      </c>
    </row>
    <row r="579" spans="1:11">
      <c r="A579" s="1">
        <v>1686</v>
      </c>
      <c r="B579" s="1" t="s">
        <v>9498</v>
      </c>
      <c r="C579" s="1" t="s">
        <v>9108</v>
      </c>
      <c r="D579" s="1" t="s">
        <v>2070</v>
      </c>
      <c r="E579" s="1" t="s">
        <v>2081</v>
      </c>
      <c r="F579" s="1" t="s">
        <v>2037</v>
      </c>
      <c r="G579" s="1" t="s">
        <v>2038</v>
      </c>
      <c r="H579" s="1" t="str">
        <f t="shared" si="36"/>
        <v>Device</v>
      </c>
      <c r="I579" s="1" t="str">
        <f t="shared" si="37"/>
        <v>温度高于告警阈值: &gt;{$TEMP_WARN: "Device"}</v>
      </c>
      <c r="J579" s="1" t="str">
        <f t="shared" si="38"/>
        <v>Device: 温度高于告警阈值: &gt;{$TEMP_WARN: "Device"}</v>
      </c>
      <c r="K579" s="1" t="str">
        <f t="shared" si="39"/>
        <v>Temperature is above warning threshold: &gt;{$TEMP_WARN:"Device"}</v>
      </c>
    </row>
    <row r="580" spans="1:11">
      <c r="A580" s="1">
        <v>1687</v>
      </c>
      <c r="B580" s="1" t="s">
        <v>9498</v>
      </c>
      <c r="C580" s="1" t="s">
        <v>9110</v>
      </c>
      <c r="D580" s="1" t="s">
        <v>2070</v>
      </c>
      <c r="E580" s="1" t="s">
        <v>2083</v>
      </c>
      <c r="F580" s="1" t="s">
        <v>2041</v>
      </c>
      <c r="G580" s="1" t="s">
        <v>2042</v>
      </c>
      <c r="H580" s="1" t="str">
        <f t="shared" si="36"/>
        <v>Device</v>
      </c>
      <c r="I580" s="1" t="str">
        <f t="shared" si="37"/>
        <v>温度太低: &lt;{$TEMP_CRIT_LOW: "Device"}</v>
      </c>
      <c r="J580" s="1" t="str">
        <f t="shared" si="38"/>
        <v>Device: 温度太低: &lt;{$TEMP_CRIT_LOW: "Device"}</v>
      </c>
      <c r="K580" s="1" t="str">
        <f t="shared" si="39"/>
        <v>Temperature is too low: &lt;{$TEMP_CRIT_LOW:"Device"}</v>
      </c>
    </row>
    <row r="581" spans="1:11">
      <c r="A581" s="1">
        <v>1688</v>
      </c>
      <c r="B581" s="1" t="s">
        <v>9498</v>
      </c>
      <c r="C581" s="1" t="s">
        <v>9112</v>
      </c>
      <c r="D581" s="1" t="s">
        <v>2070</v>
      </c>
      <c r="E581" s="1" t="s">
        <v>2085</v>
      </c>
      <c r="F581" s="1" t="s">
        <v>2045</v>
      </c>
      <c r="G581" s="1" t="s">
        <v>2046</v>
      </c>
      <c r="H581" s="1" t="str">
        <f t="shared" si="36"/>
        <v/>
      </c>
      <c r="I581" s="1" t="str">
        <f t="shared" si="37"/>
        <v/>
      </c>
      <c r="J581" s="1" t="str">
        <f t="shared" si="38"/>
        <v>Disk-{#SNMPINDEX}: 磁盘空间严重不足(已使用率&gt;{$VFS.FS.PUSED.MAX.CRIT: "Disk-{#SNMPINDEX}"}%)</v>
      </c>
      <c r="K581" s="1" t="str">
        <f t="shared" si="39"/>
        <v/>
      </c>
    </row>
    <row r="582" spans="1:11">
      <c r="A582" s="1">
        <v>1689</v>
      </c>
      <c r="B582" s="1" t="s">
        <v>9498</v>
      </c>
      <c r="C582" s="1" t="s">
        <v>9114</v>
      </c>
      <c r="D582" s="1" t="s">
        <v>2070</v>
      </c>
      <c r="E582" s="1" t="s">
        <v>2087</v>
      </c>
      <c r="F582" s="1" t="s">
        <v>2049</v>
      </c>
      <c r="G582" s="1" t="s">
        <v>2050</v>
      </c>
      <c r="H582" s="1" t="str">
        <f t="shared" si="36"/>
        <v/>
      </c>
      <c r="I582" s="1" t="str">
        <f t="shared" si="37"/>
        <v/>
      </c>
      <c r="J582" s="1" t="str">
        <f t="shared" si="38"/>
        <v>Disk-{#SNMPINDEX}: 磁盘空间不足(已使用率&gt;{$VFS.FS.PUSED.MAX.WARN: "Disk-{#SNMPINDEX}"}%)</v>
      </c>
      <c r="K582" s="1" t="str">
        <f t="shared" si="39"/>
        <v/>
      </c>
    </row>
    <row r="583" spans="1:11">
      <c r="A583" s="1">
        <v>1691</v>
      </c>
      <c r="B583" s="1" t="s">
        <v>9498</v>
      </c>
      <c r="C583" s="1" t="s">
        <v>9117</v>
      </c>
      <c r="D583" s="1" t="s">
        <v>2070</v>
      </c>
      <c r="E583" s="1" t="s">
        <v>2089</v>
      </c>
      <c r="F583" s="1" t="s">
        <v>161</v>
      </c>
      <c r="G583" s="1" t="s">
        <v>162</v>
      </c>
      <c r="H583" s="1" t="str">
        <f t="shared" si="36"/>
        <v/>
      </c>
      <c r="I583" s="1" t="str">
        <f t="shared" si="37"/>
        <v/>
      </c>
      <c r="J583" s="1" t="str">
        <f t="shared" si="38"/>
        <v>接口{#IFNAME}({#IFALIAS}): 带宽使用率太高(&gt;{$IF.UTIL.MAX: "{#IFNAME}"}%)</v>
      </c>
      <c r="K583" s="1" t="str">
        <f t="shared" si="39"/>
        <v/>
      </c>
    </row>
    <row r="584" spans="1:11">
      <c r="A584" s="1">
        <v>1692</v>
      </c>
      <c r="B584" s="1" t="s">
        <v>9498</v>
      </c>
      <c r="C584" s="1" t="s">
        <v>9119</v>
      </c>
      <c r="D584" s="1" t="s">
        <v>2070</v>
      </c>
      <c r="E584" s="1" t="s">
        <v>2091</v>
      </c>
      <c r="F584" s="1" t="s">
        <v>165</v>
      </c>
      <c r="G584" s="1" t="s">
        <v>166</v>
      </c>
      <c r="H584" s="1" t="str">
        <f t="shared" si="36"/>
        <v/>
      </c>
      <c r="I584" s="1" t="str">
        <f t="shared" si="37"/>
        <v/>
      </c>
      <c r="J584" s="1" t="str">
        <f t="shared" si="38"/>
        <v>接口{#IFNAME}({#IFALIAS}): 错误率太高(&gt;{$IF.ERRORS.WARN: "{#IFNAME}"}达5分钟)</v>
      </c>
      <c r="K584" s="1" t="str">
        <f t="shared" si="39"/>
        <v/>
      </c>
    </row>
    <row r="585" spans="1:11">
      <c r="A585" s="1">
        <v>1694</v>
      </c>
      <c r="B585" s="1" t="s">
        <v>9498</v>
      </c>
      <c r="C585" s="1" t="s">
        <v>9121</v>
      </c>
      <c r="D585" s="1" t="s">
        <v>2070</v>
      </c>
      <c r="E585" s="1" t="s">
        <v>2093</v>
      </c>
      <c r="F585" s="1" t="s">
        <v>2057</v>
      </c>
      <c r="G585" s="1" t="s">
        <v>2058</v>
      </c>
      <c r="H585" s="1" t="str">
        <f t="shared" si="36"/>
        <v/>
      </c>
      <c r="I585" s="1" t="str">
        <f t="shared" si="37"/>
        <v/>
      </c>
      <c r="J585" s="1" t="str">
        <f t="shared" si="38"/>
        <v>接口{#IFNAME}({#IFALIAS}): LTE调制解调器RSRP低(低于{$LTEMODEM.RSRP.MIN.WARN}dbm5分钟)</v>
      </c>
      <c r="K585" s="1" t="str">
        <f t="shared" si="39"/>
        <v/>
      </c>
    </row>
    <row r="586" spans="1:11">
      <c r="A586" s="1">
        <v>1695</v>
      </c>
      <c r="B586" s="1" t="s">
        <v>9498</v>
      </c>
      <c r="C586" s="1" t="s">
        <v>9122</v>
      </c>
      <c r="D586" s="1" t="s">
        <v>2070</v>
      </c>
      <c r="E586" s="1" t="s">
        <v>2095</v>
      </c>
      <c r="F586" s="1" t="s">
        <v>2061</v>
      </c>
      <c r="G586" s="1" t="s">
        <v>2062</v>
      </c>
      <c r="H586" s="1" t="str">
        <f t="shared" si="36"/>
        <v/>
      </c>
      <c r="I586" s="1" t="str">
        <f t="shared" si="37"/>
        <v/>
      </c>
      <c r="J586" s="1" t="str">
        <f t="shared" si="38"/>
        <v>接口{#IFNAME}({#IFALIAS}): LTE调制解调器RSRQ低(低于{$LTEMODEM.RSRQ.MIN.WARN}db5分钟)</v>
      </c>
      <c r="K586" s="1" t="str">
        <f t="shared" si="39"/>
        <v/>
      </c>
    </row>
    <row r="587" spans="1:11">
      <c r="A587" s="1">
        <v>1696</v>
      </c>
      <c r="B587" s="1" t="s">
        <v>9498</v>
      </c>
      <c r="C587" s="1" t="s">
        <v>9123</v>
      </c>
      <c r="D587" s="1" t="s">
        <v>2070</v>
      </c>
      <c r="E587" s="1" t="s">
        <v>2097</v>
      </c>
      <c r="F587" s="1" t="s">
        <v>2065</v>
      </c>
      <c r="G587" s="1" t="s">
        <v>2058</v>
      </c>
      <c r="H587" s="1" t="str">
        <f t="shared" si="36"/>
        <v/>
      </c>
      <c r="I587" s="1" t="str">
        <f t="shared" si="37"/>
        <v/>
      </c>
      <c r="J587" s="1" t="str">
        <f t="shared" si="38"/>
        <v>接口{#IFNAME}({#IFALIAS}): LTE调制解调器RSRP低(低于{$LTEMODEM.RSRP.MIN.WARN}dbm5分钟)</v>
      </c>
      <c r="K587" s="1" t="str">
        <f t="shared" si="39"/>
        <v/>
      </c>
    </row>
    <row r="588" spans="1:11">
      <c r="A588" s="1">
        <v>1697</v>
      </c>
      <c r="B588" s="1" t="s">
        <v>9498</v>
      </c>
      <c r="C588" s="1" t="s">
        <v>9124</v>
      </c>
      <c r="D588" s="1" t="s">
        <v>2070</v>
      </c>
      <c r="E588" s="1" t="s">
        <v>2099</v>
      </c>
      <c r="F588" s="1" t="s">
        <v>2068</v>
      </c>
      <c r="G588" s="1" t="s">
        <v>2062</v>
      </c>
      <c r="H588" s="1" t="str">
        <f t="shared" si="36"/>
        <v/>
      </c>
      <c r="I588" s="1" t="str">
        <f t="shared" si="37"/>
        <v/>
      </c>
      <c r="J588" s="1" t="str">
        <f t="shared" si="38"/>
        <v>接口{#IFNAME}({#IFALIAS}): LTE调制解调器RSRQ低(低于{$LTEMODEM.RSRQ.MIN.WARN}db5分钟)</v>
      </c>
      <c r="K588" s="1" t="str">
        <f t="shared" si="39"/>
        <v/>
      </c>
    </row>
    <row r="589" spans="1:11">
      <c r="A589" s="1">
        <v>1699</v>
      </c>
      <c r="B589" s="1" t="s">
        <v>9499</v>
      </c>
      <c r="C589" s="1" t="s">
        <v>9098</v>
      </c>
      <c r="D589" s="1" t="s">
        <v>2101</v>
      </c>
      <c r="E589" s="1" t="s">
        <v>2102</v>
      </c>
      <c r="F589" s="1" t="s">
        <v>541</v>
      </c>
      <c r="G589" s="1" t="s">
        <v>542</v>
      </c>
      <c r="H589" s="1" t="str">
        <f t="shared" si="36"/>
        <v/>
      </c>
      <c r="I589" s="1" t="str">
        <f t="shared" si="37"/>
        <v/>
      </c>
      <c r="J589" s="1" t="str">
        <f t="shared" si="38"/>
        <v>#{#SNMPINDEX}: CPU使用率高了(超过{$CPU.UTIL.CRIT}%达5分钟)</v>
      </c>
      <c r="K589" s="1" t="str">
        <f t="shared" si="39"/>
        <v/>
      </c>
    </row>
    <row r="590" spans="1:11">
      <c r="A590" s="1">
        <v>1700</v>
      </c>
      <c r="B590" s="1" t="s">
        <v>9499</v>
      </c>
      <c r="C590" s="1" t="s">
        <v>9100</v>
      </c>
      <c r="D590" s="1" t="s">
        <v>2101</v>
      </c>
      <c r="E590" s="1" t="s">
        <v>2104</v>
      </c>
      <c r="F590" s="1" t="s">
        <v>1557</v>
      </c>
      <c r="G590" s="1" t="s">
        <v>1558</v>
      </c>
      <c r="H590" s="1" t="str">
        <f t="shared" si="36"/>
        <v>CPU</v>
      </c>
      <c r="I590" s="1" t="str">
        <f t="shared" si="37"/>
        <v>温度高于临界阈值: &gt;{$TEMP_CRIT: "CPU"}</v>
      </c>
      <c r="J590" s="1" t="str">
        <f t="shared" si="38"/>
        <v>CPU: 温度高于临界阈值: &gt;{$TEMP_CRIT: "CPU"}</v>
      </c>
      <c r="K590" s="1" t="str">
        <f t="shared" si="39"/>
        <v>Temperature is above critical threshold: &gt;{$TEMP_CRIT:"CPU"}</v>
      </c>
    </row>
    <row r="591" spans="1:11">
      <c r="A591" s="1">
        <v>1701</v>
      </c>
      <c r="B591" s="1" t="s">
        <v>9499</v>
      </c>
      <c r="C591" s="1" t="s">
        <v>9102</v>
      </c>
      <c r="D591" s="1" t="s">
        <v>2101</v>
      </c>
      <c r="E591" s="1" t="s">
        <v>2106</v>
      </c>
      <c r="F591" s="1" t="s">
        <v>1553</v>
      </c>
      <c r="G591" s="1" t="s">
        <v>1554</v>
      </c>
      <c r="H591" s="1" t="str">
        <f t="shared" si="36"/>
        <v>CPU</v>
      </c>
      <c r="I591" s="1" t="str">
        <f t="shared" si="37"/>
        <v>温度高于告警阈值: &gt;{$TEMP_WARN: "CPU"}</v>
      </c>
      <c r="J591" s="1" t="str">
        <f t="shared" si="38"/>
        <v>CPU: 温度高于告警阈值: &gt;{$TEMP_WARN: "CPU"}</v>
      </c>
      <c r="K591" s="1" t="str">
        <f t="shared" si="39"/>
        <v>Temperature is above warning threshold: &gt;{$TEMP_WARN:"CPU"}</v>
      </c>
    </row>
    <row r="592" spans="1:11">
      <c r="A592" s="1">
        <v>1702</v>
      </c>
      <c r="B592" s="1" t="s">
        <v>9499</v>
      </c>
      <c r="C592" s="1" t="s">
        <v>9104</v>
      </c>
      <c r="D592" s="1" t="s">
        <v>2101</v>
      </c>
      <c r="E592" s="1" t="s">
        <v>2108</v>
      </c>
      <c r="F592" s="1" t="s">
        <v>1561</v>
      </c>
      <c r="G592" s="1" t="s">
        <v>1562</v>
      </c>
      <c r="H592" s="1" t="str">
        <f t="shared" si="36"/>
        <v>CPU</v>
      </c>
      <c r="I592" s="1" t="str">
        <f t="shared" si="37"/>
        <v>温度太低: &lt;{$TEMP_CRIT_LOW: "CPU"}</v>
      </c>
      <c r="J592" s="1" t="str">
        <f t="shared" si="38"/>
        <v>CPU: 温度太低: &lt;{$TEMP_CRIT_LOW: "CPU"}</v>
      </c>
      <c r="K592" s="1" t="str">
        <f t="shared" si="39"/>
        <v>Temperature is too low: &lt;{$TEMP_CRIT_LOW:"CPU"}</v>
      </c>
    </row>
    <row r="593" spans="1:11">
      <c r="A593" s="1">
        <v>1703</v>
      </c>
      <c r="B593" s="1" t="s">
        <v>9499</v>
      </c>
      <c r="C593" s="1" t="s">
        <v>9106</v>
      </c>
      <c r="D593" s="1" t="s">
        <v>2101</v>
      </c>
      <c r="E593" s="1" t="s">
        <v>2110</v>
      </c>
      <c r="F593" s="1" t="s">
        <v>2033</v>
      </c>
      <c r="G593" s="1" t="s">
        <v>2034</v>
      </c>
      <c r="H593" s="1" t="str">
        <f t="shared" si="36"/>
        <v>Device</v>
      </c>
      <c r="I593" s="1" t="str">
        <f t="shared" si="37"/>
        <v>温度高于临界阈值: &gt;{$TEMP_CRIT: "Device"}</v>
      </c>
      <c r="J593" s="1" t="str">
        <f t="shared" si="38"/>
        <v>Device: 温度高于临界阈值: &gt;{$TEMP_CRIT: "Device"}</v>
      </c>
      <c r="K593" s="1" t="str">
        <f t="shared" si="39"/>
        <v>Temperature is above critical threshold: &gt;{$TEMP_CRIT:"Device"}</v>
      </c>
    </row>
    <row r="594" spans="1:11">
      <c r="A594" s="1">
        <v>1704</v>
      </c>
      <c r="B594" s="1" t="s">
        <v>9499</v>
      </c>
      <c r="C594" s="1" t="s">
        <v>9108</v>
      </c>
      <c r="D594" s="1" t="s">
        <v>2101</v>
      </c>
      <c r="E594" s="1" t="s">
        <v>2112</v>
      </c>
      <c r="F594" s="1" t="s">
        <v>2037</v>
      </c>
      <c r="G594" s="1" t="s">
        <v>2038</v>
      </c>
      <c r="H594" s="1" t="str">
        <f t="shared" si="36"/>
        <v>Device</v>
      </c>
      <c r="I594" s="1" t="str">
        <f t="shared" si="37"/>
        <v>温度高于告警阈值: &gt;{$TEMP_WARN: "Device"}</v>
      </c>
      <c r="J594" s="1" t="str">
        <f t="shared" si="38"/>
        <v>Device: 温度高于告警阈值: &gt;{$TEMP_WARN: "Device"}</v>
      </c>
      <c r="K594" s="1" t="str">
        <f t="shared" si="39"/>
        <v>Temperature is above warning threshold: &gt;{$TEMP_WARN:"Device"}</v>
      </c>
    </row>
    <row r="595" spans="1:11">
      <c r="A595" s="1">
        <v>1705</v>
      </c>
      <c r="B595" s="1" t="s">
        <v>9499</v>
      </c>
      <c r="C595" s="1" t="s">
        <v>9110</v>
      </c>
      <c r="D595" s="1" t="s">
        <v>2101</v>
      </c>
      <c r="E595" s="1" t="s">
        <v>2114</v>
      </c>
      <c r="F595" s="1" t="s">
        <v>2041</v>
      </c>
      <c r="G595" s="1" t="s">
        <v>2042</v>
      </c>
      <c r="H595" s="1" t="str">
        <f t="shared" si="36"/>
        <v>Device</v>
      </c>
      <c r="I595" s="1" t="str">
        <f t="shared" si="37"/>
        <v>温度太低: &lt;{$TEMP_CRIT_LOW: "Device"}</v>
      </c>
      <c r="J595" s="1" t="str">
        <f t="shared" si="38"/>
        <v>Device: 温度太低: &lt;{$TEMP_CRIT_LOW: "Device"}</v>
      </c>
      <c r="K595" s="1" t="str">
        <f t="shared" si="39"/>
        <v>Temperature is too low: &lt;{$TEMP_CRIT_LOW:"Device"}</v>
      </c>
    </row>
    <row r="596" spans="1:11">
      <c r="A596" s="1">
        <v>1706</v>
      </c>
      <c r="B596" s="1" t="s">
        <v>9499</v>
      </c>
      <c r="C596" s="1" t="s">
        <v>9112</v>
      </c>
      <c r="D596" s="1" t="s">
        <v>2101</v>
      </c>
      <c r="E596" s="1" t="s">
        <v>2116</v>
      </c>
      <c r="F596" s="1" t="s">
        <v>2045</v>
      </c>
      <c r="G596" s="1" t="s">
        <v>2046</v>
      </c>
      <c r="H596" s="1" t="str">
        <f t="shared" si="36"/>
        <v/>
      </c>
      <c r="I596" s="1" t="str">
        <f t="shared" si="37"/>
        <v/>
      </c>
      <c r="J596" s="1" t="str">
        <f t="shared" si="38"/>
        <v>Disk-{#SNMPINDEX}: 磁盘空间严重不足(已使用率&gt;{$VFS.FS.PUSED.MAX.CRIT: "Disk-{#SNMPINDEX}"}%)</v>
      </c>
      <c r="K596" s="1" t="str">
        <f t="shared" si="39"/>
        <v/>
      </c>
    </row>
    <row r="597" spans="1:11">
      <c r="A597" s="1">
        <v>1707</v>
      </c>
      <c r="B597" s="1" t="s">
        <v>9499</v>
      </c>
      <c r="C597" s="1" t="s">
        <v>9114</v>
      </c>
      <c r="D597" s="1" t="s">
        <v>2101</v>
      </c>
      <c r="E597" s="1" t="s">
        <v>2118</v>
      </c>
      <c r="F597" s="1" t="s">
        <v>2049</v>
      </c>
      <c r="G597" s="1" t="s">
        <v>2050</v>
      </c>
      <c r="H597" s="1" t="str">
        <f t="shared" si="36"/>
        <v/>
      </c>
      <c r="I597" s="1" t="str">
        <f t="shared" si="37"/>
        <v/>
      </c>
      <c r="J597" s="1" t="str">
        <f t="shared" si="38"/>
        <v>Disk-{#SNMPINDEX}: 磁盘空间不足(已使用率&gt;{$VFS.FS.PUSED.MAX.WARN: "Disk-{#SNMPINDEX}"}%)</v>
      </c>
      <c r="K597" s="1" t="str">
        <f t="shared" si="39"/>
        <v/>
      </c>
    </row>
    <row r="598" spans="1:11">
      <c r="A598" s="1">
        <v>1709</v>
      </c>
      <c r="B598" s="1" t="s">
        <v>9499</v>
      </c>
      <c r="C598" s="1" t="s">
        <v>9117</v>
      </c>
      <c r="D598" s="1" t="s">
        <v>2101</v>
      </c>
      <c r="E598" s="1" t="s">
        <v>2120</v>
      </c>
      <c r="F598" s="1" t="s">
        <v>161</v>
      </c>
      <c r="G598" s="1" t="s">
        <v>162</v>
      </c>
      <c r="H598" s="1" t="str">
        <f t="shared" si="36"/>
        <v/>
      </c>
      <c r="I598" s="1" t="str">
        <f t="shared" si="37"/>
        <v/>
      </c>
      <c r="J598" s="1" t="str">
        <f t="shared" si="38"/>
        <v>接口{#IFNAME}({#IFALIAS}): 带宽使用率太高(&gt;{$IF.UTIL.MAX: "{#IFNAME}"}%)</v>
      </c>
      <c r="K598" s="1" t="str">
        <f t="shared" si="39"/>
        <v/>
      </c>
    </row>
    <row r="599" spans="1:11">
      <c r="A599" s="1">
        <v>1710</v>
      </c>
      <c r="B599" s="1" t="s">
        <v>9499</v>
      </c>
      <c r="C599" s="1" t="s">
        <v>9119</v>
      </c>
      <c r="D599" s="1" t="s">
        <v>2101</v>
      </c>
      <c r="E599" s="1" t="s">
        <v>2122</v>
      </c>
      <c r="F599" s="1" t="s">
        <v>165</v>
      </c>
      <c r="G599" s="1" t="s">
        <v>166</v>
      </c>
      <c r="H599" s="1" t="str">
        <f t="shared" si="36"/>
        <v/>
      </c>
      <c r="I599" s="1" t="str">
        <f t="shared" si="37"/>
        <v/>
      </c>
      <c r="J599" s="1" t="str">
        <f t="shared" si="38"/>
        <v>接口{#IFNAME}({#IFALIAS}): 错误率太高(&gt;{$IF.ERRORS.WARN: "{#IFNAME}"}达5分钟)</v>
      </c>
      <c r="K599" s="1" t="str">
        <f t="shared" si="39"/>
        <v/>
      </c>
    </row>
    <row r="600" spans="1:11">
      <c r="A600" s="1">
        <v>1712</v>
      </c>
      <c r="B600" s="1" t="s">
        <v>9499</v>
      </c>
      <c r="C600" s="1" t="s">
        <v>9121</v>
      </c>
      <c r="D600" s="1" t="s">
        <v>2101</v>
      </c>
      <c r="E600" s="1" t="s">
        <v>2124</v>
      </c>
      <c r="F600" s="1" t="s">
        <v>2057</v>
      </c>
      <c r="G600" s="1" t="s">
        <v>2058</v>
      </c>
      <c r="H600" s="1" t="str">
        <f t="shared" si="36"/>
        <v/>
      </c>
      <c r="I600" s="1" t="str">
        <f t="shared" si="37"/>
        <v/>
      </c>
      <c r="J600" s="1" t="str">
        <f t="shared" si="38"/>
        <v>接口{#IFNAME}({#IFALIAS}): LTE调制解调器RSRP低(低于{$LTEMODEM.RSRP.MIN.WARN}dbm5分钟)</v>
      </c>
      <c r="K600" s="1" t="str">
        <f t="shared" si="39"/>
        <v/>
      </c>
    </row>
    <row r="601" spans="1:11">
      <c r="A601" s="1">
        <v>1713</v>
      </c>
      <c r="B601" s="1" t="s">
        <v>9499</v>
      </c>
      <c r="C601" s="1" t="s">
        <v>9122</v>
      </c>
      <c r="D601" s="1" t="s">
        <v>2101</v>
      </c>
      <c r="E601" s="1" t="s">
        <v>2126</v>
      </c>
      <c r="F601" s="1" t="s">
        <v>2061</v>
      </c>
      <c r="G601" s="1" t="s">
        <v>2062</v>
      </c>
      <c r="H601" s="1" t="str">
        <f t="shared" si="36"/>
        <v/>
      </c>
      <c r="I601" s="1" t="str">
        <f t="shared" si="37"/>
        <v/>
      </c>
      <c r="J601" s="1" t="str">
        <f t="shared" si="38"/>
        <v>接口{#IFNAME}({#IFALIAS}): LTE调制解调器RSRQ低(低于{$LTEMODEM.RSRQ.MIN.WARN}db5分钟)</v>
      </c>
      <c r="K601" s="1" t="str">
        <f t="shared" si="39"/>
        <v/>
      </c>
    </row>
    <row r="602" spans="1:11">
      <c r="A602" s="1">
        <v>1714</v>
      </c>
      <c r="B602" s="1" t="s">
        <v>9499</v>
      </c>
      <c r="C602" s="1" t="s">
        <v>9123</v>
      </c>
      <c r="D602" s="1" t="s">
        <v>2101</v>
      </c>
      <c r="E602" s="1" t="s">
        <v>2128</v>
      </c>
      <c r="F602" s="1" t="s">
        <v>2065</v>
      </c>
      <c r="G602" s="1" t="s">
        <v>2058</v>
      </c>
      <c r="H602" s="1" t="str">
        <f t="shared" si="36"/>
        <v/>
      </c>
      <c r="I602" s="1" t="str">
        <f t="shared" si="37"/>
        <v/>
      </c>
      <c r="J602" s="1" t="str">
        <f t="shared" si="38"/>
        <v>接口{#IFNAME}({#IFALIAS}): LTE调制解调器RSRP低(低于{$LTEMODEM.RSRP.MIN.WARN}dbm5分钟)</v>
      </c>
      <c r="K602" s="1" t="str">
        <f t="shared" si="39"/>
        <v/>
      </c>
    </row>
    <row r="603" spans="1:11">
      <c r="A603" s="1">
        <v>1715</v>
      </c>
      <c r="B603" s="1" t="s">
        <v>9499</v>
      </c>
      <c r="C603" s="1" t="s">
        <v>9124</v>
      </c>
      <c r="D603" s="1" t="s">
        <v>2101</v>
      </c>
      <c r="E603" s="1" t="s">
        <v>2130</v>
      </c>
      <c r="F603" s="1" t="s">
        <v>2068</v>
      </c>
      <c r="G603" s="1" t="s">
        <v>2062</v>
      </c>
      <c r="H603" s="1" t="str">
        <f t="shared" si="36"/>
        <v/>
      </c>
      <c r="I603" s="1" t="str">
        <f t="shared" si="37"/>
        <v/>
      </c>
      <c r="J603" s="1" t="str">
        <f t="shared" si="38"/>
        <v>接口{#IFNAME}({#IFALIAS}): LTE调制解调器RSRQ低(低于{$LTEMODEM.RSRQ.MIN.WARN}db5分钟)</v>
      </c>
      <c r="K603" s="1" t="str">
        <f t="shared" si="39"/>
        <v/>
      </c>
    </row>
    <row r="604" spans="1:11">
      <c r="A604" s="1">
        <v>1717</v>
      </c>
      <c r="B604" s="1" t="s">
        <v>9500</v>
      </c>
      <c r="C604" s="1" t="s">
        <v>9098</v>
      </c>
      <c r="D604" s="1" t="s">
        <v>2132</v>
      </c>
      <c r="E604" s="1" t="s">
        <v>2133</v>
      </c>
      <c r="F604" s="1" t="s">
        <v>541</v>
      </c>
      <c r="G604" s="1" t="s">
        <v>542</v>
      </c>
      <c r="H604" s="1" t="str">
        <f t="shared" si="36"/>
        <v/>
      </c>
      <c r="I604" s="1" t="str">
        <f t="shared" si="37"/>
        <v/>
      </c>
      <c r="J604" s="1" t="str">
        <f t="shared" si="38"/>
        <v>#{#SNMPINDEX}: CPU使用率高了(超过{$CPU.UTIL.CRIT}%达5分钟)</v>
      </c>
      <c r="K604" s="1" t="str">
        <f t="shared" si="39"/>
        <v/>
      </c>
    </row>
    <row r="605" spans="1:11">
      <c r="A605" s="1">
        <v>1718</v>
      </c>
      <c r="B605" s="1" t="s">
        <v>9500</v>
      </c>
      <c r="C605" s="1" t="s">
        <v>9100</v>
      </c>
      <c r="D605" s="1" t="s">
        <v>2132</v>
      </c>
      <c r="E605" s="1" t="s">
        <v>2135</v>
      </c>
      <c r="F605" s="1" t="s">
        <v>1557</v>
      </c>
      <c r="G605" s="1" t="s">
        <v>1558</v>
      </c>
      <c r="H605" s="1" t="str">
        <f t="shared" si="36"/>
        <v>CPU</v>
      </c>
      <c r="I605" s="1" t="str">
        <f t="shared" si="37"/>
        <v>温度高于临界阈值: &gt;{$TEMP_CRIT: "CPU"}</v>
      </c>
      <c r="J605" s="1" t="str">
        <f t="shared" si="38"/>
        <v>CPU: 温度高于临界阈值: &gt;{$TEMP_CRIT: "CPU"}</v>
      </c>
      <c r="K605" s="1" t="str">
        <f t="shared" si="39"/>
        <v>Temperature is above critical threshold: &gt;{$TEMP_CRIT:"CPU"}</v>
      </c>
    </row>
    <row r="606" spans="1:11">
      <c r="A606" s="1">
        <v>1719</v>
      </c>
      <c r="B606" s="1" t="s">
        <v>9500</v>
      </c>
      <c r="C606" s="1" t="s">
        <v>9102</v>
      </c>
      <c r="D606" s="1" t="s">
        <v>2132</v>
      </c>
      <c r="E606" s="1" t="s">
        <v>2137</v>
      </c>
      <c r="F606" s="1" t="s">
        <v>1553</v>
      </c>
      <c r="G606" s="1" t="s">
        <v>1554</v>
      </c>
      <c r="H606" s="1" t="str">
        <f t="shared" si="36"/>
        <v>CPU</v>
      </c>
      <c r="I606" s="1" t="str">
        <f t="shared" si="37"/>
        <v>温度高于告警阈值: &gt;{$TEMP_WARN: "CPU"}</v>
      </c>
      <c r="J606" s="1" t="str">
        <f t="shared" si="38"/>
        <v>CPU: 温度高于告警阈值: &gt;{$TEMP_WARN: "CPU"}</v>
      </c>
      <c r="K606" s="1" t="str">
        <f t="shared" si="39"/>
        <v>Temperature is above warning threshold: &gt;{$TEMP_WARN:"CPU"}</v>
      </c>
    </row>
    <row r="607" spans="1:11">
      <c r="A607" s="1">
        <v>1720</v>
      </c>
      <c r="B607" s="1" t="s">
        <v>9500</v>
      </c>
      <c r="C607" s="1" t="s">
        <v>9104</v>
      </c>
      <c r="D607" s="1" t="s">
        <v>2132</v>
      </c>
      <c r="E607" s="1" t="s">
        <v>2139</v>
      </c>
      <c r="F607" s="1" t="s">
        <v>1561</v>
      </c>
      <c r="G607" s="1" t="s">
        <v>1562</v>
      </c>
      <c r="H607" s="1" t="str">
        <f t="shared" si="36"/>
        <v>CPU</v>
      </c>
      <c r="I607" s="1" t="str">
        <f t="shared" si="37"/>
        <v>温度太低: &lt;{$TEMP_CRIT_LOW: "CPU"}</v>
      </c>
      <c r="J607" s="1" t="str">
        <f t="shared" si="38"/>
        <v>CPU: 温度太低: &lt;{$TEMP_CRIT_LOW: "CPU"}</v>
      </c>
      <c r="K607" s="1" t="str">
        <f t="shared" si="39"/>
        <v>Temperature is too low: &lt;{$TEMP_CRIT_LOW:"CPU"}</v>
      </c>
    </row>
    <row r="608" spans="1:11">
      <c r="A608" s="1">
        <v>1721</v>
      </c>
      <c r="B608" s="1" t="s">
        <v>9500</v>
      </c>
      <c r="C608" s="1" t="s">
        <v>9106</v>
      </c>
      <c r="D608" s="1" t="s">
        <v>2132</v>
      </c>
      <c r="E608" s="1" t="s">
        <v>2141</v>
      </c>
      <c r="F608" s="1" t="s">
        <v>2033</v>
      </c>
      <c r="G608" s="1" t="s">
        <v>2034</v>
      </c>
      <c r="H608" s="1" t="str">
        <f t="shared" si="36"/>
        <v>Device</v>
      </c>
      <c r="I608" s="1" t="str">
        <f t="shared" si="37"/>
        <v>温度高于临界阈值: &gt;{$TEMP_CRIT: "Device"}</v>
      </c>
      <c r="J608" s="1" t="str">
        <f t="shared" si="38"/>
        <v>Device: 温度高于临界阈值: &gt;{$TEMP_CRIT: "Device"}</v>
      </c>
      <c r="K608" s="1" t="str">
        <f t="shared" si="39"/>
        <v>Temperature is above critical threshold: &gt;{$TEMP_CRIT:"Device"}</v>
      </c>
    </row>
    <row r="609" spans="1:11">
      <c r="A609" s="1">
        <v>1722</v>
      </c>
      <c r="B609" s="1" t="s">
        <v>9500</v>
      </c>
      <c r="C609" s="1" t="s">
        <v>9108</v>
      </c>
      <c r="D609" s="1" t="s">
        <v>2132</v>
      </c>
      <c r="E609" s="1" t="s">
        <v>2143</v>
      </c>
      <c r="F609" s="1" t="s">
        <v>2037</v>
      </c>
      <c r="G609" s="1" t="s">
        <v>2038</v>
      </c>
      <c r="H609" s="1" t="str">
        <f t="shared" si="36"/>
        <v>Device</v>
      </c>
      <c r="I609" s="1" t="str">
        <f t="shared" si="37"/>
        <v>温度高于告警阈值: &gt;{$TEMP_WARN: "Device"}</v>
      </c>
      <c r="J609" s="1" t="str">
        <f t="shared" si="38"/>
        <v>Device: 温度高于告警阈值: &gt;{$TEMP_WARN: "Device"}</v>
      </c>
      <c r="K609" s="1" t="str">
        <f t="shared" si="39"/>
        <v>Temperature is above warning threshold: &gt;{$TEMP_WARN:"Device"}</v>
      </c>
    </row>
    <row r="610" spans="1:11">
      <c r="A610" s="1">
        <v>1723</v>
      </c>
      <c r="B610" s="1" t="s">
        <v>9500</v>
      </c>
      <c r="C610" s="1" t="s">
        <v>9110</v>
      </c>
      <c r="D610" s="1" t="s">
        <v>2132</v>
      </c>
      <c r="E610" s="1" t="s">
        <v>2145</v>
      </c>
      <c r="F610" s="1" t="s">
        <v>2041</v>
      </c>
      <c r="G610" s="1" t="s">
        <v>2042</v>
      </c>
      <c r="H610" s="1" t="str">
        <f t="shared" si="36"/>
        <v>Device</v>
      </c>
      <c r="I610" s="1" t="str">
        <f t="shared" si="37"/>
        <v>温度太低: &lt;{$TEMP_CRIT_LOW: "Device"}</v>
      </c>
      <c r="J610" s="1" t="str">
        <f t="shared" si="38"/>
        <v>Device: 温度太低: &lt;{$TEMP_CRIT_LOW: "Device"}</v>
      </c>
      <c r="K610" s="1" t="str">
        <f t="shared" si="39"/>
        <v>Temperature is too low: &lt;{$TEMP_CRIT_LOW:"Device"}</v>
      </c>
    </row>
    <row r="611" spans="1:11">
      <c r="A611" s="1">
        <v>1724</v>
      </c>
      <c r="B611" s="1" t="s">
        <v>9500</v>
      </c>
      <c r="C611" s="1" t="s">
        <v>9112</v>
      </c>
      <c r="D611" s="1" t="s">
        <v>2132</v>
      </c>
      <c r="E611" s="1" t="s">
        <v>2147</v>
      </c>
      <c r="F611" s="1" t="s">
        <v>2045</v>
      </c>
      <c r="G611" s="1" t="s">
        <v>2046</v>
      </c>
      <c r="H611" s="1" t="str">
        <f t="shared" si="36"/>
        <v/>
      </c>
      <c r="I611" s="1" t="str">
        <f t="shared" si="37"/>
        <v/>
      </c>
      <c r="J611" s="1" t="str">
        <f t="shared" si="38"/>
        <v>Disk-{#SNMPINDEX}: 磁盘空间严重不足(已使用率&gt;{$VFS.FS.PUSED.MAX.CRIT: "Disk-{#SNMPINDEX}"}%)</v>
      </c>
      <c r="K611" s="1" t="str">
        <f t="shared" si="39"/>
        <v/>
      </c>
    </row>
    <row r="612" spans="1:11">
      <c r="A612" s="1">
        <v>1725</v>
      </c>
      <c r="B612" s="1" t="s">
        <v>9500</v>
      </c>
      <c r="C612" s="1" t="s">
        <v>9114</v>
      </c>
      <c r="D612" s="1" t="s">
        <v>2132</v>
      </c>
      <c r="E612" s="1" t="s">
        <v>2149</v>
      </c>
      <c r="F612" s="1" t="s">
        <v>2049</v>
      </c>
      <c r="G612" s="1" t="s">
        <v>2050</v>
      </c>
      <c r="H612" s="1" t="str">
        <f t="shared" si="36"/>
        <v/>
      </c>
      <c r="I612" s="1" t="str">
        <f t="shared" si="37"/>
        <v/>
      </c>
      <c r="J612" s="1" t="str">
        <f t="shared" si="38"/>
        <v>Disk-{#SNMPINDEX}: 磁盘空间不足(已使用率&gt;{$VFS.FS.PUSED.MAX.WARN: "Disk-{#SNMPINDEX}"}%)</v>
      </c>
      <c r="K612" s="1" t="str">
        <f t="shared" si="39"/>
        <v/>
      </c>
    </row>
    <row r="613" spans="1:11">
      <c r="A613" s="1">
        <v>1727</v>
      </c>
      <c r="B613" s="1" t="s">
        <v>9500</v>
      </c>
      <c r="C613" s="1" t="s">
        <v>9117</v>
      </c>
      <c r="D613" s="1" t="s">
        <v>2132</v>
      </c>
      <c r="E613" s="1" t="s">
        <v>2151</v>
      </c>
      <c r="F613" s="1" t="s">
        <v>161</v>
      </c>
      <c r="G613" s="1" t="s">
        <v>162</v>
      </c>
      <c r="H613" s="1" t="str">
        <f t="shared" si="36"/>
        <v/>
      </c>
      <c r="I613" s="1" t="str">
        <f t="shared" si="37"/>
        <v/>
      </c>
      <c r="J613" s="1" t="str">
        <f t="shared" si="38"/>
        <v>接口{#IFNAME}({#IFALIAS}): 带宽使用率太高(&gt;{$IF.UTIL.MAX: "{#IFNAME}"}%)</v>
      </c>
      <c r="K613" s="1" t="str">
        <f t="shared" si="39"/>
        <v/>
      </c>
    </row>
    <row r="614" spans="1:11">
      <c r="A614" s="1">
        <v>1728</v>
      </c>
      <c r="B614" s="1" t="s">
        <v>9500</v>
      </c>
      <c r="C614" s="1" t="s">
        <v>9119</v>
      </c>
      <c r="D614" s="1" t="s">
        <v>2132</v>
      </c>
      <c r="E614" s="1" t="s">
        <v>2153</v>
      </c>
      <c r="F614" s="1" t="s">
        <v>165</v>
      </c>
      <c r="G614" s="1" t="s">
        <v>166</v>
      </c>
      <c r="H614" s="1" t="str">
        <f t="shared" si="36"/>
        <v/>
      </c>
      <c r="I614" s="1" t="str">
        <f t="shared" si="37"/>
        <v/>
      </c>
      <c r="J614" s="1" t="str">
        <f t="shared" si="38"/>
        <v>接口{#IFNAME}({#IFALIAS}): 错误率太高(&gt;{$IF.ERRORS.WARN: "{#IFNAME}"}达5分钟)</v>
      </c>
      <c r="K614" s="1" t="str">
        <f t="shared" si="39"/>
        <v/>
      </c>
    </row>
    <row r="615" spans="1:11">
      <c r="A615" s="1">
        <v>1730</v>
      </c>
      <c r="B615" s="1" t="s">
        <v>9500</v>
      </c>
      <c r="C615" s="1" t="s">
        <v>9121</v>
      </c>
      <c r="D615" s="1" t="s">
        <v>2132</v>
      </c>
      <c r="E615" s="1" t="s">
        <v>2155</v>
      </c>
      <c r="F615" s="1" t="s">
        <v>2057</v>
      </c>
      <c r="G615" s="1" t="s">
        <v>2058</v>
      </c>
      <c r="H615" s="1" t="str">
        <f t="shared" si="36"/>
        <v/>
      </c>
      <c r="I615" s="1" t="str">
        <f t="shared" si="37"/>
        <v/>
      </c>
      <c r="J615" s="1" t="str">
        <f t="shared" si="38"/>
        <v>接口{#IFNAME}({#IFALIAS}): LTE调制解调器RSRP低(低于{$LTEMODEM.RSRP.MIN.WARN}dbm5分钟)</v>
      </c>
      <c r="K615" s="1" t="str">
        <f t="shared" si="39"/>
        <v/>
      </c>
    </row>
    <row r="616" spans="1:11">
      <c r="A616" s="1">
        <v>1731</v>
      </c>
      <c r="B616" s="1" t="s">
        <v>9500</v>
      </c>
      <c r="C616" s="1" t="s">
        <v>9122</v>
      </c>
      <c r="D616" s="1" t="s">
        <v>2132</v>
      </c>
      <c r="E616" s="1" t="s">
        <v>2157</v>
      </c>
      <c r="F616" s="1" t="s">
        <v>2061</v>
      </c>
      <c r="G616" s="1" t="s">
        <v>2062</v>
      </c>
      <c r="H616" s="1" t="str">
        <f t="shared" si="36"/>
        <v/>
      </c>
      <c r="I616" s="1" t="str">
        <f t="shared" si="37"/>
        <v/>
      </c>
      <c r="J616" s="1" t="str">
        <f t="shared" si="38"/>
        <v>接口{#IFNAME}({#IFALIAS}): LTE调制解调器RSRQ低(低于{$LTEMODEM.RSRQ.MIN.WARN}db5分钟)</v>
      </c>
      <c r="K616" s="1" t="str">
        <f t="shared" si="39"/>
        <v/>
      </c>
    </row>
    <row r="617" spans="1:11">
      <c r="A617" s="1">
        <v>1732</v>
      </c>
      <c r="B617" s="1" t="s">
        <v>9500</v>
      </c>
      <c r="C617" s="1" t="s">
        <v>9123</v>
      </c>
      <c r="D617" s="1" t="s">
        <v>2132</v>
      </c>
      <c r="E617" s="1" t="s">
        <v>2159</v>
      </c>
      <c r="F617" s="1" t="s">
        <v>2065</v>
      </c>
      <c r="G617" s="1" t="s">
        <v>2058</v>
      </c>
      <c r="H617" s="1" t="str">
        <f t="shared" si="36"/>
        <v/>
      </c>
      <c r="I617" s="1" t="str">
        <f t="shared" si="37"/>
        <v/>
      </c>
      <c r="J617" s="1" t="str">
        <f t="shared" si="38"/>
        <v>接口{#IFNAME}({#IFALIAS}): LTE调制解调器RSRP低(低于{$LTEMODEM.RSRP.MIN.WARN}dbm5分钟)</v>
      </c>
      <c r="K617" s="1" t="str">
        <f t="shared" si="39"/>
        <v/>
      </c>
    </row>
    <row r="618" spans="1:11">
      <c r="A618" s="1">
        <v>1733</v>
      </c>
      <c r="B618" s="1" t="s">
        <v>9500</v>
      </c>
      <c r="C618" s="1" t="s">
        <v>9124</v>
      </c>
      <c r="D618" s="1" t="s">
        <v>2132</v>
      </c>
      <c r="E618" s="1" t="s">
        <v>2161</v>
      </c>
      <c r="F618" s="1" t="s">
        <v>2068</v>
      </c>
      <c r="G618" s="1" t="s">
        <v>2062</v>
      </c>
      <c r="H618" s="1" t="str">
        <f t="shared" si="36"/>
        <v/>
      </c>
      <c r="I618" s="1" t="str">
        <f t="shared" si="37"/>
        <v/>
      </c>
      <c r="J618" s="1" t="str">
        <f t="shared" si="38"/>
        <v>接口{#IFNAME}({#IFALIAS}): LTE调制解调器RSRQ低(低于{$LTEMODEM.RSRQ.MIN.WARN}db5分钟)</v>
      </c>
      <c r="K618" s="1" t="str">
        <f t="shared" si="39"/>
        <v/>
      </c>
    </row>
    <row r="619" spans="1:11">
      <c r="A619" s="1">
        <v>1735</v>
      </c>
      <c r="B619" s="1" t="s">
        <v>9501</v>
      </c>
      <c r="C619" s="1" t="s">
        <v>9098</v>
      </c>
      <c r="D619" s="1" t="s">
        <v>2163</v>
      </c>
      <c r="E619" s="1" t="s">
        <v>2164</v>
      </c>
      <c r="F619" s="1" t="s">
        <v>541</v>
      </c>
      <c r="G619" s="1" t="s">
        <v>542</v>
      </c>
      <c r="H619" s="1" t="str">
        <f t="shared" si="36"/>
        <v/>
      </c>
      <c r="I619" s="1" t="str">
        <f t="shared" si="37"/>
        <v/>
      </c>
      <c r="J619" s="1" t="str">
        <f t="shared" si="38"/>
        <v>#{#SNMPINDEX}: CPU使用率高了(超过{$CPU.UTIL.CRIT}%达5分钟)</v>
      </c>
      <c r="K619" s="1" t="str">
        <f t="shared" si="39"/>
        <v/>
      </c>
    </row>
    <row r="620" spans="1:11">
      <c r="A620" s="1">
        <v>1736</v>
      </c>
      <c r="B620" s="1" t="s">
        <v>9501</v>
      </c>
      <c r="C620" s="1" t="s">
        <v>9100</v>
      </c>
      <c r="D620" s="1" t="s">
        <v>2163</v>
      </c>
      <c r="E620" s="1" t="s">
        <v>2166</v>
      </c>
      <c r="F620" s="1" t="s">
        <v>1557</v>
      </c>
      <c r="G620" s="1" t="s">
        <v>1558</v>
      </c>
      <c r="H620" s="1" t="str">
        <f t="shared" si="36"/>
        <v>CPU</v>
      </c>
      <c r="I620" s="1" t="str">
        <f t="shared" si="37"/>
        <v>温度高于临界阈值: &gt;{$TEMP_CRIT: "CPU"}</v>
      </c>
      <c r="J620" s="1" t="str">
        <f t="shared" si="38"/>
        <v>CPU: 温度高于临界阈值: &gt;{$TEMP_CRIT: "CPU"}</v>
      </c>
      <c r="K620" s="1" t="str">
        <f t="shared" si="39"/>
        <v>Temperature is above critical threshold: &gt;{$TEMP_CRIT:"CPU"}</v>
      </c>
    </row>
    <row r="621" spans="1:11">
      <c r="A621" s="1">
        <v>1737</v>
      </c>
      <c r="B621" s="1" t="s">
        <v>9501</v>
      </c>
      <c r="C621" s="1" t="s">
        <v>9102</v>
      </c>
      <c r="D621" s="1" t="s">
        <v>2163</v>
      </c>
      <c r="E621" s="1" t="s">
        <v>2168</v>
      </c>
      <c r="F621" s="1" t="s">
        <v>1553</v>
      </c>
      <c r="G621" s="1" t="s">
        <v>1554</v>
      </c>
      <c r="H621" s="1" t="str">
        <f t="shared" si="36"/>
        <v>CPU</v>
      </c>
      <c r="I621" s="1" t="str">
        <f t="shared" si="37"/>
        <v>温度高于告警阈值: &gt;{$TEMP_WARN: "CPU"}</v>
      </c>
      <c r="J621" s="1" t="str">
        <f t="shared" si="38"/>
        <v>CPU: 温度高于告警阈值: &gt;{$TEMP_WARN: "CPU"}</v>
      </c>
      <c r="K621" s="1" t="str">
        <f t="shared" si="39"/>
        <v>Temperature is above warning threshold: &gt;{$TEMP_WARN:"CPU"}</v>
      </c>
    </row>
    <row r="622" spans="1:11">
      <c r="A622" s="1">
        <v>1738</v>
      </c>
      <c r="B622" s="1" t="s">
        <v>9501</v>
      </c>
      <c r="C622" s="1" t="s">
        <v>9104</v>
      </c>
      <c r="D622" s="1" t="s">
        <v>2163</v>
      </c>
      <c r="E622" s="1" t="s">
        <v>2170</v>
      </c>
      <c r="F622" s="1" t="s">
        <v>1561</v>
      </c>
      <c r="G622" s="1" t="s">
        <v>1562</v>
      </c>
      <c r="H622" s="1" t="str">
        <f t="shared" si="36"/>
        <v>CPU</v>
      </c>
      <c r="I622" s="1" t="str">
        <f t="shared" si="37"/>
        <v>温度太低: &lt;{$TEMP_CRIT_LOW: "CPU"}</v>
      </c>
      <c r="J622" s="1" t="str">
        <f t="shared" si="38"/>
        <v>CPU: 温度太低: &lt;{$TEMP_CRIT_LOW: "CPU"}</v>
      </c>
      <c r="K622" s="1" t="str">
        <f t="shared" si="39"/>
        <v>Temperature is too low: &lt;{$TEMP_CRIT_LOW:"CPU"}</v>
      </c>
    </row>
    <row r="623" spans="1:11">
      <c r="A623" s="1">
        <v>1739</v>
      </c>
      <c r="B623" s="1" t="s">
        <v>9501</v>
      </c>
      <c r="C623" s="1" t="s">
        <v>9106</v>
      </c>
      <c r="D623" s="1" t="s">
        <v>2163</v>
      </c>
      <c r="E623" s="1" t="s">
        <v>2172</v>
      </c>
      <c r="F623" s="1" t="s">
        <v>2033</v>
      </c>
      <c r="G623" s="1" t="s">
        <v>2034</v>
      </c>
      <c r="H623" s="1" t="str">
        <f t="shared" si="36"/>
        <v>Device</v>
      </c>
      <c r="I623" s="1" t="str">
        <f t="shared" si="37"/>
        <v>温度高于临界阈值: &gt;{$TEMP_CRIT: "Device"}</v>
      </c>
      <c r="J623" s="1" t="str">
        <f t="shared" si="38"/>
        <v>Device: 温度高于临界阈值: &gt;{$TEMP_CRIT: "Device"}</v>
      </c>
      <c r="K623" s="1" t="str">
        <f t="shared" si="39"/>
        <v>Temperature is above critical threshold: &gt;{$TEMP_CRIT:"Device"}</v>
      </c>
    </row>
    <row r="624" spans="1:11">
      <c r="A624" s="1">
        <v>1740</v>
      </c>
      <c r="B624" s="1" t="s">
        <v>9501</v>
      </c>
      <c r="C624" s="1" t="s">
        <v>9108</v>
      </c>
      <c r="D624" s="1" t="s">
        <v>2163</v>
      </c>
      <c r="E624" s="1" t="s">
        <v>2174</v>
      </c>
      <c r="F624" s="1" t="s">
        <v>2037</v>
      </c>
      <c r="G624" s="1" t="s">
        <v>2038</v>
      </c>
      <c r="H624" s="1" t="str">
        <f t="shared" si="36"/>
        <v>Device</v>
      </c>
      <c r="I624" s="1" t="str">
        <f t="shared" si="37"/>
        <v>温度高于告警阈值: &gt;{$TEMP_WARN: "Device"}</v>
      </c>
      <c r="J624" s="1" t="str">
        <f t="shared" si="38"/>
        <v>Device: 温度高于告警阈值: &gt;{$TEMP_WARN: "Device"}</v>
      </c>
      <c r="K624" s="1" t="str">
        <f t="shared" si="39"/>
        <v>Temperature is above warning threshold: &gt;{$TEMP_WARN:"Device"}</v>
      </c>
    </row>
    <row r="625" spans="1:11">
      <c r="A625" s="1">
        <v>1741</v>
      </c>
      <c r="B625" s="1" t="s">
        <v>9501</v>
      </c>
      <c r="C625" s="1" t="s">
        <v>9110</v>
      </c>
      <c r="D625" s="1" t="s">
        <v>2163</v>
      </c>
      <c r="E625" s="1" t="s">
        <v>2176</v>
      </c>
      <c r="F625" s="1" t="s">
        <v>2041</v>
      </c>
      <c r="G625" s="1" t="s">
        <v>2042</v>
      </c>
      <c r="H625" s="1" t="str">
        <f t="shared" si="36"/>
        <v>Device</v>
      </c>
      <c r="I625" s="1" t="str">
        <f t="shared" si="37"/>
        <v>温度太低: &lt;{$TEMP_CRIT_LOW: "Device"}</v>
      </c>
      <c r="J625" s="1" t="str">
        <f t="shared" si="38"/>
        <v>Device: 温度太低: &lt;{$TEMP_CRIT_LOW: "Device"}</v>
      </c>
      <c r="K625" s="1" t="str">
        <f t="shared" si="39"/>
        <v>Temperature is too low: &lt;{$TEMP_CRIT_LOW:"Device"}</v>
      </c>
    </row>
    <row r="626" spans="1:11">
      <c r="A626" s="1">
        <v>1742</v>
      </c>
      <c r="B626" s="1" t="s">
        <v>9501</v>
      </c>
      <c r="C626" s="1" t="s">
        <v>9112</v>
      </c>
      <c r="D626" s="1" t="s">
        <v>2163</v>
      </c>
      <c r="E626" s="1" t="s">
        <v>2178</v>
      </c>
      <c r="F626" s="1" t="s">
        <v>2045</v>
      </c>
      <c r="G626" s="1" t="s">
        <v>2046</v>
      </c>
      <c r="H626" s="1" t="str">
        <f t="shared" si="36"/>
        <v/>
      </c>
      <c r="I626" s="1" t="str">
        <f t="shared" si="37"/>
        <v/>
      </c>
      <c r="J626" s="1" t="str">
        <f t="shared" si="38"/>
        <v>Disk-{#SNMPINDEX}: 磁盘空间严重不足(已使用率&gt;{$VFS.FS.PUSED.MAX.CRIT: "Disk-{#SNMPINDEX}"}%)</v>
      </c>
      <c r="K626" s="1" t="str">
        <f t="shared" si="39"/>
        <v/>
      </c>
    </row>
    <row r="627" spans="1:11">
      <c r="A627" s="1">
        <v>1743</v>
      </c>
      <c r="B627" s="1" t="s">
        <v>9501</v>
      </c>
      <c r="C627" s="1" t="s">
        <v>9114</v>
      </c>
      <c r="D627" s="1" t="s">
        <v>2163</v>
      </c>
      <c r="E627" s="1" t="s">
        <v>2180</v>
      </c>
      <c r="F627" s="1" t="s">
        <v>2049</v>
      </c>
      <c r="G627" s="1" t="s">
        <v>2050</v>
      </c>
      <c r="H627" s="1" t="str">
        <f t="shared" si="36"/>
        <v/>
      </c>
      <c r="I627" s="1" t="str">
        <f t="shared" si="37"/>
        <v/>
      </c>
      <c r="J627" s="1" t="str">
        <f t="shared" si="38"/>
        <v>Disk-{#SNMPINDEX}: 磁盘空间不足(已使用率&gt;{$VFS.FS.PUSED.MAX.WARN: "Disk-{#SNMPINDEX}"}%)</v>
      </c>
      <c r="K627" s="1" t="str">
        <f t="shared" si="39"/>
        <v/>
      </c>
    </row>
    <row r="628" spans="1:11">
      <c r="A628" s="1">
        <v>1745</v>
      </c>
      <c r="B628" s="1" t="s">
        <v>9501</v>
      </c>
      <c r="C628" s="1" t="s">
        <v>9117</v>
      </c>
      <c r="D628" s="1" t="s">
        <v>2163</v>
      </c>
      <c r="E628" s="1" t="s">
        <v>2182</v>
      </c>
      <c r="F628" s="1" t="s">
        <v>161</v>
      </c>
      <c r="G628" s="1" t="s">
        <v>162</v>
      </c>
      <c r="H628" s="1" t="str">
        <f t="shared" si="36"/>
        <v/>
      </c>
      <c r="I628" s="1" t="str">
        <f t="shared" si="37"/>
        <v/>
      </c>
      <c r="J628" s="1" t="str">
        <f t="shared" si="38"/>
        <v>接口{#IFNAME}({#IFALIAS}): 带宽使用率太高(&gt;{$IF.UTIL.MAX: "{#IFNAME}"}%)</v>
      </c>
      <c r="K628" s="1" t="str">
        <f t="shared" si="39"/>
        <v/>
      </c>
    </row>
    <row r="629" spans="1:11">
      <c r="A629" s="1">
        <v>1746</v>
      </c>
      <c r="B629" s="1" t="s">
        <v>9501</v>
      </c>
      <c r="C629" s="1" t="s">
        <v>9119</v>
      </c>
      <c r="D629" s="1" t="s">
        <v>2163</v>
      </c>
      <c r="E629" s="1" t="s">
        <v>2184</v>
      </c>
      <c r="F629" s="1" t="s">
        <v>165</v>
      </c>
      <c r="G629" s="1" t="s">
        <v>166</v>
      </c>
      <c r="H629" s="1" t="str">
        <f t="shared" si="36"/>
        <v/>
      </c>
      <c r="I629" s="1" t="str">
        <f t="shared" si="37"/>
        <v/>
      </c>
      <c r="J629" s="1" t="str">
        <f t="shared" si="38"/>
        <v>接口{#IFNAME}({#IFALIAS}): 错误率太高(&gt;{$IF.ERRORS.WARN: "{#IFNAME}"}达5分钟)</v>
      </c>
      <c r="K629" s="1" t="str">
        <f t="shared" si="39"/>
        <v/>
      </c>
    </row>
    <row r="630" spans="1:11">
      <c r="A630" s="1">
        <v>1748</v>
      </c>
      <c r="B630" s="1" t="s">
        <v>9501</v>
      </c>
      <c r="C630" s="1" t="s">
        <v>9121</v>
      </c>
      <c r="D630" s="1" t="s">
        <v>2163</v>
      </c>
      <c r="E630" s="1" t="s">
        <v>2186</v>
      </c>
      <c r="F630" s="1" t="s">
        <v>2057</v>
      </c>
      <c r="G630" s="1" t="s">
        <v>2058</v>
      </c>
      <c r="H630" s="1" t="str">
        <f t="shared" si="36"/>
        <v/>
      </c>
      <c r="I630" s="1" t="str">
        <f t="shared" si="37"/>
        <v/>
      </c>
      <c r="J630" s="1" t="str">
        <f t="shared" si="38"/>
        <v>接口{#IFNAME}({#IFALIAS}): LTE调制解调器RSRP低(低于{$LTEMODEM.RSRP.MIN.WARN}dbm5分钟)</v>
      </c>
      <c r="K630" s="1" t="str">
        <f t="shared" si="39"/>
        <v/>
      </c>
    </row>
    <row r="631" spans="1:11">
      <c r="A631" s="1">
        <v>1749</v>
      </c>
      <c r="B631" s="1" t="s">
        <v>9501</v>
      </c>
      <c r="C631" s="1" t="s">
        <v>9122</v>
      </c>
      <c r="D631" s="1" t="s">
        <v>2163</v>
      </c>
      <c r="E631" s="1" t="s">
        <v>2188</v>
      </c>
      <c r="F631" s="1" t="s">
        <v>2061</v>
      </c>
      <c r="G631" s="1" t="s">
        <v>2062</v>
      </c>
      <c r="H631" s="1" t="str">
        <f t="shared" si="36"/>
        <v/>
      </c>
      <c r="I631" s="1" t="str">
        <f t="shared" si="37"/>
        <v/>
      </c>
      <c r="J631" s="1" t="str">
        <f t="shared" si="38"/>
        <v>接口{#IFNAME}({#IFALIAS}): LTE调制解调器RSRQ低(低于{$LTEMODEM.RSRQ.MIN.WARN}db5分钟)</v>
      </c>
      <c r="K631" s="1" t="str">
        <f t="shared" si="39"/>
        <v/>
      </c>
    </row>
    <row r="632" spans="1:11">
      <c r="A632" s="1">
        <v>1750</v>
      </c>
      <c r="B632" s="1" t="s">
        <v>9501</v>
      </c>
      <c r="C632" s="1" t="s">
        <v>9123</v>
      </c>
      <c r="D632" s="1" t="s">
        <v>2163</v>
      </c>
      <c r="E632" s="1" t="s">
        <v>2190</v>
      </c>
      <c r="F632" s="1" t="s">
        <v>2065</v>
      </c>
      <c r="G632" s="1" t="s">
        <v>2058</v>
      </c>
      <c r="H632" s="1" t="str">
        <f t="shared" si="36"/>
        <v/>
      </c>
      <c r="I632" s="1" t="str">
        <f t="shared" si="37"/>
        <v/>
      </c>
      <c r="J632" s="1" t="str">
        <f t="shared" si="38"/>
        <v>接口{#IFNAME}({#IFALIAS}): LTE调制解调器RSRP低(低于{$LTEMODEM.RSRP.MIN.WARN}dbm5分钟)</v>
      </c>
      <c r="K632" s="1" t="str">
        <f t="shared" si="39"/>
        <v/>
      </c>
    </row>
    <row r="633" spans="1:11">
      <c r="A633" s="1">
        <v>1751</v>
      </c>
      <c r="B633" s="1" t="s">
        <v>9501</v>
      </c>
      <c r="C633" s="1" t="s">
        <v>9124</v>
      </c>
      <c r="D633" s="1" t="s">
        <v>2163</v>
      </c>
      <c r="E633" s="1" t="s">
        <v>2192</v>
      </c>
      <c r="F633" s="1" t="s">
        <v>2068</v>
      </c>
      <c r="G633" s="1" t="s">
        <v>2062</v>
      </c>
      <c r="H633" s="1" t="str">
        <f t="shared" si="36"/>
        <v/>
      </c>
      <c r="I633" s="1" t="str">
        <f t="shared" si="37"/>
        <v/>
      </c>
      <c r="J633" s="1" t="str">
        <f t="shared" si="38"/>
        <v>接口{#IFNAME}({#IFALIAS}): LTE调制解调器RSRQ低(低于{$LTEMODEM.RSRQ.MIN.WARN}db5分钟)</v>
      </c>
      <c r="K633" s="1" t="str">
        <f t="shared" si="39"/>
        <v/>
      </c>
    </row>
    <row r="634" spans="1:11">
      <c r="A634" s="1">
        <v>1753</v>
      </c>
      <c r="B634" s="1" t="s">
        <v>9502</v>
      </c>
      <c r="C634" s="1" t="s">
        <v>9098</v>
      </c>
      <c r="D634" s="1" t="s">
        <v>2194</v>
      </c>
      <c r="E634" s="1" t="s">
        <v>2195</v>
      </c>
      <c r="F634" s="1" t="s">
        <v>541</v>
      </c>
      <c r="G634" s="1" t="s">
        <v>542</v>
      </c>
      <c r="H634" s="1" t="str">
        <f t="shared" si="36"/>
        <v/>
      </c>
      <c r="I634" s="1" t="str">
        <f t="shared" si="37"/>
        <v/>
      </c>
      <c r="J634" s="1" t="str">
        <f t="shared" si="38"/>
        <v>#{#SNMPINDEX}: CPU使用率高了(超过{$CPU.UTIL.CRIT}%达5分钟)</v>
      </c>
      <c r="K634" s="1" t="str">
        <f t="shared" si="39"/>
        <v/>
      </c>
    </row>
    <row r="635" spans="1:11">
      <c r="A635" s="1">
        <v>1754</v>
      </c>
      <c r="B635" s="1" t="s">
        <v>9502</v>
      </c>
      <c r="C635" s="1" t="s">
        <v>9100</v>
      </c>
      <c r="D635" s="1" t="s">
        <v>2194</v>
      </c>
      <c r="E635" s="1" t="s">
        <v>2197</v>
      </c>
      <c r="F635" s="1" t="s">
        <v>1557</v>
      </c>
      <c r="G635" s="1" t="s">
        <v>1558</v>
      </c>
      <c r="H635" s="1" t="str">
        <f t="shared" si="36"/>
        <v>CPU</v>
      </c>
      <c r="I635" s="1" t="str">
        <f t="shared" si="37"/>
        <v>温度高于临界阈值: &gt;{$TEMP_CRIT: "CPU"}</v>
      </c>
      <c r="J635" s="1" t="str">
        <f t="shared" si="38"/>
        <v>CPU: 温度高于临界阈值: &gt;{$TEMP_CRIT: "CPU"}</v>
      </c>
      <c r="K635" s="1" t="str">
        <f t="shared" si="39"/>
        <v>Temperature is above critical threshold: &gt;{$TEMP_CRIT:"CPU"}</v>
      </c>
    </row>
    <row r="636" spans="1:11">
      <c r="A636" s="1">
        <v>1755</v>
      </c>
      <c r="B636" s="1" t="s">
        <v>9502</v>
      </c>
      <c r="C636" s="1" t="s">
        <v>9102</v>
      </c>
      <c r="D636" s="1" t="s">
        <v>2194</v>
      </c>
      <c r="E636" s="1" t="s">
        <v>2199</v>
      </c>
      <c r="F636" s="1" t="s">
        <v>1553</v>
      </c>
      <c r="G636" s="1" t="s">
        <v>1554</v>
      </c>
      <c r="H636" s="1" t="str">
        <f t="shared" si="36"/>
        <v>CPU</v>
      </c>
      <c r="I636" s="1" t="str">
        <f t="shared" si="37"/>
        <v>温度高于告警阈值: &gt;{$TEMP_WARN: "CPU"}</v>
      </c>
      <c r="J636" s="1" t="str">
        <f t="shared" si="38"/>
        <v>CPU: 温度高于告警阈值: &gt;{$TEMP_WARN: "CPU"}</v>
      </c>
      <c r="K636" s="1" t="str">
        <f t="shared" si="39"/>
        <v>Temperature is above warning threshold: &gt;{$TEMP_WARN:"CPU"}</v>
      </c>
    </row>
    <row r="637" spans="1:11">
      <c r="A637" s="1">
        <v>1756</v>
      </c>
      <c r="B637" s="1" t="s">
        <v>9502</v>
      </c>
      <c r="C637" s="1" t="s">
        <v>9104</v>
      </c>
      <c r="D637" s="1" t="s">
        <v>2194</v>
      </c>
      <c r="E637" s="1" t="s">
        <v>2201</v>
      </c>
      <c r="F637" s="1" t="s">
        <v>1561</v>
      </c>
      <c r="G637" s="1" t="s">
        <v>1562</v>
      </c>
      <c r="H637" s="1" t="str">
        <f t="shared" si="36"/>
        <v>CPU</v>
      </c>
      <c r="I637" s="1" t="str">
        <f t="shared" si="37"/>
        <v>温度太低: &lt;{$TEMP_CRIT_LOW: "CPU"}</v>
      </c>
      <c r="J637" s="1" t="str">
        <f t="shared" si="38"/>
        <v>CPU: 温度太低: &lt;{$TEMP_CRIT_LOW: "CPU"}</v>
      </c>
      <c r="K637" s="1" t="str">
        <f t="shared" si="39"/>
        <v>Temperature is too low: &lt;{$TEMP_CRIT_LOW:"CPU"}</v>
      </c>
    </row>
    <row r="638" spans="1:11">
      <c r="A638" s="1">
        <v>1757</v>
      </c>
      <c r="B638" s="1" t="s">
        <v>9502</v>
      </c>
      <c r="C638" s="1" t="s">
        <v>9106</v>
      </c>
      <c r="D638" s="1" t="s">
        <v>2194</v>
      </c>
      <c r="E638" s="1" t="s">
        <v>2203</v>
      </c>
      <c r="F638" s="1" t="s">
        <v>2033</v>
      </c>
      <c r="G638" s="1" t="s">
        <v>2034</v>
      </c>
      <c r="H638" s="1" t="str">
        <f t="shared" si="36"/>
        <v>Device</v>
      </c>
      <c r="I638" s="1" t="str">
        <f t="shared" si="37"/>
        <v>温度高于临界阈值: &gt;{$TEMP_CRIT: "Device"}</v>
      </c>
      <c r="J638" s="1" t="str">
        <f t="shared" si="38"/>
        <v>Device: 温度高于临界阈值: &gt;{$TEMP_CRIT: "Device"}</v>
      </c>
      <c r="K638" s="1" t="str">
        <f t="shared" si="39"/>
        <v>Temperature is above critical threshold: &gt;{$TEMP_CRIT:"Device"}</v>
      </c>
    </row>
    <row r="639" spans="1:11">
      <c r="A639" s="1">
        <v>1758</v>
      </c>
      <c r="B639" s="1" t="s">
        <v>9502</v>
      </c>
      <c r="C639" s="1" t="s">
        <v>9108</v>
      </c>
      <c r="D639" s="1" t="s">
        <v>2194</v>
      </c>
      <c r="E639" s="1" t="s">
        <v>2205</v>
      </c>
      <c r="F639" s="1" t="s">
        <v>2037</v>
      </c>
      <c r="G639" s="1" t="s">
        <v>2038</v>
      </c>
      <c r="H639" s="1" t="str">
        <f t="shared" si="36"/>
        <v>Device</v>
      </c>
      <c r="I639" s="1" t="str">
        <f t="shared" si="37"/>
        <v>温度高于告警阈值: &gt;{$TEMP_WARN: "Device"}</v>
      </c>
      <c r="J639" s="1" t="str">
        <f t="shared" si="38"/>
        <v>Device: 温度高于告警阈值: &gt;{$TEMP_WARN: "Device"}</v>
      </c>
      <c r="K639" s="1" t="str">
        <f t="shared" si="39"/>
        <v>Temperature is above warning threshold: &gt;{$TEMP_WARN:"Device"}</v>
      </c>
    </row>
    <row r="640" spans="1:11">
      <c r="A640" s="1">
        <v>1759</v>
      </c>
      <c r="B640" s="1" t="s">
        <v>9502</v>
      </c>
      <c r="C640" s="1" t="s">
        <v>9110</v>
      </c>
      <c r="D640" s="1" t="s">
        <v>2194</v>
      </c>
      <c r="E640" s="1" t="s">
        <v>2207</v>
      </c>
      <c r="F640" s="1" t="s">
        <v>2041</v>
      </c>
      <c r="G640" s="1" t="s">
        <v>2042</v>
      </c>
      <c r="H640" s="1" t="str">
        <f t="shared" si="36"/>
        <v>Device</v>
      </c>
      <c r="I640" s="1" t="str">
        <f t="shared" si="37"/>
        <v>温度太低: &lt;{$TEMP_CRIT_LOW: "Device"}</v>
      </c>
      <c r="J640" s="1" t="str">
        <f t="shared" si="38"/>
        <v>Device: 温度太低: &lt;{$TEMP_CRIT_LOW: "Device"}</v>
      </c>
      <c r="K640" s="1" t="str">
        <f t="shared" si="39"/>
        <v>Temperature is too low: &lt;{$TEMP_CRIT_LOW:"Device"}</v>
      </c>
    </row>
    <row r="641" spans="1:11">
      <c r="A641" s="1">
        <v>1760</v>
      </c>
      <c r="B641" s="1" t="s">
        <v>9502</v>
      </c>
      <c r="C641" s="1" t="s">
        <v>9112</v>
      </c>
      <c r="D641" s="1" t="s">
        <v>2194</v>
      </c>
      <c r="E641" s="1" t="s">
        <v>2209</v>
      </c>
      <c r="F641" s="1" t="s">
        <v>2045</v>
      </c>
      <c r="G641" s="1" t="s">
        <v>2046</v>
      </c>
      <c r="H641" s="1" t="str">
        <f t="shared" si="36"/>
        <v/>
      </c>
      <c r="I641" s="1" t="str">
        <f t="shared" si="37"/>
        <v/>
      </c>
      <c r="J641" s="1" t="str">
        <f t="shared" si="38"/>
        <v>Disk-{#SNMPINDEX}: 磁盘空间严重不足(已使用率&gt;{$VFS.FS.PUSED.MAX.CRIT: "Disk-{#SNMPINDEX}"}%)</v>
      </c>
      <c r="K641" s="1" t="str">
        <f t="shared" si="39"/>
        <v/>
      </c>
    </row>
    <row r="642" spans="1:11">
      <c r="A642" s="1">
        <v>1761</v>
      </c>
      <c r="B642" s="1" t="s">
        <v>9502</v>
      </c>
      <c r="C642" s="1" t="s">
        <v>9114</v>
      </c>
      <c r="D642" s="1" t="s">
        <v>2194</v>
      </c>
      <c r="E642" s="1" t="s">
        <v>2211</v>
      </c>
      <c r="F642" s="1" t="s">
        <v>2049</v>
      </c>
      <c r="G642" s="1" t="s">
        <v>2050</v>
      </c>
      <c r="H642" s="1" t="str">
        <f t="shared" ref="H642:H705" si="40">IFERROR(IF(OR(MID(G642,FIND(":",G642)-1,1)="""",MID(G642,FIND(":",G642)-1,1)="}",MID(G642,FIND(":",G642)-1,1)=")",MID(G642,FIND(":",G642)-1,1)="]"),"",LEFT(F642,FIND(":",F642)-1)),"")</f>
        <v/>
      </c>
      <c r="I642" s="1" t="str">
        <f t="shared" ref="I642:I705" si="41">IFERROR(IF(OR(MID(G642,FIND(":",G642)-1,1)="""",MID(G642,FIND(":",G642)-1,1)="}",MID(G642,FIND(":",G642)-1,1)=")",MID(G642,FIND(":",G642)-1,1)="]"),"",RIGHT(G642,LEN(G642)-FIND(":",G642)-1)),"")</f>
        <v/>
      </c>
      <c r="J642" s="1" t="str">
        <f t="shared" ref="J642:J705" si="42">IF(AND(I642="",H642=""),G642,H642&amp;": "&amp;I642)</f>
        <v>Disk-{#SNMPINDEX}: 磁盘空间不足(已使用率&gt;{$VFS.FS.PUSED.MAX.WARN: "Disk-{#SNMPINDEX}"}%)</v>
      </c>
      <c r="K642" s="1" t="str">
        <f t="shared" ref="K642:K705" si="43">IFERROR(IF(OR(MID(F642,FIND(":",F642)-1,1)="""",MID(F642,FIND(":",F642)-1,1)="}",MID(F642,FIND(":",F642)-1,1)=")",MID(F642,FIND(":",F642)-1,1)="]"),"",RIGHT(F642,LEN(F642)-FIND(":",F642)-1)),"")</f>
        <v/>
      </c>
    </row>
    <row r="643" spans="1:11">
      <c r="A643" s="1">
        <v>1763</v>
      </c>
      <c r="B643" s="1" t="s">
        <v>9502</v>
      </c>
      <c r="C643" s="1" t="s">
        <v>9117</v>
      </c>
      <c r="D643" s="1" t="s">
        <v>2194</v>
      </c>
      <c r="E643" s="1" t="s">
        <v>2213</v>
      </c>
      <c r="F643" s="1" t="s">
        <v>161</v>
      </c>
      <c r="G643" s="1" t="s">
        <v>162</v>
      </c>
      <c r="H643" s="1" t="str">
        <f t="shared" si="40"/>
        <v/>
      </c>
      <c r="I643" s="1" t="str">
        <f t="shared" si="41"/>
        <v/>
      </c>
      <c r="J643" s="1" t="str">
        <f t="shared" si="42"/>
        <v>接口{#IFNAME}({#IFALIAS}): 带宽使用率太高(&gt;{$IF.UTIL.MAX: "{#IFNAME}"}%)</v>
      </c>
      <c r="K643" s="1" t="str">
        <f t="shared" si="43"/>
        <v/>
      </c>
    </row>
    <row r="644" spans="1:11">
      <c r="A644" s="1">
        <v>1764</v>
      </c>
      <c r="B644" s="1" t="s">
        <v>9502</v>
      </c>
      <c r="C644" s="1" t="s">
        <v>9119</v>
      </c>
      <c r="D644" s="1" t="s">
        <v>2194</v>
      </c>
      <c r="E644" s="1" t="s">
        <v>2215</v>
      </c>
      <c r="F644" s="1" t="s">
        <v>165</v>
      </c>
      <c r="G644" s="1" t="s">
        <v>166</v>
      </c>
      <c r="H644" s="1" t="str">
        <f t="shared" si="40"/>
        <v/>
      </c>
      <c r="I644" s="1" t="str">
        <f t="shared" si="41"/>
        <v/>
      </c>
      <c r="J644" s="1" t="str">
        <f t="shared" si="42"/>
        <v>接口{#IFNAME}({#IFALIAS}): 错误率太高(&gt;{$IF.ERRORS.WARN: "{#IFNAME}"}达5分钟)</v>
      </c>
      <c r="K644" s="1" t="str">
        <f t="shared" si="43"/>
        <v/>
      </c>
    </row>
    <row r="645" spans="1:11">
      <c r="A645" s="1">
        <v>1766</v>
      </c>
      <c r="B645" s="1" t="s">
        <v>9502</v>
      </c>
      <c r="C645" s="1" t="s">
        <v>9121</v>
      </c>
      <c r="D645" s="1" t="s">
        <v>2194</v>
      </c>
      <c r="E645" s="1" t="s">
        <v>2217</v>
      </c>
      <c r="F645" s="1" t="s">
        <v>2057</v>
      </c>
      <c r="G645" s="1" t="s">
        <v>2058</v>
      </c>
      <c r="H645" s="1" t="str">
        <f t="shared" si="40"/>
        <v/>
      </c>
      <c r="I645" s="1" t="str">
        <f t="shared" si="41"/>
        <v/>
      </c>
      <c r="J645" s="1" t="str">
        <f t="shared" si="42"/>
        <v>接口{#IFNAME}({#IFALIAS}): LTE调制解调器RSRP低(低于{$LTEMODEM.RSRP.MIN.WARN}dbm5分钟)</v>
      </c>
      <c r="K645" s="1" t="str">
        <f t="shared" si="43"/>
        <v/>
      </c>
    </row>
    <row r="646" spans="1:11">
      <c r="A646" s="1">
        <v>1767</v>
      </c>
      <c r="B646" s="1" t="s">
        <v>9502</v>
      </c>
      <c r="C646" s="1" t="s">
        <v>9122</v>
      </c>
      <c r="D646" s="1" t="s">
        <v>2194</v>
      </c>
      <c r="E646" s="1" t="s">
        <v>2219</v>
      </c>
      <c r="F646" s="1" t="s">
        <v>2061</v>
      </c>
      <c r="G646" s="1" t="s">
        <v>2062</v>
      </c>
      <c r="H646" s="1" t="str">
        <f t="shared" si="40"/>
        <v/>
      </c>
      <c r="I646" s="1" t="str">
        <f t="shared" si="41"/>
        <v/>
      </c>
      <c r="J646" s="1" t="str">
        <f t="shared" si="42"/>
        <v>接口{#IFNAME}({#IFALIAS}): LTE调制解调器RSRQ低(低于{$LTEMODEM.RSRQ.MIN.WARN}db5分钟)</v>
      </c>
      <c r="K646" s="1" t="str">
        <f t="shared" si="43"/>
        <v/>
      </c>
    </row>
    <row r="647" spans="1:11">
      <c r="A647" s="1">
        <v>1768</v>
      </c>
      <c r="B647" s="1" t="s">
        <v>9502</v>
      </c>
      <c r="C647" s="1" t="s">
        <v>9123</v>
      </c>
      <c r="D647" s="1" t="s">
        <v>2194</v>
      </c>
      <c r="E647" s="1" t="s">
        <v>2221</v>
      </c>
      <c r="F647" s="1" t="s">
        <v>2065</v>
      </c>
      <c r="G647" s="1" t="s">
        <v>2058</v>
      </c>
      <c r="H647" s="1" t="str">
        <f t="shared" si="40"/>
        <v/>
      </c>
      <c r="I647" s="1" t="str">
        <f t="shared" si="41"/>
        <v/>
      </c>
      <c r="J647" s="1" t="str">
        <f t="shared" si="42"/>
        <v>接口{#IFNAME}({#IFALIAS}): LTE调制解调器RSRP低(低于{$LTEMODEM.RSRP.MIN.WARN}dbm5分钟)</v>
      </c>
      <c r="K647" s="1" t="str">
        <f t="shared" si="43"/>
        <v/>
      </c>
    </row>
    <row r="648" spans="1:11">
      <c r="A648" s="1">
        <v>1769</v>
      </c>
      <c r="B648" s="1" t="s">
        <v>9502</v>
      </c>
      <c r="C648" s="1" t="s">
        <v>9124</v>
      </c>
      <c r="D648" s="1" t="s">
        <v>2194</v>
      </c>
      <c r="E648" s="1" t="s">
        <v>2223</v>
      </c>
      <c r="F648" s="1" t="s">
        <v>2068</v>
      </c>
      <c r="G648" s="1" t="s">
        <v>2062</v>
      </c>
      <c r="H648" s="1" t="str">
        <f t="shared" si="40"/>
        <v/>
      </c>
      <c r="I648" s="1" t="str">
        <f t="shared" si="41"/>
        <v/>
      </c>
      <c r="J648" s="1" t="str">
        <f t="shared" si="42"/>
        <v>接口{#IFNAME}({#IFALIAS}): LTE调制解调器RSRQ低(低于{$LTEMODEM.RSRQ.MIN.WARN}db5分钟)</v>
      </c>
      <c r="K648" s="1" t="str">
        <f t="shared" si="43"/>
        <v/>
      </c>
    </row>
    <row r="649" spans="1:11">
      <c r="A649" s="1">
        <v>1771</v>
      </c>
      <c r="B649" s="1" t="s">
        <v>9503</v>
      </c>
      <c r="C649" s="1" t="s">
        <v>9098</v>
      </c>
      <c r="D649" s="1" t="s">
        <v>2225</v>
      </c>
      <c r="E649" s="1" t="s">
        <v>2226</v>
      </c>
      <c r="F649" s="1" t="s">
        <v>541</v>
      </c>
      <c r="G649" s="1" t="s">
        <v>542</v>
      </c>
      <c r="H649" s="1" t="str">
        <f t="shared" si="40"/>
        <v/>
      </c>
      <c r="I649" s="1" t="str">
        <f t="shared" si="41"/>
        <v/>
      </c>
      <c r="J649" s="1" t="str">
        <f t="shared" si="42"/>
        <v>#{#SNMPINDEX}: CPU使用率高了(超过{$CPU.UTIL.CRIT}%达5分钟)</v>
      </c>
      <c r="K649" s="1" t="str">
        <f t="shared" si="43"/>
        <v/>
      </c>
    </row>
    <row r="650" spans="1:11">
      <c r="A650" s="1">
        <v>1772</v>
      </c>
      <c r="B650" s="1" t="s">
        <v>9503</v>
      </c>
      <c r="C650" s="1" t="s">
        <v>9100</v>
      </c>
      <c r="D650" s="1" t="s">
        <v>2225</v>
      </c>
      <c r="E650" s="1" t="s">
        <v>2228</v>
      </c>
      <c r="F650" s="1" t="s">
        <v>1557</v>
      </c>
      <c r="G650" s="1" t="s">
        <v>1558</v>
      </c>
      <c r="H650" s="1" t="str">
        <f t="shared" si="40"/>
        <v>CPU</v>
      </c>
      <c r="I650" s="1" t="str">
        <f t="shared" si="41"/>
        <v>温度高于临界阈值: &gt;{$TEMP_CRIT: "CPU"}</v>
      </c>
      <c r="J650" s="1" t="str">
        <f t="shared" si="42"/>
        <v>CPU: 温度高于临界阈值: &gt;{$TEMP_CRIT: "CPU"}</v>
      </c>
      <c r="K650" s="1" t="str">
        <f t="shared" si="43"/>
        <v>Temperature is above critical threshold: &gt;{$TEMP_CRIT:"CPU"}</v>
      </c>
    </row>
    <row r="651" spans="1:11">
      <c r="A651" s="1">
        <v>1773</v>
      </c>
      <c r="B651" s="1" t="s">
        <v>9503</v>
      </c>
      <c r="C651" s="1" t="s">
        <v>9102</v>
      </c>
      <c r="D651" s="1" t="s">
        <v>2225</v>
      </c>
      <c r="E651" s="1" t="s">
        <v>2230</v>
      </c>
      <c r="F651" s="1" t="s">
        <v>1553</v>
      </c>
      <c r="G651" s="1" t="s">
        <v>1554</v>
      </c>
      <c r="H651" s="1" t="str">
        <f t="shared" si="40"/>
        <v>CPU</v>
      </c>
      <c r="I651" s="1" t="str">
        <f t="shared" si="41"/>
        <v>温度高于告警阈值: &gt;{$TEMP_WARN: "CPU"}</v>
      </c>
      <c r="J651" s="1" t="str">
        <f t="shared" si="42"/>
        <v>CPU: 温度高于告警阈值: &gt;{$TEMP_WARN: "CPU"}</v>
      </c>
      <c r="K651" s="1" t="str">
        <f t="shared" si="43"/>
        <v>Temperature is above warning threshold: &gt;{$TEMP_WARN:"CPU"}</v>
      </c>
    </row>
    <row r="652" spans="1:11">
      <c r="A652" s="1">
        <v>1774</v>
      </c>
      <c r="B652" s="1" t="s">
        <v>9503</v>
      </c>
      <c r="C652" s="1" t="s">
        <v>9104</v>
      </c>
      <c r="D652" s="1" t="s">
        <v>2225</v>
      </c>
      <c r="E652" s="1" t="s">
        <v>2232</v>
      </c>
      <c r="F652" s="1" t="s">
        <v>1561</v>
      </c>
      <c r="G652" s="1" t="s">
        <v>1562</v>
      </c>
      <c r="H652" s="1" t="str">
        <f t="shared" si="40"/>
        <v>CPU</v>
      </c>
      <c r="I652" s="1" t="str">
        <f t="shared" si="41"/>
        <v>温度太低: &lt;{$TEMP_CRIT_LOW: "CPU"}</v>
      </c>
      <c r="J652" s="1" t="str">
        <f t="shared" si="42"/>
        <v>CPU: 温度太低: &lt;{$TEMP_CRIT_LOW: "CPU"}</v>
      </c>
      <c r="K652" s="1" t="str">
        <f t="shared" si="43"/>
        <v>Temperature is too low: &lt;{$TEMP_CRIT_LOW:"CPU"}</v>
      </c>
    </row>
    <row r="653" spans="1:11">
      <c r="A653" s="1">
        <v>1775</v>
      </c>
      <c r="B653" s="1" t="s">
        <v>9503</v>
      </c>
      <c r="C653" s="1" t="s">
        <v>9106</v>
      </c>
      <c r="D653" s="1" t="s">
        <v>2225</v>
      </c>
      <c r="E653" s="1" t="s">
        <v>2234</v>
      </c>
      <c r="F653" s="1" t="s">
        <v>2033</v>
      </c>
      <c r="G653" s="1" t="s">
        <v>2034</v>
      </c>
      <c r="H653" s="1" t="str">
        <f t="shared" si="40"/>
        <v>Device</v>
      </c>
      <c r="I653" s="1" t="str">
        <f t="shared" si="41"/>
        <v>温度高于临界阈值: &gt;{$TEMP_CRIT: "Device"}</v>
      </c>
      <c r="J653" s="1" t="str">
        <f t="shared" si="42"/>
        <v>Device: 温度高于临界阈值: &gt;{$TEMP_CRIT: "Device"}</v>
      </c>
      <c r="K653" s="1" t="str">
        <f t="shared" si="43"/>
        <v>Temperature is above critical threshold: &gt;{$TEMP_CRIT:"Device"}</v>
      </c>
    </row>
    <row r="654" spans="1:11">
      <c r="A654" s="1">
        <v>1776</v>
      </c>
      <c r="B654" s="1" t="s">
        <v>9503</v>
      </c>
      <c r="C654" s="1" t="s">
        <v>9108</v>
      </c>
      <c r="D654" s="1" t="s">
        <v>2225</v>
      </c>
      <c r="E654" s="1" t="s">
        <v>2236</v>
      </c>
      <c r="F654" s="1" t="s">
        <v>2037</v>
      </c>
      <c r="G654" s="1" t="s">
        <v>2038</v>
      </c>
      <c r="H654" s="1" t="str">
        <f t="shared" si="40"/>
        <v>Device</v>
      </c>
      <c r="I654" s="1" t="str">
        <f t="shared" si="41"/>
        <v>温度高于告警阈值: &gt;{$TEMP_WARN: "Device"}</v>
      </c>
      <c r="J654" s="1" t="str">
        <f t="shared" si="42"/>
        <v>Device: 温度高于告警阈值: &gt;{$TEMP_WARN: "Device"}</v>
      </c>
      <c r="K654" s="1" t="str">
        <f t="shared" si="43"/>
        <v>Temperature is above warning threshold: &gt;{$TEMP_WARN:"Device"}</v>
      </c>
    </row>
    <row r="655" spans="1:11">
      <c r="A655" s="1">
        <v>1777</v>
      </c>
      <c r="B655" s="1" t="s">
        <v>9503</v>
      </c>
      <c r="C655" s="1" t="s">
        <v>9110</v>
      </c>
      <c r="D655" s="1" t="s">
        <v>2225</v>
      </c>
      <c r="E655" s="1" t="s">
        <v>2238</v>
      </c>
      <c r="F655" s="1" t="s">
        <v>2041</v>
      </c>
      <c r="G655" s="1" t="s">
        <v>2042</v>
      </c>
      <c r="H655" s="1" t="str">
        <f t="shared" si="40"/>
        <v>Device</v>
      </c>
      <c r="I655" s="1" t="str">
        <f t="shared" si="41"/>
        <v>温度太低: &lt;{$TEMP_CRIT_LOW: "Device"}</v>
      </c>
      <c r="J655" s="1" t="str">
        <f t="shared" si="42"/>
        <v>Device: 温度太低: &lt;{$TEMP_CRIT_LOW: "Device"}</v>
      </c>
      <c r="K655" s="1" t="str">
        <f t="shared" si="43"/>
        <v>Temperature is too low: &lt;{$TEMP_CRIT_LOW:"Device"}</v>
      </c>
    </row>
    <row r="656" spans="1:11">
      <c r="A656" s="1">
        <v>1778</v>
      </c>
      <c r="B656" s="1" t="s">
        <v>9503</v>
      </c>
      <c r="C656" s="1" t="s">
        <v>9112</v>
      </c>
      <c r="D656" s="1" t="s">
        <v>2225</v>
      </c>
      <c r="E656" s="1" t="s">
        <v>2240</v>
      </c>
      <c r="F656" s="1" t="s">
        <v>2045</v>
      </c>
      <c r="G656" s="1" t="s">
        <v>2046</v>
      </c>
      <c r="H656" s="1" t="str">
        <f t="shared" si="40"/>
        <v/>
      </c>
      <c r="I656" s="1" t="str">
        <f t="shared" si="41"/>
        <v/>
      </c>
      <c r="J656" s="1" t="str">
        <f t="shared" si="42"/>
        <v>Disk-{#SNMPINDEX}: 磁盘空间严重不足(已使用率&gt;{$VFS.FS.PUSED.MAX.CRIT: "Disk-{#SNMPINDEX}"}%)</v>
      </c>
      <c r="K656" s="1" t="str">
        <f t="shared" si="43"/>
        <v/>
      </c>
    </row>
    <row r="657" spans="1:11">
      <c r="A657" s="1">
        <v>1779</v>
      </c>
      <c r="B657" s="1" t="s">
        <v>9503</v>
      </c>
      <c r="C657" s="1" t="s">
        <v>9114</v>
      </c>
      <c r="D657" s="1" t="s">
        <v>2225</v>
      </c>
      <c r="E657" s="1" t="s">
        <v>2242</v>
      </c>
      <c r="F657" s="1" t="s">
        <v>2049</v>
      </c>
      <c r="G657" s="1" t="s">
        <v>2050</v>
      </c>
      <c r="H657" s="1" t="str">
        <f t="shared" si="40"/>
        <v/>
      </c>
      <c r="I657" s="1" t="str">
        <f t="shared" si="41"/>
        <v/>
      </c>
      <c r="J657" s="1" t="str">
        <f t="shared" si="42"/>
        <v>Disk-{#SNMPINDEX}: 磁盘空间不足(已使用率&gt;{$VFS.FS.PUSED.MAX.WARN: "Disk-{#SNMPINDEX}"}%)</v>
      </c>
      <c r="K657" s="1" t="str">
        <f t="shared" si="43"/>
        <v/>
      </c>
    </row>
    <row r="658" spans="1:11">
      <c r="A658" s="1">
        <v>1781</v>
      </c>
      <c r="B658" s="1" t="s">
        <v>9503</v>
      </c>
      <c r="C658" s="1" t="s">
        <v>9117</v>
      </c>
      <c r="D658" s="1" t="s">
        <v>2225</v>
      </c>
      <c r="E658" s="1" t="s">
        <v>2244</v>
      </c>
      <c r="F658" s="1" t="s">
        <v>161</v>
      </c>
      <c r="G658" s="1" t="s">
        <v>162</v>
      </c>
      <c r="H658" s="1" t="str">
        <f t="shared" si="40"/>
        <v/>
      </c>
      <c r="I658" s="1" t="str">
        <f t="shared" si="41"/>
        <v/>
      </c>
      <c r="J658" s="1" t="str">
        <f t="shared" si="42"/>
        <v>接口{#IFNAME}({#IFALIAS}): 带宽使用率太高(&gt;{$IF.UTIL.MAX: "{#IFNAME}"}%)</v>
      </c>
      <c r="K658" s="1" t="str">
        <f t="shared" si="43"/>
        <v/>
      </c>
    </row>
    <row r="659" spans="1:11">
      <c r="A659" s="1">
        <v>1782</v>
      </c>
      <c r="B659" s="1" t="s">
        <v>9503</v>
      </c>
      <c r="C659" s="1" t="s">
        <v>9119</v>
      </c>
      <c r="D659" s="1" t="s">
        <v>2225</v>
      </c>
      <c r="E659" s="1" t="s">
        <v>2246</v>
      </c>
      <c r="F659" s="1" t="s">
        <v>165</v>
      </c>
      <c r="G659" s="1" t="s">
        <v>166</v>
      </c>
      <c r="H659" s="1" t="str">
        <f t="shared" si="40"/>
        <v/>
      </c>
      <c r="I659" s="1" t="str">
        <f t="shared" si="41"/>
        <v/>
      </c>
      <c r="J659" s="1" t="str">
        <f t="shared" si="42"/>
        <v>接口{#IFNAME}({#IFALIAS}): 错误率太高(&gt;{$IF.ERRORS.WARN: "{#IFNAME}"}达5分钟)</v>
      </c>
      <c r="K659" s="1" t="str">
        <f t="shared" si="43"/>
        <v/>
      </c>
    </row>
    <row r="660" spans="1:11">
      <c r="A660" s="1">
        <v>1784</v>
      </c>
      <c r="B660" s="1" t="s">
        <v>9503</v>
      </c>
      <c r="C660" s="1" t="s">
        <v>9121</v>
      </c>
      <c r="D660" s="1" t="s">
        <v>2225</v>
      </c>
      <c r="E660" s="1" t="s">
        <v>2248</v>
      </c>
      <c r="F660" s="1" t="s">
        <v>2057</v>
      </c>
      <c r="G660" s="1" t="s">
        <v>2058</v>
      </c>
      <c r="H660" s="1" t="str">
        <f t="shared" si="40"/>
        <v/>
      </c>
      <c r="I660" s="1" t="str">
        <f t="shared" si="41"/>
        <v/>
      </c>
      <c r="J660" s="1" t="str">
        <f t="shared" si="42"/>
        <v>接口{#IFNAME}({#IFALIAS}): LTE调制解调器RSRP低(低于{$LTEMODEM.RSRP.MIN.WARN}dbm5分钟)</v>
      </c>
      <c r="K660" s="1" t="str">
        <f t="shared" si="43"/>
        <v/>
      </c>
    </row>
    <row r="661" spans="1:11">
      <c r="A661" s="1">
        <v>1785</v>
      </c>
      <c r="B661" s="1" t="s">
        <v>9503</v>
      </c>
      <c r="C661" s="1" t="s">
        <v>9122</v>
      </c>
      <c r="D661" s="1" t="s">
        <v>2225</v>
      </c>
      <c r="E661" s="1" t="s">
        <v>2250</v>
      </c>
      <c r="F661" s="1" t="s">
        <v>2061</v>
      </c>
      <c r="G661" s="1" t="s">
        <v>2062</v>
      </c>
      <c r="H661" s="1" t="str">
        <f t="shared" si="40"/>
        <v/>
      </c>
      <c r="I661" s="1" t="str">
        <f t="shared" si="41"/>
        <v/>
      </c>
      <c r="J661" s="1" t="str">
        <f t="shared" si="42"/>
        <v>接口{#IFNAME}({#IFALIAS}): LTE调制解调器RSRQ低(低于{$LTEMODEM.RSRQ.MIN.WARN}db5分钟)</v>
      </c>
      <c r="K661" s="1" t="str">
        <f t="shared" si="43"/>
        <v/>
      </c>
    </row>
    <row r="662" spans="1:11">
      <c r="A662" s="1">
        <v>1786</v>
      </c>
      <c r="B662" s="1" t="s">
        <v>9503</v>
      </c>
      <c r="C662" s="1" t="s">
        <v>9123</v>
      </c>
      <c r="D662" s="1" t="s">
        <v>2225</v>
      </c>
      <c r="E662" s="1" t="s">
        <v>2252</v>
      </c>
      <c r="F662" s="1" t="s">
        <v>2065</v>
      </c>
      <c r="G662" s="1" t="s">
        <v>2058</v>
      </c>
      <c r="H662" s="1" t="str">
        <f t="shared" si="40"/>
        <v/>
      </c>
      <c r="I662" s="1" t="str">
        <f t="shared" si="41"/>
        <v/>
      </c>
      <c r="J662" s="1" t="str">
        <f t="shared" si="42"/>
        <v>接口{#IFNAME}({#IFALIAS}): LTE调制解调器RSRP低(低于{$LTEMODEM.RSRP.MIN.WARN}dbm5分钟)</v>
      </c>
      <c r="K662" s="1" t="str">
        <f t="shared" si="43"/>
        <v/>
      </c>
    </row>
    <row r="663" spans="1:11">
      <c r="A663" s="1">
        <v>1787</v>
      </c>
      <c r="B663" s="1" t="s">
        <v>9503</v>
      </c>
      <c r="C663" s="1" t="s">
        <v>9124</v>
      </c>
      <c r="D663" s="1" t="s">
        <v>2225</v>
      </c>
      <c r="E663" s="1" t="s">
        <v>2254</v>
      </c>
      <c r="F663" s="1" t="s">
        <v>2068</v>
      </c>
      <c r="G663" s="1" t="s">
        <v>2062</v>
      </c>
      <c r="H663" s="1" t="str">
        <f t="shared" si="40"/>
        <v/>
      </c>
      <c r="I663" s="1" t="str">
        <f t="shared" si="41"/>
        <v/>
      </c>
      <c r="J663" s="1" t="str">
        <f t="shared" si="42"/>
        <v>接口{#IFNAME}({#IFALIAS}): LTE调制解调器RSRQ低(低于{$LTEMODEM.RSRQ.MIN.WARN}db5分钟)</v>
      </c>
      <c r="K663" s="1" t="str">
        <f t="shared" si="43"/>
        <v/>
      </c>
    </row>
    <row r="664" spans="1:11">
      <c r="A664" s="1">
        <v>1789</v>
      </c>
      <c r="B664" s="1" t="s">
        <v>9504</v>
      </c>
      <c r="C664" s="1" t="s">
        <v>9098</v>
      </c>
      <c r="D664" s="1" t="s">
        <v>2256</v>
      </c>
      <c r="E664" s="1" t="s">
        <v>2257</v>
      </c>
      <c r="F664" s="1" t="s">
        <v>541</v>
      </c>
      <c r="G664" s="1" t="s">
        <v>542</v>
      </c>
      <c r="H664" s="1" t="str">
        <f t="shared" si="40"/>
        <v/>
      </c>
      <c r="I664" s="1" t="str">
        <f t="shared" si="41"/>
        <v/>
      </c>
      <c r="J664" s="1" t="str">
        <f t="shared" si="42"/>
        <v>#{#SNMPINDEX}: CPU使用率高了(超过{$CPU.UTIL.CRIT}%达5分钟)</v>
      </c>
      <c r="K664" s="1" t="str">
        <f t="shared" si="43"/>
        <v/>
      </c>
    </row>
    <row r="665" spans="1:11">
      <c r="A665" s="1">
        <v>1790</v>
      </c>
      <c r="B665" s="1" t="s">
        <v>9504</v>
      </c>
      <c r="C665" s="1" t="s">
        <v>9100</v>
      </c>
      <c r="D665" s="1" t="s">
        <v>2256</v>
      </c>
      <c r="E665" s="1" t="s">
        <v>2259</v>
      </c>
      <c r="F665" s="1" t="s">
        <v>1557</v>
      </c>
      <c r="G665" s="1" t="s">
        <v>1558</v>
      </c>
      <c r="H665" s="1" t="str">
        <f t="shared" si="40"/>
        <v>CPU</v>
      </c>
      <c r="I665" s="1" t="str">
        <f t="shared" si="41"/>
        <v>温度高于临界阈值: &gt;{$TEMP_CRIT: "CPU"}</v>
      </c>
      <c r="J665" s="1" t="str">
        <f t="shared" si="42"/>
        <v>CPU: 温度高于临界阈值: &gt;{$TEMP_CRIT: "CPU"}</v>
      </c>
      <c r="K665" s="1" t="str">
        <f t="shared" si="43"/>
        <v>Temperature is above critical threshold: &gt;{$TEMP_CRIT:"CPU"}</v>
      </c>
    </row>
    <row r="666" spans="1:11">
      <c r="A666" s="1">
        <v>1791</v>
      </c>
      <c r="B666" s="1" t="s">
        <v>9504</v>
      </c>
      <c r="C666" s="1" t="s">
        <v>9102</v>
      </c>
      <c r="D666" s="1" t="s">
        <v>2256</v>
      </c>
      <c r="E666" s="1" t="s">
        <v>2261</v>
      </c>
      <c r="F666" s="1" t="s">
        <v>1553</v>
      </c>
      <c r="G666" s="1" t="s">
        <v>1554</v>
      </c>
      <c r="H666" s="1" t="str">
        <f t="shared" si="40"/>
        <v>CPU</v>
      </c>
      <c r="I666" s="1" t="str">
        <f t="shared" si="41"/>
        <v>温度高于告警阈值: &gt;{$TEMP_WARN: "CPU"}</v>
      </c>
      <c r="J666" s="1" t="str">
        <f t="shared" si="42"/>
        <v>CPU: 温度高于告警阈值: &gt;{$TEMP_WARN: "CPU"}</v>
      </c>
      <c r="K666" s="1" t="str">
        <f t="shared" si="43"/>
        <v>Temperature is above warning threshold: &gt;{$TEMP_WARN:"CPU"}</v>
      </c>
    </row>
    <row r="667" spans="1:11">
      <c r="A667" s="1">
        <v>1792</v>
      </c>
      <c r="B667" s="1" t="s">
        <v>9504</v>
      </c>
      <c r="C667" s="1" t="s">
        <v>9104</v>
      </c>
      <c r="D667" s="1" t="s">
        <v>2256</v>
      </c>
      <c r="E667" s="1" t="s">
        <v>2263</v>
      </c>
      <c r="F667" s="1" t="s">
        <v>1561</v>
      </c>
      <c r="G667" s="1" t="s">
        <v>1562</v>
      </c>
      <c r="H667" s="1" t="str">
        <f t="shared" si="40"/>
        <v>CPU</v>
      </c>
      <c r="I667" s="1" t="str">
        <f t="shared" si="41"/>
        <v>温度太低: &lt;{$TEMP_CRIT_LOW: "CPU"}</v>
      </c>
      <c r="J667" s="1" t="str">
        <f t="shared" si="42"/>
        <v>CPU: 温度太低: &lt;{$TEMP_CRIT_LOW: "CPU"}</v>
      </c>
      <c r="K667" s="1" t="str">
        <f t="shared" si="43"/>
        <v>Temperature is too low: &lt;{$TEMP_CRIT_LOW:"CPU"}</v>
      </c>
    </row>
    <row r="668" spans="1:11">
      <c r="A668" s="1">
        <v>1793</v>
      </c>
      <c r="B668" s="1" t="s">
        <v>9504</v>
      </c>
      <c r="C668" s="1" t="s">
        <v>9106</v>
      </c>
      <c r="D668" s="1" t="s">
        <v>2256</v>
      </c>
      <c r="E668" s="1" t="s">
        <v>2265</v>
      </c>
      <c r="F668" s="1" t="s">
        <v>2033</v>
      </c>
      <c r="G668" s="1" t="s">
        <v>2034</v>
      </c>
      <c r="H668" s="1" t="str">
        <f t="shared" si="40"/>
        <v>Device</v>
      </c>
      <c r="I668" s="1" t="str">
        <f t="shared" si="41"/>
        <v>温度高于临界阈值: &gt;{$TEMP_CRIT: "Device"}</v>
      </c>
      <c r="J668" s="1" t="str">
        <f t="shared" si="42"/>
        <v>Device: 温度高于临界阈值: &gt;{$TEMP_CRIT: "Device"}</v>
      </c>
      <c r="K668" s="1" t="str">
        <f t="shared" si="43"/>
        <v>Temperature is above critical threshold: &gt;{$TEMP_CRIT:"Device"}</v>
      </c>
    </row>
    <row r="669" spans="1:11">
      <c r="A669" s="1">
        <v>1794</v>
      </c>
      <c r="B669" s="1" t="s">
        <v>9504</v>
      </c>
      <c r="C669" s="1" t="s">
        <v>9108</v>
      </c>
      <c r="D669" s="1" t="s">
        <v>2256</v>
      </c>
      <c r="E669" s="1" t="s">
        <v>2267</v>
      </c>
      <c r="F669" s="1" t="s">
        <v>2037</v>
      </c>
      <c r="G669" s="1" t="s">
        <v>2038</v>
      </c>
      <c r="H669" s="1" t="str">
        <f t="shared" si="40"/>
        <v>Device</v>
      </c>
      <c r="I669" s="1" t="str">
        <f t="shared" si="41"/>
        <v>温度高于告警阈值: &gt;{$TEMP_WARN: "Device"}</v>
      </c>
      <c r="J669" s="1" t="str">
        <f t="shared" si="42"/>
        <v>Device: 温度高于告警阈值: &gt;{$TEMP_WARN: "Device"}</v>
      </c>
      <c r="K669" s="1" t="str">
        <f t="shared" si="43"/>
        <v>Temperature is above warning threshold: &gt;{$TEMP_WARN:"Device"}</v>
      </c>
    </row>
    <row r="670" spans="1:11">
      <c r="A670" s="1">
        <v>1795</v>
      </c>
      <c r="B670" s="1" t="s">
        <v>9504</v>
      </c>
      <c r="C670" s="1" t="s">
        <v>9110</v>
      </c>
      <c r="D670" s="1" t="s">
        <v>2256</v>
      </c>
      <c r="E670" s="1" t="s">
        <v>2269</v>
      </c>
      <c r="F670" s="1" t="s">
        <v>2041</v>
      </c>
      <c r="G670" s="1" t="s">
        <v>2042</v>
      </c>
      <c r="H670" s="1" t="str">
        <f t="shared" si="40"/>
        <v>Device</v>
      </c>
      <c r="I670" s="1" t="str">
        <f t="shared" si="41"/>
        <v>温度太低: &lt;{$TEMP_CRIT_LOW: "Device"}</v>
      </c>
      <c r="J670" s="1" t="str">
        <f t="shared" si="42"/>
        <v>Device: 温度太低: &lt;{$TEMP_CRIT_LOW: "Device"}</v>
      </c>
      <c r="K670" s="1" t="str">
        <f t="shared" si="43"/>
        <v>Temperature is too low: &lt;{$TEMP_CRIT_LOW:"Device"}</v>
      </c>
    </row>
    <row r="671" spans="1:11">
      <c r="A671" s="1">
        <v>1796</v>
      </c>
      <c r="B671" s="1" t="s">
        <v>9504</v>
      </c>
      <c r="C671" s="1" t="s">
        <v>9112</v>
      </c>
      <c r="D671" s="1" t="s">
        <v>2256</v>
      </c>
      <c r="E671" s="1" t="s">
        <v>2271</v>
      </c>
      <c r="F671" s="1" t="s">
        <v>2045</v>
      </c>
      <c r="G671" s="1" t="s">
        <v>2046</v>
      </c>
      <c r="H671" s="1" t="str">
        <f t="shared" si="40"/>
        <v/>
      </c>
      <c r="I671" s="1" t="str">
        <f t="shared" si="41"/>
        <v/>
      </c>
      <c r="J671" s="1" t="str">
        <f t="shared" si="42"/>
        <v>Disk-{#SNMPINDEX}: 磁盘空间严重不足(已使用率&gt;{$VFS.FS.PUSED.MAX.CRIT: "Disk-{#SNMPINDEX}"}%)</v>
      </c>
      <c r="K671" s="1" t="str">
        <f t="shared" si="43"/>
        <v/>
      </c>
    </row>
    <row r="672" spans="1:11">
      <c r="A672" s="1">
        <v>1797</v>
      </c>
      <c r="B672" s="1" t="s">
        <v>9504</v>
      </c>
      <c r="C672" s="1" t="s">
        <v>9114</v>
      </c>
      <c r="D672" s="1" t="s">
        <v>2256</v>
      </c>
      <c r="E672" s="1" t="s">
        <v>2273</v>
      </c>
      <c r="F672" s="1" t="s">
        <v>2049</v>
      </c>
      <c r="G672" s="1" t="s">
        <v>2050</v>
      </c>
      <c r="H672" s="1" t="str">
        <f t="shared" si="40"/>
        <v/>
      </c>
      <c r="I672" s="1" t="str">
        <f t="shared" si="41"/>
        <v/>
      </c>
      <c r="J672" s="1" t="str">
        <f t="shared" si="42"/>
        <v>Disk-{#SNMPINDEX}: 磁盘空间不足(已使用率&gt;{$VFS.FS.PUSED.MAX.WARN: "Disk-{#SNMPINDEX}"}%)</v>
      </c>
      <c r="K672" s="1" t="str">
        <f t="shared" si="43"/>
        <v/>
      </c>
    </row>
    <row r="673" spans="1:11">
      <c r="A673" s="1">
        <v>1799</v>
      </c>
      <c r="B673" s="1" t="s">
        <v>9504</v>
      </c>
      <c r="C673" s="1" t="s">
        <v>9117</v>
      </c>
      <c r="D673" s="1" t="s">
        <v>2256</v>
      </c>
      <c r="E673" s="1" t="s">
        <v>2275</v>
      </c>
      <c r="F673" s="1" t="s">
        <v>161</v>
      </c>
      <c r="G673" s="1" t="s">
        <v>162</v>
      </c>
      <c r="H673" s="1" t="str">
        <f t="shared" si="40"/>
        <v/>
      </c>
      <c r="I673" s="1" t="str">
        <f t="shared" si="41"/>
        <v/>
      </c>
      <c r="J673" s="1" t="str">
        <f t="shared" si="42"/>
        <v>接口{#IFNAME}({#IFALIAS}): 带宽使用率太高(&gt;{$IF.UTIL.MAX: "{#IFNAME}"}%)</v>
      </c>
      <c r="K673" s="1" t="str">
        <f t="shared" si="43"/>
        <v/>
      </c>
    </row>
    <row r="674" spans="1:11">
      <c r="A674" s="1">
        <v>1800</v>
      </c>
      <c r="B674" s="1" t="s">
        <v>9504</v>
      </c>
      <c r="C674" s="1" t="s">
        <v>9119</v>
      </c>
      <c r="D674" s="1" t="s">
        <v>2256</v>
      </c>
      <c r="E674" s="1" t="s">
        <v>2277</v>
      </c>
      <c r="F674" s="1" t="s">
        <v>165</v>
      </c>
      <c r="G674" s="1" t="s">
        <v>166</v>
      </c>
      <c r="H674" s="1" t="str">
        <f t="shared" si="40"/>
        <v/>
      </c>
      <c r="I674" s="1" t="str">
        <f t="shared" si="41"/>
        <v/>
      </c>
      <c r="J674" s="1" t="str">
        <f t="shared" si="42"/>
        <v>接口{#IFNAME}({#IFALIAS}): 错误率太高(&gt;{$IF.ERRORS.WARN: "{#IFNAME}"}达5分钟)</v>
      </c>
      <c r="K674" s="1" t="str">
        <f t="shared" si="43"/>
        <v/>
      </c>
    </row>
    <row r="675" spans="1:11">
      <c r="A675" s="1">
        <v>1802</v>
      </c>
      <c r="B675" s="1" t="s">
        <v>9504</v>
      </c>
      <c r="C675" s="1" t="s">
        <v>9121</v>
      </c>
      <c r="D675" s="1" t="s">
        <v>2256</v>
      </c>
      <c r="E675" s="1" t="s">
        <v>2279</v>
      </c>
      <c r="F675" s="1" t="s">
        <v>2057</v>
      </c>
      <c r="G675" s="1" t="s">
        <v>2058</v>
      </c>
      <c r="H675" s="1" t="str">
        <f t="shared" si="40"/>
        <v/>
      </c>
      <c r="I675" s="1" t="str">
        <f t="shared" si="41"/>
        <v/>
      </c>
      <c r="J675" s="1" t="str">
        <f t="shared" si="42"/>
        <v>接口{#IFNAME}({#IFALIAS}): LTE调制解调器RSRP低(低于{$LTEMODEM.RSRP.MIN.WARN}dbm5分钟)</v>
      </c>
      <c r="K675" s="1" t="str">
        <f t="shared" si="43"/>
        <v/>
      </c>
    </row>
    <row r="676" spans="1:11">
      <c r="A676" s="1">
        <v>1803</v>
      </c>
      <c r="B676" s="1" t="s">
        <v>9504</v>
      </c>
      <c r="C676" s="1" t="s">
        <v>9122</v>
      </c>
      <c r="D676" s="1" t="s">
        <v>2256</v>
      </c>
      <c r="E676" s="1" t="s">
        <v>2281</v>
      </c>
      <c r="F676" s="1" t="s">
        <v>2061</v>
      </c>
      <c r="G676" s="1" t="s">
        <v>2062</v>
      </c>
      <c r="H676" s="1" t="str">
        <f t="shared" si="40"/>
        <v/>
      </c>
      <c r="I676" s="1" t="str">
        <f t="shared" si="41"/>
        <v/>
      </c>
      <c r="J676" s="1" t="str">
        <f t="shared" si="42"/>
        <v>接口{#IFNAME}({#IFALIAS}): LTE调制解调器RSRQ低(低于{$LTEMODEM.RSRQ.MIN.WARN}db5分钟)</v>
      </c>
      <c r="K676" s="1" t="str">
        <f t="shared" si="43"/>
        <v/>
      </c>
    </row>
    <row r="677" spans="1:11">
      <c r="A677" s="1">
        <v>1804</v>
      </c>
      <c r="B677" s="1" t="s">
        <v>9504</v>
      </c>
      <c r="C677" s="1" t="s">
        <v>9123</v>
      </c>
      <c r="D677" s="1" t="s">
        <v>2256</v>
      </c>
      <c r="E677" s="1" t="s">
        <v>2283</v>
      </c>
      <c r="F677" s="1" t="s">
        <v>2065</v>
      </c>
      <c r="G677" s="1" t="s">
        <v>2058</v>
      </c>
      <c r="H677" s="1" t="str">
        <f t="shared" si="40"/>
        <v/>
      </c>
      <c r="I677" s="1" t="str">
        <f t="shared" si="41"/>
        <v/>
      </c>
      <c r="J677" s="1" t="str">
        <f t="shared" si="42"/>
        <v>接口{#IFNAME}({#IFALIAS}): LTE调制解调器RSRP低(低于{$LTEMODEM.RSRP.MIN.WARN}dbm5分钟)</v>
      </c>
      <c r="K677" s="1" t="str">
        <f t="shared" si="43"/>
        <v/>
      </c>
    </row>
    <row r="678" spans="1:11">
      <c r="A678" s="1">
        <v>1805</v>
      </c>
      <c r="B678" s="1" t="s">
        <v>9504</v>
      </c>
      <c r="C678" s="1" t="s">
        <v>9124</v>
      </c>
      <c r="D678" s="1" t="s">
        <v>2256</v>
      </c>
      <c r="E678" s="1" t="s">
        <v>2285</v>
      </c>
      <c r="F678" s="1" t="s">
        <v>2068</v>
      </c>
      <c r="G678" s="1" t="s">
        <v>2062</v>
      </c>
      <c r="H678" s="1" t="str">
        <f t="shared" si="40"/>
        <v/>
      </c>
      <c r="I678" s="1" t="str">
        <f t="shared" si="41"/>
        <v/>
      </c>
      <c r="J678" s="1" t="str">
        <f t="shared" si="42"/>
        <v>接口{#IFNAME}({#IFALIAS}): LTE调制解调器RSRQ低(低于{$LTEMODEM.RSRQ.MIN.WARN}db5分钟)</v>
      </c>
      <c r="K678" s="1" t="str">
        <f t="shared" si="43"/>
        <v/>
      </c>
    </row>
    <row r="679" spans="1:11">
      <c r="A679" s="1">
        <v>1807</v>
      </c>
      <c r="B679" s="1" t="s">
        <v>9505</v>
      </c>
      <c r="C679" s="1" t="s">
        <v>9098</v>
      </c>
      <c r="D679" s="1" t="s">
        <v>2287</v>
      </c>
      <c r="E679" s="1" t="s">
        <v>2288</v>
      </c>
      <c r="F679" s="1" t="s">
        <v>541</v>
      </c>
      <c r="G679" s="1" t="s">
        <v>542</v>
      </c>
      <c r="H679" s="1" t="str">
        <f t="shared" si="40"/>
        <v/>
      </c>
      <c r="I679" s="1" t="str">
        <f t="shared" si="41"/>
        <v/>
      </c>
      <c r="J679" s="1" t="str">
        <f t="shared" si="42"/>
        <v>#{#SNMPINDEX}: CPU使用率高了(超过{$CPU.UTIL.CRIT}%达5分钟)</v>
      </c>
      <c r="K679" s="1" t="str">
        <f t="shared" si="43"/>
        <v/>
      </c>
    </row>
    <row r="680" spans="1:11">
      <c r="A680" s="1">
        <v>1808</v>
      </c>
      <c r="B680" s="1" t="s">
        <v>9505</v>
      </c>
      <c r="C680" s="1" t="s">
        <v>9100</v>
      </c>
      <c r="D680" s="1" t="s">
        <v>2287</v>
      </c>
      <c r="E680" s="1" t="s">
        <v>2290</v>
      </c>
      <c r="F680" s="1" t="s">
        <v>1557</v>
      </c>
      <c r="G680" s="1" t="s">
        <v>1558</v>
      </c>
      <c r="H680" s="1" t="str">
        <f t="shared" si="40"/>
        <v>CPU</v>
      </c>
      <c r="I680" s="1" t="str">
        <f t="shared" si="41"/>
        <v>温度高于临界阈值: &gt;{$TEMP_CRIT: "CPU"}</v>
      </c>
      <c r="J680" s="1" t="str">
        <f t="shared" si="42"/>
        <v>CPU: 温度高于临界阈值: &gt;{$TEMP_CRIT: "CPU"}</v>
      </c>
      <c r="K680" s="1" t="str">
        <f t="shared" si="43"/>
        <v>Temperature is above critical threshold: &gt;{$TEMP_CRIT:"CPU"}</v>
      </c>
    </row>
    <row r="681" spans="1:11">
      <c r="A681" s="1">
        <v>1809</v>
      </c>
      <c r="B681" s="1" t="s">
        <v>9505</v>
      </c>
      <c r="C681" s="1" t="s">
        <v>9102</v>
      </c>
      <c r="D681" s="1" t="s">
        <v>2287</v>
      </c>
      <c r="E681" s="1" t="s">
        <v>2292</v>
      </c>
      <c r="F681" s="1" t="s">
        <v>1553</v>
      </c>
      <c r="G681" s="1" t="s">
        <v>1554</v>
      </c>
      <c r="H681" s="1" t="str">
        <f t="shared" si="40"/>
        <v>CPU</v>
      </c>
      <c r="I681" s="1" t="str">
        <f t="shared" si="41"/>
        <v>温度高于告警阈值: &gt;{$TEMP_WARN: "CPU"}</v>
      </c>
      <c r="J681" s="1" t="str">
        <f t="shared" si="42"/>
        <v>CPU: 温度高于告警阈值: &gt;{$TEMP_WARN: "CPU"}</v>
      </c>
      <c r="K681" s="1" t="str">
        <f t="shared" si="43"/>
        <v>Temperature is above warning threshold: &gt;{$TEMP_WARN:"CPU"}</v>
      </c>
    </row>
    <row r="682" spans="1:11">
      <c r="A682" s="1">
        <v>1810</v>
      </c>
      <c r="B682" s="1" t="s">
        <v>9505</v>
      </c>
      <c r="C682" s="1" t="s">
        <v>9104</v>
      </c>
      <c r="D682" s="1" t="s">
        <v>2287</v>
      </c>
      <c r="E682" s="1" t="s">
        <v>2294</v>
      </c>
      <c r="F682" s="1" t="s">
        <v>1561</v>
      </c>
      <c r="G682" s="1" t="s">
        <v>1562</v>
      </c>
      <c r="H682" s="1" t="str">
        <f t="shared" si="40"/>
        <v>CPU</v>
      </c>
      <c r="I682" s="1" t="str">
        <f t="shared" si="41"/>
        <v>温度太低: &lt;{$TEMP_CRIT_LOW: "CPU"}</v>
      </c>
      <c r="J682" s="1" t="str">
        <f t="shared" si="42"/>
        <v>CPU: 温度太低: &lt;{$TEMP_CRIT_LOW: "CPU"}</v>
      </c>
      <c r="K682" s="1" t="str">
        <f t="shared" si="43"/>
        <v>Temperature is too low: &lt;{$TEMP_CRIT_LOW:"CPU"}</v>
      </c>
    </row>
    <row r="683" spans="1:11">
      <c r="A683" s="1">
        <v>1811</v>
      </c>
      <c r="B683" s="1" t="s">
        <v>9505</v>
      </c>
      <c r="C683" s="1" t="s">
        <v>9106</v>
      </c>
      <c r="D683" s="1" t="s">
        <v>2287</v>
      </c>
      <c r="E683" s="1" t="s">
        <v>2296</v>
      </c>
      <c r="F683" s="1" t="s">
        <v>2033</v>
      </c>
      <c r="G683" s="1" t="s">
        <v>2034</v>
      </c>
      <c r="H683" s="1" t="str">
        <f t="shared" si="40"/>
        <v>Device</v>
      </c>
      <c r="I683" s="1" t="str">
        <f t="shared" si="41"/>
        <v>温度高于临界阈值: &gt;{$TEMP_CRIT: "Device"}</v>
      </c>
      <c r="J683" s="1" t="str">
        <f t="shared" si="42"/>
        <v>Device: 温度高于临界阈值: &gt;{$TEMP_CRIT: "Device"}</v>
      </c>
      <c r="K683" s="1" t="str">
        <f t="shared" si="43"/>
        <v>Temperature is above critical threshold: &gt;{$TEMP_CRIT:"Device"}</v>
      </c>
    </row>
    <row r="684" spans="1:11">
      <c r="A684" s="1">
        <v>1812</v>
      </c>
      <c r="B684" s="1" t="s">
        <v>9505</v>
      </c>
      <c r="C684" s="1" t="s">
        <v>9108</v>
      </c>
      <c r="D684" s="1" t="s">
        <v>2287</v>
      </c>
      <c r="E684" s="1" t="s">
        <v>2298</v>
      </c>
      <c r="F684" s="1" t="s">
        <v>2037</v>
      </c>
      <c r="G684" s="1" t="s">
        <v>2038</v>
      </c>
      <c r="H684" s="1" t="str">
        <f t="shared" si="40"/>
        <v>Device</v>
      </c>
      <c r="I684" s="1" t="str">
        <f t="shared" si="41"/>
        <v>温度高于告警阈值: &gt;{$TEMP_WARN: "Device"}</v>
      </c>
      <c r="J684" s="1" t="str">
        <f t="shared" si="42"/>
        <v>Device: 温度高于告警阈值: &gt;{$TEMP_WARN: "Device"}</v>
      </c>
      <c r="K684" s="1" t="str">
        <f t="shared" si="43"/>
        <v>Temperature is above warning threshold: &gt;{$TEMP_WARN:"Device"}</v>
      </c>
    </row>
    <row r="685" spans="1:11">
      <c r="A685" s="1">
        <v>1813</v>
      </c>
      <c r="B685" s="1" t="s">
        <v>9505</v>
      </c>
      <c r="C685" s="1" t="s">
        <v>9110</v>
      </c>
      <c r="D685" s="1" t="s">
        <v>2287</v>
      </c>
      <c r="E685" s="1" t="s">
        <v>2300</v>
      </c>
      <c r="F685" s="1" t="s">
        <v>2041</v>
      </c>
      <c r="G685" s="1" t="s">
        <v>2042</v>
      </c>
      <c r="H685" s="1" t="str">
        <f t="shared" si="40"/>
        <v>Device</v>
      </c>
      <c r="I685" s="1" t="str">
        <f t="shared" si="41"/>
        <v>温度太低: &lt;{$TEMP_CRIT_LOW: "Device"}</v>
      </c>
      <c r="J685" s="1" t="str">
        <f t="shared" si="42"/>
        <v>Device: 温度太低: &lt;{$TEMP_CRIT_LOW: "Device"}</v>
      </c>
      <c r="K685" s="1" t="str">
        <f t="shared" si="43"/>
        <v>Temperature is too low: &lt;{$TEMP_CRIT_LOW:"Device"}</v>
      </c>
    </row>
    <row r="686" spans="1:11">
      <c r="A686" s="1">
        <v>1814</v>
      </c>
      <c r="B686" s="1" t="s">
        <v>9505</v>
      </c>
      <c r="C686" s="1" t="s">
        <v>9112</v>
      </c>
      <c r="D686" s="1" t="s">
        <v>2287</v>
      </c>
      <c r="E686" s="1" t="s">
        <v>2302</v>
      </c>
      <c r="F686" s="1" t="s">
        <v>2045</v>
      </c>
      <c r="G686" s="1" t="s">
        <v>2046</v>
      </c>
      <c r="H686" s="1" t="str">
        <f t="shared" si="40"/>
        <v/>
      </c>
      <c r="I686" s="1" t="str">
        <f t="shared" si="41"/>
        <v/>
      </c>
      <c r="J686" s="1" t="str">
        <f t="shared" si="42"/>
        <v>Disk-{#SNMPINDEX}: 磁盘空间严重不足(已使用率&gt;{$VFS.FS.PUSED.MAX.CRIT: "Disk-{#SNMPINDEX}"}%)</v>
      </c>
      <c r="K686" s="1" t="str">
        <f t="shared" si="43"/>
        <v/>
      </c>
    </row>
    <row r="687" spans="1:11">
      <c r="A687" s="1">
        <v>1815</v>
      </c>
      <c r="B687" s="1" t="s">
        <v>9505</v>
      </c>
      <c r="C687" s="1" t="s">
        <v>9114</v>
      </c>
      <c r="D687" s="1" t="s">
        <v>2287</v>
      </c>
      <c r="E687" s="1" t="s">
        <v>2304</v>
      </c>
      <c r="F687" s="1" t="s">
        <v>2049</v>
      </c>
      <c r="G687" s="1" t="s">
        <v>2050</v>
      </c>
      <c r="H687" s="1" t="str">
        <f t="shared" si="40"/>
        <v/>
      </c>
      <c r="I687" s="1" t="str">
        <f t="shared" si="41"/>
        <v/>
      </c>
      <c r="J687" s="1" t="str">
        <f t="shared" si="42"/>
        <v>Disk-{#SNMPINDEX}: 磁盘空间不足(已使用率&gt;{$VFS.FS.PUSED.MAX.WARN: "Disk-{#SNMPINDEX}"}%)</v>
      </c>
      <c r="K687" s="1" t="str">
        <f t="shared" si="43"/>
        <v/>
      </c>
    </row>
    <row r="688" spans="1:11">
      <c r="A688" s="1">
        <v>1817</v>
      </c>
      <c r="B688" s="1" t="s">
        <v>9505</v>
      </c>
      <c r="C688" s="1" t="s">
        <v>9117</v>
      </c>
      <c r="D688" s="1" t="s">
        <v>2287</v>
      </c>
      <c r="E688" s="1" t="s">
        <v>2306</v>
      </c>
      <c r="F688" s="1" t="s">
        <v>161</v>
      </c>
      <c r="G688" s="1" t="s">
        <v>162</v>
      </c>
      <c r="H688" s="1" t="str">
        <f t="shared" si="40"/>
        <v/>
      </c>
      <c r="I688" s="1" t="str">
        <f t="shared" si="41"/>
        <v/>
      </c>
      <c r="J688" s="1" t="str">
        <f t="shared" si="42"/>
        <v>接口{#IFNAME}({#IFALIAS}): 带宽使用率太高(&gt;{$IF.UTIL.MAX: "{#IFNAME}"}%)</v>
      </c>
      <c r="K688" s="1" t="str">
        <f t="shared" si="43"/>
        <v/>
      </c>
    </row>
    <row r="689" spans="1:11">
      <c r="A689" s="1">
        <v>1818</v>
      </c>
      <c r="B689" s="1" t="s">
        <v>9505</v>
      </c>
      <c r="C689" s="1" t="s">
        <v>9119</v>
      </c>
      <c r="D689" s="1" t="s">
        <v>2287</v>
      </c>
      <c r="E689" s="1" t="s">
        <v>2308</v>
      </c>
      <c r="F689" s="1" t="s">
        <v>165</v>
      </c>
      <c r="G689" s="1" t="s">
        <v>166</v>
      </c>
      <c r="H689" s="1" t="str">
        <f t="shared" si="40"/>
        <v/>
      </c>
      <c r="I689" s="1" t="str">
        <f t="shared" si="41"/>
        <v/>
      </c>
      <c r="J689" s="1" t="str">
        <f t="shared" si="42"/>
        <v>接口{#IFNAME}({#IFALIAS}): 错误率太高(&gt;{$IF.ERRORS.WARN: "{#IFNAME}"}达5分钟)</v>
      </c>
      <c r="K689" s="1" t="str">
        <f t="shared" si="43"/>
        <v/>
      </c>
    </row>
    <row r="690" spans="1:11">
      <c r="A690" s="1">
        <v>1820</v>
      </c>
      <c r="B690" s="1" t="s">
        <v>9505</v>
      </c>
      <c r="C690" s="1" t="s">
        <v>9121</v>
      </c>
      <c r="D690" s="1" t="s">
        <v>2287</v>
      </c>
      <c r="E690" s="1" t="s">
        <v>2310</v>
      </c>
      <c r="F690" s="1" t="s">
        <v>2057</v>
      </c>
      <c r="G690" s="1" t="s">
        <v>2058</v>
      </c>
      <c r="H690" s="1" t="str">
        <f t="shared" si="40"/>
        <v/>
      </c>
      <c r="I690" s="1" t="str">
        <f t="shared" si="41"/>
        <v/>
      </c>
      <c r="J690" s="1" t="str">
        <f t="shared" si="42"/>
        <v>接口{#IFNAME}({#IFALIAS}): LTE调制解调器RSRP低(低于{$LTEMODEM.RSRP.MIN.WARN}dbm5分钟)</v>
      </c>
      <c r="K690" s="1" t="str">
        <f t="shared" si="43"/>
        <v/>
      </c>
    </row>
    <row r="691" spans="1:11">
      <c r="A691" s="1">
        <v>1821</v>
      </c>
      <c r="B691" s="1" t="s">
        <v>9505</v>
      </c>
      <c r="C691" s="1" t="s">
        <v>9122</v>
      </c>
      <c r="D691" s="1" t="s">
        <v>2287</v>
      </c>
      <c r="E691" s="1" t="s">
        <v>2312</v>
      </c>
      <c r="F691" s="1" t="s">
        <v>2061</v>
      </c>
      <c r="G691" s="1" t="s">
        <v>2062</v>
      </c>
      <c r="H691" s="1" t="str">
        <f t="shared" si="40"/>
        <v/>
      </c>
      <c r="I691" s="1" t="str">
        <f t="shared" si="41"/>
        <v/>
      </c>
      <c r="J691" s="1" t="str">
        <f t="shared" si="42"/>
        <v>接口{#IFNAME}({#IFALIAS}): LTE调制解调器RSRQ低(低于{$LTEMODEM.RSRQ.MIN.WARN}db5分钟)</v>
      </c>
      <c r="K691" s="1" t="str">
        <f t="shared" si="43"/>
        <v/>
      </c>
    </row>
    <row r="692" spans="1:11">
      <c r="A692" s="1">
        <v>1822</v>
      </c>
      <c r="B692" s="1" t="s">
        <v>9505</v>
      </c>
      <c r="C692" s="1" t="s">
        <v>9123</v>
      </c>
      <c r="D692" s="1" t="s">
        <v>2287</v>
      </c>
      <c r="E692" s="1" t="s">
        <v>2314</v>
      </c>
      <c r="F692" s="1" t="s">
        <v>2065</v>
      </c>
      <c r="G692" s="1" t="s">
        <v>2058</v>
      </c>
      <c r="H692" s="1" t="str">
        <f t="shared" si="40"/>
        <v/>
      </c>
      <c r="I692" s="1" t="str">
        <f t="shared" si="41"/>
        <v/>
      </c>
      <c r="J692" s="1" t="str">
        <f t="shared" si="42"/>
        <v>接口{#IFNAME}({#IFALIAS}): LTE调制解调器RSRP低(低于{$LTEMODEM.RSRP.MIN.WARN}dbm5分钟)</v>
      </c>
      <c r="K692" s="1" t="str">
        <f t="shared" si="43"/>
        <v/>
      </c>
    </row>
    <row r="693" spans="1:11">
      <c r="A693" s="1">
        <v>1823</v>
      </c>
      <c r="B693" s="1" t="s">
        <v>9505</v>
      </c>
      <c r="C693" s="1" t="s">
        <v>9124</v>
      </c>
      <c r="D693" s="1" t="s">
        <v>2287</v>
      </c>
      <c r="E693" s="1" t="s">
        <v>2316</v>
      </c>
      <c r="F693" s="1" t="s">
        <v>2068</v>
      </c>
      <c r="G693" s="1" t="s">
        <v>2062</v>
      </c>
      <c r="H693" s="1" t="str">
        <f t="shared" si="40"/>
        <v/>
      </c>
      <c r="I693" s="1" t="str">
        <f t="shared" si="41"/>
        <v/>
      </c>
      <c r="J693" s="1" t="str">
        <f t="shared" si="42"/>
        <v>接口{#IFNAME}({#IFALIAS}): LTE调制解调器RSRQ低(低于{$LTEMODEM.RSRQ.MIN.WARN}db5分钟)</v>
      </c>
      <c r="K693" s="1" t="str">
        <f t="shared" si="43"/>
        <v/>
      </c>
    </row>
    <row r="694" spans="1:11">
      <c r="A694" s="1">
        <v>1825</v>
      </c>
      <c r="B694" s="1" t="s">
        <v>9506</v>
      </c>
      <c r="C694" s="1" t="s">
        <v>9098</v>
      </c>
      <c r="D694" s="1" t="s">
        <v>2318</v>
      </c>
      <c r="E694" s="1" t="s">
        <v>2319</v>
      </c>
      <c r="F694" s="1" t="s">
        <v>541</v>
      </c>
      <c r="G694" s="1" t="s">
        <v>542</v>
      </c>
      <c r="H694" s="1" t="str">
        <f t="shared" si="40"/>
        <v/>
      </c>
      <c r="I694" s="1" t="str">
        <f t="shared" si="41"/>
        <v/>
      </c>
      <c r="J694" s="1" t="str">
        <f t="shared" si="42"/>
        <v>#{#SNMPINDEX}: CPU使用率高了(超过{$CPU.UTIL.CRIT}%达5分钟)</v>
      </c>
      <c r="K694" s="1" t="str">
        <f t="shared" si="43"/>
        <v/>
      </c>
    </row>
    <row r="695" spans="1:11">
      <c r="A695" s="1">
        <v>1826</v>
      </c>
      <c r="B695" s="1" t="s">
        <v>9506</v>
      </c>
      <c r="C695" s="1" t="s">
        <v>9100</v>
      </c>
      <c r="D695" s="1" t="s">
        <v>2318</v>
      </c>
      <c r="E695" s="1" t="s">
        <v>2321</v>
      </c>
      <c r="F695" s="1" t="s">
        <v>1557</v>
      </c>
      <c r="G695" s="1" t="s">
        <v>1558</v>
      </c>
      <c r="H695" s="1" t="str">
        <f t="shared" si="40"/>
        <v>CPU</v>
      </c>
      <c r="I695" s="1" t="str">
        <f t="shared" si="41"/>
        <v>温度高于临界阈值: &gt;{$TEMP_CRIT: "CPU"}</v>
      </c>
      <c r="J695" s="1" t="str">
        <f t="shared" si="42"/>
        <v>CPU: 温度高于临界阈值: &gt;{$TEMP_CRIT: "CPU"}</v>
      </c>
      <c r="K695" s="1" t="str">
        <f t="shared" si="43"/>
        <v>Temperature is above critical threshold: &gt;{$TEMP_CRIT:"CPU"}</v>
      </c>
    </row>
    <row r="696" spans="1:11">
      <c r="A696" s="1">
        <v>1827</v>
      </c>
      <c r="B696" s="1" t="s">
        <v>9506</v>
      </c>
      <c r="C696" s="1" t="s">
        <v>9102</v>
      </c>
      <c r="D696" s="1" t="s">
        <v>2318</v>
      </c>
      <c r="E696" s="1" t="s">
        <v>2323</v>
      </c>
      <c r="F696" s="1" t="s">
        <v>1553</v>
      </c>
      <c r="G696" s="1" t="s">
        <v>1554</v>
      </c>
      <c r="H696" s="1" t="str">
        <f t="shared" si="40"/>
        <v>CPU</v>
      </c>
      <c r="I696" s="1" t="str">
        <f t="shared" si="41"/>
        <v>温度高于告警阈值: &gt;{$TEMP_WARN: "CPU"}</v>
      </c>
      <c r="J696" s="1" t="str">
        <f t="shared" si="42"/>
        <v>CPU: 温度高于告警阈值: &gt;{$TEMP_WARN: "CPU"}</v>
      </c>
      <c r="K696" s="1" t="str">
        <f t="shared" si="43"/>
        <v>Temperature is above warning threshold: &gt;{$TEMP_WARN:"CPU"}</v>
      </c>
    </row>
    <row r="697" spans="1:11">
      <c r="A697" s="1">
        <v>1828</v>
      </c>
      <c r="B697" s="1" t="s">
        <v>9506</v>
      </c>
      <c r="C697" s="1" t="s">
        <v>9104</v>
      </c>
      <c r="D697" s="1" t="s">
        <v>2318</v>
      </c>
      <c r="E697" s="1" t="s">
        <v>2325</v>
      </c>
      <c r="F697" s="1" t="s">
        <v>1561</v>
      </c>
      <c r="G697" s="1" t="s">
        <v>1562</v>
      </c>
      <c r="H697" s="1" t="str">
        <f t="shared" si="40"/>
        <v>CPU</v>
      </c>
      <c r="I697" s="1" t="str">
        <f t="shared" si="41"/>
        <v>温度太低: &lt;{$TEMP_CRIT_LOW: "CPU"}</v>
      </c>
      <c r="J697" s="1" t="str">
        <f t="shared" si="42"/>
        <v>CPU: 温度太低: &lt;{$TEMP_CRIT_LOW: "CPU"}</v>
      </c>
      <c r="K697" s="1" t="str">
        <f t="shared" si="43"/>
        <v>Temperature is too low: &lt;{$TEMP_CRIT_LOW:"CPU"}</v>
      </c>
    </row>
    <row r="698" spans="1:11">
      <c r="A698" s="1">
        <v>1829</v>
      </c>
      <c r="B698" s="1" t="s">
        <v>9506</v>
      </c>
      <c r="C698" s="1" t="s">
        <v>9106</v>
      </c>
      <c r="D698" s="1" t="s">
        <v>2318</v>
      </c>
      <c r="E698" s="1" t="s">
        <v>2327</v>
      </c>
      <c r="F698" s="1" t="s">
        <v>2033</v>
      </c>
      <c r="G698" s="1" t="s">
        <v>2034</v>
      </c>
      <c r="H698" s="1" t="str">
        <f t="shared" si="40"/>
        <v>Device</v>
      </c>
      <c r="I698" s="1" t="str">
        <f t="shared" si="41"/>
        <v>温度高于临界阈值: &gt;{$TEMP_CRIT: "Device"}</v>
      </c>
      <c r="J698" s="1" t="str">
        <f t="shared" si="42"/>
        <v>Device: 温度高于临界阈值: &gt;{$TEMP_CRIT: "Device"}</v>
      </c>
      <c r="K698" s="1" t="str">
        <f t="shared" si="43"/>
        <v>Temperature is above critical threshold: &gt;{$TEMP_CRIT:"Device"}</v>
      </c>
    </row>
    <row r="699" spans="1:11">
      <c r="A699" s="1">
        <v>1830</v>
      </c>
      <c r="B699" s="1" t="s">
        <v>9506</v>
      </c>
      <c r="C699" s="1" t="s">
        <v>9108</v>
      </c>
      <c r="D699" s="1" t="s">
        <v>2318</v>
      </c>
      <c r="E699" s="1" t="s">
        <v>2329</v>
      </c>
      <c r="F699" s="1" t="s">
        <v>2037</v>
      </c>
      <c r="G699" s="1" t="s">
        <v>2038</v>
      </c>
      <c r="H699" s="1" t="str">
        <f t="shared" si="40"/>
        <v>Device</v>
      </c>
      <c r="I699" s="1" t="str">
        <f t="shared" si="41"/>
        <v>温度高于告警阈值: &gt;{$TEMP_WARN: "Device"}</v>
      </c>
      <c r="J699" s="1" t="str">
        <f t="shared" si="42"/>
        <v>Device: 温度高于告警阈值: &gt;{$TEMP_WARN: "Device"}</v>
      </c>
      <c r="K699" s="1" t="str">
        <f t="shared" si="43"/>
        <v>Temperature is above warning threshold: &gt;{$TEMP_WARN:"Device"}</v>
      </c>
    </row>
    <row r="700" spans="1:11">
      <c r="A700" s="1">
        <v>1831</v>
      </c>
      <c r="B700" s="1" t="s">
        <v>9506</v>
      </c>
      <c r="C700" s="1" t="s">
        <v>9110</v>
      </c>
      <c r="D700" s="1" t="s">
        <v>2318</v>
      </c>
      <c r="E700" s="1" t="s">
        <v>2331</v>
      </c>
      <c r="F700" s="1" t="s">
        <v>2041</v>
      </c>
      <c r="G700" s="1" t="s">
        <v>2042</v>
      </c>
      <c r="H700" s="1" t="str">
        <f t="shared" si="40"/>
        <v>Device</v>
      </c>
      <c r="I700" s="1" t="str">
        <f t="shared" si="41"/>
        <v>温度太低: &lt;{$TEMP_CRIT_LOW: "Device"}</v>
      </c>
      <c r="J700" s="1" t="str">
        <f t="shared" si="42"/>
        <v>Device: 温度太低: &lt;{$TEMP_CRIT_LOW: "Device"}</v>
      </c>
      <c r="K700" s="1" t="str">
        <f t="shared" si="43"/>
        <v>Temperature is too low: &lt;{$TEMP_CRIT_LOW:"Device"}</v>
      </c>
    </row>
    <row r="701" spans="1:11">
      <c r="A701" s="1">
        <v>1832</v>
      </c>
      <c r="B701" s="1" t="s">
        <v>9506</v>
      </c>
      <c r="C701" s="1" t="s">
        <v>9112</v>
      </c>
      <c r="D701" s="1" t="s">
        <v>2318</v>
      </c>
      <c r="E701" s="1" t="s">
        <v>2333</v>
      </c>
      <c r="F701" s="1" t="s">
        <v>2045</v>
      </c>
      <c r="G701" s="1" t="s">
        <v>2046</v>
      </c>
      <c r="H701" s="1" t="str">
        <f t="shared" si="40"/>
        <v/>
      </c>
      <c r="I701" s="1" t="str">
        <f t="shared" si="41"/>
        <v/>
      </c>
      <c r="J701" s="1" t="str">
        <f t="shared" si="42"/>
        <v>Disk-{#SNMPINDEX}: 磁盘空间严重不足(已使用率&gt;{$VFS.FS.PUSED.MAX.CRIT: "Disk-{#SNMPINDEX}"}%)</v>
      </c>
      <c r="K701" s="1" t="str">
        <f t="shared" si="43"/>
        <v/>
      </c>
    </row>
    <row r="702" spans="1:11">
      <c r="A702" s="1">
        <v>1833</v>
      </c>
      <c r="B702" s="1" t="s">
        <v>9506</v>
      </c>
      <c r="C702" s="1" t="s">
        <v>9114</v>
      </c>
      <c r="D702" s="1" t="s">
        <v>2318</v>
      </c>
      <c r="E702" s="1" t="s">
        <v>2335</v>
      </c>
      <c r="F702" s="1" t="s">
        <v>2049</v>
      </c>
      <c r="G702" s="1" t="s">
        <v>2050</v>
      </c>
      <c r="H702" s="1" t="str">
        <f t="shared" si="40"/>
        <v/>
      </c>
      <c r="I702" s="1" t="str">
        <f t="shared" si="41"/>
        <v/>
      </c>
      <c r="J702" s="1" t="str">
        <f t="shared" si="42"/>
        <v>Disk-{#SNMPINDEX}: 磁盘空间不足(已使用率&gt;{$VFS.FS.PUSED.MAX.WARN: "Disk-{#SNMPINDEX}"}%)</v>
      </c>
      <c r="K702" s="1" t="str">
        <f t="shared" si="43"/>
        <v/>
      </c>
    </row>
    <row r="703" spans="1:11">
      <c r="A703" s="1">
        <v>1835</v>
      </c>
      <c r="B703" s="1" t="s">
        <v>9506</v>
      </c>
      <c r="C703" s="1" t="s">
        <v>9117</v>
      </c>
      <c r="D703" s="1" t="s">
        <v>2318</v>
      </c>
      <c r="E703" s="1" t="s">
        <v>2337</v>
      </c>
      <c r="F703" s="1" t="s">
        <v>161</v>
      </c>
      <c r="G703" s="1" t="s">
        <v>162</v>
      </c>
      <c r="H703" s="1" t="str">
        <f t="shared" si="40"/>
        <v/>
      </c>
      <c r="I703" s="1" t="str">
        <f t="shared" si="41"/>
        <v/>
      </c>
      <c r="J703" s="1" t="str">
        <f t="shared" si="42"/>
        <v>接口{#IFNAME}({#IFALIAS}): 带宽使用率太高(&gt;{$IF.UTIL.MAX: "{#IFNAME}"}%)</v>
      </c>
      <c r="K703" s="1" t="str">
        <f t="shared" si="43"/>
        <v/>
      </c>
    </row>
    <row r="704" spans="1:11">
      <c r="A704" s="1">
        <v>1836</v>
      </c>
      <c r="B704" s="1" t="s">
        <v>9506</v>
      </c>
      <c r="C704" s="1" t="s">
        <v>9119</v>
      </c>
      <c r="D704" s="1" t="s">
        <v>2318</v>
      </c>
      <c r="E704" s="1" t="s">
        <v>2339</v>
      </c>
      <c r="F704" s="1" t="s">
        <v>165</v>
      </c>
      <c r="G704" s="1" t="s">
        <v>166</v>
      </c>
      <c r="H704" s="1" t="str">
        <f t="shared" si="40"/>
        <v/>
      </c>
      <c r="I704" s="1" t="str">
        <f t="shared" si="41"/>
        <v/>
      </c>
      <c r="J704" s="1" t="str">
        <f t="shared" si="42"/>
        <v>接口{#IFNAME}({#IFALIAS}): 错误率太高(&gt;{$IF.ERRORS.WARN: "{#IFNAME}"}达5分钟)</v>
      </c>
      <c r="K704" s="1" t="str">
        <f t="shared" si="43"/>
        <v/>
      </c>
    </row>
    <row r="705" spans="1:11">
      <c r="A705" s="1">
        <v>1838</v>
      </c>
      <c r="B705" s="1" t="s">
        <v>9506</v>
      </c>
      <c r="C705" s="1" t="s">
        <v>9121</v>
      </c>
      <c r="D705" s="1" t="s">
        <v>2318</v>
      </c>
      <c r="E705" s="1" t="s">
        <v>2341</v>
      </c>
      <c r="F705" s="1" t="s">
        <v>2057</v>
      </c>
      <c r="G705" s="1" t="s">
        <v>2058</v>
      </c>
      <c r="H705" s="1" t="str">
        <f t="shared" si="40"/>
        <v/>
      </c>
      <c r="I705" s="1" t="str">
        <f t="shared" si="41"/>
        <v/>
      </c>
      <c r="J705" s="1" t="str">
        <f t="shared" si="42"/>
        <v>接口{#IFNAME}({#IFALIAS}): LTE调制解调器RSRP低(低于{$LTEMODEM.RSRP.MIN.WARN}dbm5分钟)</v>
      </c>
      <c r="K705" s="1" t="str">
        <f t="shared" si="43"/>
        <v/>
      </c>
    </row>
    <row r="706" spans="1:11">
      <c r="A706" s="1">
        <v>1839</v>
      </c>
      <c r="B706" s="1" t="s">
        <v>9506</v>
      </c>
      <c r="C706" s="1" t="s">
        <v>9122</v>
      </c>
      <c r="D706" s="1" t="s">
        <v>2318</v>
      </c>
      <c r="E706" s="1" t="s">
        <v>2343</v>
      </c>
      <c r="F706" s="1" t="s">
        <v>2061</v>
      </c>
      <c r="G706" s="1" t="s">
        <v>2062</v>
      </c>
      <c r="H706" s="1" t="str">
        <f t="shared" ref="H706:H769" si="44">IFERROR(IF(OR(MID(G706,FIND(":",G706)-1,1)="""",MID(G706,FIND(":",G706)-1,1)="}",MID(G706,FIND(":",G706)-1,1)=")",MID(G706,FIND(":",G706)-1,1)="]"),"",LEFT(F706,FIND(":",F706)-1)),"")</f>
        <v/>
      </c>
      <c r="I706" s="1" t="str">
        <f t="shared" ref="I706:I769" si="45">IFERROR(IF(OR(MID(G706,FIND(":",G706)-1,1)="""",MID(G706,FIND(":",G706)-1,1)="}",MID(G706,FIND(":",G706)-1,1)=")",MID(G706,FIND(":",G706)-1,1)="]"),"",RIGHT(G706,LEN(G706)-FIND(":",G706)-1)),"")</f>
        <v/>
      </c>
      <c r="J706" s="1" t="str">
        <f t="shared" ref="J706:J769" si="46">IF(AND(I706="",H706=""),G706,H706&amp;": "&amp;I706)</f>
        <v>接口{#IFNAME}({#IFALIAS}): LTE调制解调器RSRQ低(低于{$LTEMODEM.RSRQ.MIN.WARN}db5分钟)</v>
      </c>
      <c r="K706" s="1" t="str">
        <f t="shared" ref="K706:K769" si="47">IFERROR(IF(OR(MID(F706,FIND(":",F706)-1,1)="""",MID(F706,FIND(":",F706)-1,1)="}",MID(F706,FIND(":",F706)-1,1)=")",MID(F706,FIND(":",F706)-1,1)="]"),"",RIGHT(F706,LEN(F706)-FIND(":",F706)-1)),"")</f>
        <v/>
      </c>
    </row>
    <row r="707" spans="1:11">
      <c r="A707" s="1">
        <v>1840</v>
      </c>
      <c r="B707" s="1" t="s">
        <v>9506</v>
      </c>
      <c r="C707" s="1" t="s">
        <v>9123</v>
      </c>
      <c r="D707" s="1" t="s">
        <v>2318</v>
      </c>
      <c r="E707" s="1" t="s">
        <v>2345</v>
      </c>
      <c r="F707" s="1" t="s">
        <v>2065</v>
      </c>
      <c r="G707" s="1" t="s">
        <v>2058</v>
      </c>
      <c r="H707" s="1" t="str">
        <f t="shared" si="44"/>
        <v/>
      </c>
      <c r="I707" s="1" t="str">
        <f t="shared" si="45"/>
        <v/>
      </c>
      <c r="J707" s="1" t="str">
        <f t="shared" si="46"/>
        <v>接口{#IFNAME}({#IFALIAS}): LTE调制解调器RSRP低(低于{$LTEMODEM.RSRP.MIN.WARN}dbm5分钟)</v>
      </c>
      <c r="K707" s="1" t="str">
        <f t="shared" si="47"/>
        <v/>
      </c>
    </row>
    <row r="708" spans="1:11">
      <c r="A708" s="1">
        <v>1841</v>
      </c>
      <c r="B708" s="1" t="s">
        <v>9506</v>
      </c>
      <c r="C708" s="1" t="s">
        <v>9124</v>
      </c>
      <c r="D708" s="1" t="s">
        <v>2318</v>
      </c>
      <c r="E708" s="1" t="s">
        <v>2347</v>
      </c>
      <c r="F708" s="1" t="s">
        <v>2068</v>
      </c>
      <c r="G708" s="1" t="s">
        <v>2062</v>
      </c>
      <c r="H708" s="1" t="str">
        <f t="shared" si="44"/>
        <v/>
      </c>
      <c r="I708" s="1" t="str">
        <f t="shared" si="45"/>
        <v/>
      </c>
      <c r="J708" s="1" t="str">
        <f t="shared" si="46"/>
        <v>接口{#IFNAME}({#IFALIAS}): LTE调制解调器RSRQ低(低于{$LTEMODEM.RSRQ.MIN.WARN}db5分钟)</v>
      </c>
      <c r="K708" s="1" t="str">
        <f t="shared" si="47"/>
        <v/>
      </c>
    </row>
    <row r="709" spans="1:11">
      <c r="A709" s="1">
        <v>1843</v>
      </c>
      <c r="B709" s="1" t="s">
        <v>9507</v>
      </c>
      <c r="C709" s="1" t="s">
        <v>9098</v>
      </c>
      <c r="D709" s="1" t="s">
        <v>2349</v>
      </c>
      <c r="E709" s="1" t="s">
        <v>2350</v>
      </c>
      <c r="F709" s="1" t="s">
        <v>541</v>
      </c>
      <c r="G709" s="1" t="s">
        <v>542</v>
      </c>
      <c r="H709" s="1" t="str">
        <f t="shared" si="44"/>
        <v/>
      </c>
      <c r="I709" s="1" t="str">
        <f t="shared" si="45"/>
        <v/>
      </c>
      <c r="J709" s="1" t="str">
        <f t="shared" si="46"/>
        <v>#{#SNMPINDEX}: CPU使用率高了(超过{$CPU.UTIL.CRIT}%达5分钟)</v>
      </c>
      <c r="K709" s="1" t="str">
        <f t="shared" si="47"/>
        <v/>
      </c>
    </row>
    <row r="710" spans="1:11">
      <c r="A710" s="1">
        <v>1844</v>
      </c>
      <c r="B710" s="1" t="s">
        <v>9507</v>
      </c>
      <c r="C710" s="1" t="s">
        <v>9100</v>
      </c>
      <c r="D710" s="1" t="s">
        <v>2349</v>
      </c>
      <c r="E710" s="1" t="s">
        <v>2352</v>
      </c>
      <c r="F710" s="1" t="s">
        <v>1557</v>
      </c>
      <c r="G710" s="1" t="s">
        <v>1558</v>
      </c>
      <c r="H710" s="1" t="str">
        <f t="shared" si="44"/>
        <v>CPU</v>
      </c>
      <c r="I710" s="1" t="str">
        <f t="shared" si="45"/>
        <v>温度高于临界阈值: &gt;{$TEMP_CRIT: "CPU"}</v>
      </c>
      <c r="J710" s="1" t="str">
        <f t="shared" si="46"/>
        <v>CPU: 温度高于临界阈值: &gt;{$TEMP_CRIT: "CPU"}</v>
      </c>
      <c r="K710" s="1" t="str">
        <f t="shared" si="47"/>
        <v>Temperature is above critical threshold: &gt;{$TEMP_CRIT:"CPU"}</v>
      </c>
    </row>
    <row r="711" spans="1:11">
      <c r="A711" s="1">
        <v>1845</v>
      </c>
      <c r="B711" s="1" t="s">
        <v>9507</v>
      </c>
      <c r="C711" s="1" t="s">
        <v>9102</v>
      </c>
      <c r="D711" s="1" t="s">
        <v>2349</v>
      </c>
      <c r="E711" s="1" t="s">
        <v>2354</v>
      </c>
      <c r="F711" s="1" t="s">
        <v>1553</v>
      </c>
      <c r="G711" s="1" t="s">
        <v>1554</v>
      </c>
      <c r="H711" s="1" t="str">
        <f t="shared" si="44"/>
        <v>CPU</v>
      </c>
      <c r="I711" s="1" t="str">
        <f t="shared" si="45"/>
        <v>温度高于告警阈值: &gt;{$TEMP_WARN: "CPU"}</v>
      </c>
      <c r="J711" s="1" t="str">
        <f t="shared" si="46"/>
        <v>CPU: 温度高于告警阈值: &gt;{$TEMP_WARN: "CPU"}</v>
      </c>
      <c r="K711" s="1" t="str">
        <f t="shared" si="47"/>
        <v>Temperature is above warning threshold: &gt;{$TEMP_WARN:"CPU"}</v>
      </c>
    </row>
    <row r="712" spans="1:11">
      <c r="A712" s="1">
        <v>1846</v>
      </c>
      <c r="B712" s="1" t="s">
        <v>9507</v>
      </c>
      <c r="C712" s="1" t="s">
        <v>9104</v>
      </c>
      <c r="D712" s="1" t="s">
        <v>2349</v>
      </c>
      <c r="E712" s="1" t="s">
        <v>2356</v>
      </c>
      <c r="F712" s="1" t="s">
        <v>1561</v>
      </c>
      <c r="G712" s="1" t="s">
        <v>1562</v>
      </c>
      <c r="H712" s="1" t="str">
        <f t="shared" si="44"/>
        <v>CPU</v>
      </c>
      <c r="I712" s="1" t="str">
        <f t="shared" si="45"/>
        <v>温度太低: &lt;{$TEMP_CRIT_LOW: "CPU"}</v>
      </c>
      <c r="J712" s="1" t="str">
        <f t="shared" si="46"/>
        <v>CPU: 温度太低: &lt;{$TEMP_CRIT_LOW: "CPU"}</v>
      </c>
      <c r="K712" s="1" t="str">
        <f t="shared" si="47"/>
        <v>Temperature is too low: &lt;{$TEMP_CRIT_LOW:"CPU"}</v>
      </c>
    </row>
    <row r="713" spans="1:11">
      <c r="A713" s="1">
        <v>1847</v>
      </c>
      <c r="B713" s="1" t="s">
        <v>9507</v>
      </c>
      <c r="C713" s="1" t="s">
        <v>9106</v>
      </c>
      <c r="D713" s="1" t="s">
        <v>2349</v>
      </c>
      <c r="E713" s="1" t="s">
        <v>2358</v>
      </c>
      <c r="F713" s="1" t="s">
        <v>2033</v>
      </c>
      <c r="G713" s="1" t="s">
        <v>2034</v>
      </c>
      <c r="H713" s="1" t="str">
        <f t="shared" si="44"/>
        <v>Device</v>
      </c>
      <c r="I713" s="1" t="str">
        <f t="shared" si="45"/>
        <v>温度高于临界阈值: &gt;{$TEMP_CRIT: "Device"}</v>
      </c>
      <c r="J713" s="1" t="str">
        <f t="shared" si="46"/>
        <v>Device: 温度高于临界阈值: &gt;{$TEMP_CRIT: "Device"}</v>
      </c>
      <c r="K713" s="1" t="str">
        <f t="shared" si="47"/>
        <v>Temperature is above critical threshold: &gt;{$TEMP_CRIT:"Device"}</v>
      </c>
    </row>
    <row r="714" spans="1:11">
      <c r="A714" s="1">
        <v>1848</v>
      </c>
      <c r="B714" s="1" t="s">
        <v>9507</v>
      </c>
      <c r="C714" s="1" t="s">
        <v>9108</v>
      </c>
      <c r="D714" s="1" t="s">
        <v>2349</v>
      </c>
      <c r="E714" s="1" t="s">
        <v>2360</v>
      </c>
      <c r="F714" s="1" t="s">
        <v>2037</v>
      </c>
      <c r="G714" s="1" t="s">
        <v>2038</v>
      </c>
      <c r="H714" s="1" t="str">
        <f t="shared" si="44"/>
        <v>Device</v>
      </c>
      <c r="I714" s="1" t="str">
        <f t="shared" si="45"/>
        <v>温度高于告警阈值: &gt;{$TEMP_WARN: "Device"}</v>
      </c>
      <c r="J714" s="1" t="str">
        <f t="shared" si="46"/>
        <v>Device: 温度高于告警阈值: &gt;{$TEMP_WARN: "Device"}</v>
      </c>
      <c r="K714" s="1" t="str">
        <f t="shared" si="47"/>
        <v>Temperature is above warning threshold: &gt;{$TEMP_WARN:"Device"}</v>
      </c>
    </row>
    <row r="715" spans="1:11">
      <c r="A715" s="1">
        <v>1849</v>
      </c>
      <c r="B715" s="1" t="s">
        <v>9507</v>
      </c>
      <c r="C715" s="1" t="s">
        <v>9110</v>
      </c>
      <c r="D715" s="1" t="s">
        <v>2349</v>
      </c>
      <c r="E715" s="1" t="s">
        <v>2362</v>
      </c>
      <c r="F715" s="1" t="s">
        <v>2041</v>
      </c>
      <c r="G715" s="1" t="s">
        <v>2042</v>
      </c>
      <c r="H715" s="1" t="str">
        <f t="shared" si="44"/>
        <v>Device</v>
      </c>
      <c r="I715" s="1" t="str">
        <f t="shared" si="45"/>
        <v>温度太低: &lt;{$TEMP_CRIT_LOW: "Device"}</v>
      </c>
      <c r="J715" s="1" t="str">
        <f t="shared" si="46"/>
        <v>Device: 温度太低: &lt;{$TEMP_CRIT_LOW: "Device"}</v>
      </c>
      <c r="K715" s="1" t="str">
        <f t="shared" si="47"/>
        <v>Temperature is too low: &lt;{$TEMP_CRIT_LOW:"Device"}</v>
      </c>
    </row>
    <row r="716" spans="1:11">
      <c r="A716" s="1">
        <v>1850</v>
      </c>
      <c r="B716" s="1" t="s">
        <v>9507</v>
      </c>
      <c r="C716" s="1" t="s">
        <v>9112</v>
      </c>
      <c r="D716" s="1" t="s">
        <v>2349</v>
      </c>
      <c r="E716" s="1" t="s">
        <v>2364</v>
      </c>
      <c r="F716" s="1" t="s">
        <v>2045</v>
      </c>
      <c r="G716" s="1" t="s">
        <v>2046</v>
      </c>
      <c r="H716" s="1" t="str">
        <f t="shared" si="44"/>
        <v/>
      </c>
      <c r="I716" s="1" t="str">
        <f t="shared" si="45"/>
        <v/>
      </c>
      <c r="J716" s="1" t="str">
        <f t="shared" si="46"/>
        <v>Disk-{#SNMPINDEX}: 磁盘空间严重不足(已使用率&gt;{$VFS.FS.PUSED.MAX.CRIT: "Disk-{#SNMPINDEX}"}%)</v>
      </c>
      <c r="K716" s="1" t="str">
        <f t="shared" si="47"/>
        <v/>
      </c>
    </row>
    <row r="717" spans="1:11">
      <c r="A717" s="1">
        <v>1851</v>
      </c>
      <c r="B717" s="1" t="s">
        <v>9507</v>
      </c>
      <c r="C717" s="1" t="s">
        <v>9114</v>
      </c>
      <c r="D717" s="1" t="s">
        <v>2349</v>
      </c>
      <c r="E717" s="1" t="s">
        <v>2366</v>
      </c>
      <c r="F717" s="1" t="s">
        <v>2049</v>
      </c>
      <c r="G717" s="1" t="s">
        <v>2050</v>
      </c>
      <c r="H717" s="1" t="str">
        <f t="shared" si="44"/>
        <v/>
      </c>
      <c r="I717" s="1" t="str">
        <f t="shared" si="45"/>
        <v/>
      </c>
      <c r="J717" s="1" t="str">
        <f t="shared" si="46"/>
        <v>Disk-{#SNMPINDEX}: 磁盘空间不足(已使用率&gt;{$VFS.FS.PUSED.MAX.WARN: "Disk-{#SNMPINDEX}"}%)</v>
      </c>
      <c r="K717" s="1" t="str">
        <f t="shared" si="47"/>
        <v/>
      </c>
    </row>
    <row r="718" spans="1:11">
      <c r="A718" s="1">
        <v>1853</v>
      </c>
      <c r="B718" s="1" t="s">
        <v>9507</v>
      </c>
      <c r="C718" s="1" t="s">
        <v>9117</v>
      </c>
      <c r="D718" s="1" t="s">
        <v>2349</v>
      </c>
      <c r="E718" s="1" t="s">
        <v>2368</v>
      </c>
      <c r="F718" s="1" t="s">
        <v>161</v>
      </c>
      <c r="G718" s="1" t="s">
        <v>162</v>
      </c>
      <c r="H718" s="1" t="str">
        <f t="shared" si="44"/>
        <v/>
      </c>
      <c r="I718" s="1" t="str">
        <f t="shared" si="45"/>
        <v/>
      </c>
      <c r="J718" s="1" t="str">
        <f t="shared" si="46"/>
        <v>接口{#IFNAME}({#IFALIAS}): 带宽使用率太高(&gt;{$IF.UTIL.MAX: "{#IFNAME}"}%)</v>
      </c>
      <c r="K718" s="1" t="str">
        <f t="shared" si="47"/>
        <v/>
      </c>
    </row>
    <row r="719" spans="1:11">
      <c r="A719" s="1">
        <v>1854</v>
      </c>
      <c r="B719" s="1" t="s">
        <v>9507</v>
      </c>
      <c r="C719" s="1" t="s">
        <v>9119</v>
      </c>
      <c r="D719" s="1" t="s">
        <v>2349</v>
      </c>
      <c r="E719" s="1" t="s">
        <v>2370</v>
      </c>
      <c r="F719" s="1" t="s">
        <v>165</v>
      </c>
      <c r="G719" s="1" t="s">
        <v>166</v>
      </c>
      <c r="H719" s="1" t="str">
        <f t="shared" si="44"/>
        <v/>
      </c>
      <c r="I719" s="1" t="str">
        <f t="shared" si="45"/>
        <v/>
      </c>
      <c r="J719" s="1" t="str">
        <f t="shared" si="46"/>
        <v>接口{#IFNAME}({#IFALIAS}): 错误率太高(&gt;{$IF.ERRORS.WARN: "{#IFNAME}"}达5分钟)</v>
      </c>
      <c r="K719" s="1" t="str">
        <f t="shared" si="47"/>
        <v/>
      </c>
    </row>
    <row r="720" spans="1:11">
      <c r="A720" s="1">
        <v>1856</v>
      </c>
      <c r="B720" s="1" t="s">
        <v>9507</v>
      </c>
      <c r="C720" s="1" t="s">
        <v>9121</v>
      </c>
      <c r="D720" s="1" t="s">
        <v>2349</v>
      </c>
      <c r="E720" s="1" t="s">
        <v>2372</v>
      </c>
      <c r="F720" s="1" t="s">
        <v>2057</v>
      </c>
      <c r="G720" s="1" t="s">
        <v>2058</v>
      </c>
      <c r="H720" s="1" t="str">
        <f t="shared" si="44"/>
        <v/>
      </c>
      <c r="I720" s="1" t="str">
        <f t="shared" si="45"/>
        <v/>
      </c>
      <c r="J720" s="1" t="str">
        <f t="shared" si="46"/>
        <v>接口{#IFNAME}({#IFALIAS}): LTE调制解调器RSRP低(低于{$LTEMODEM.RSRP.MIN.WARN}dbm5分钟)</v>
      </c>
      <c r="K720" s="1" t="str">
        <f t="shared" si="47"/>
        <v/>
      </c>
    </row>
    <row r="721" spans="1:11">
      <c r="A721" s="1">
        <v>1857</v>
      </c>
      <c r="B721" s="1" t="s">
        <v>9507</v>
      </c>
      <c r="C721" s="1" t="s">
        <v>9122</v>
      </c>
      <c r="D721" s="1" t="s">
        <v>2349</v>
      </c>
      <c r="E721" s="1" t="s">
        <v>2374</v>
      </c>
      <c r="F721" s="1" t="s">
        <v>2061</v>
      </c>
      <c r="G721" s="1" t="s">
        <v>2062</v>
      </c>
      <c r="H721" s="1" t="str">
        <f t="shared" si="44"/>
        <v/>
      </c>
      <c r="I721" s="1" t="str">
        <f t="shared" si="45"/>
        <v/>
      </c>
      <c r="J721" s="1" t="str">
        <f t="shared" si="46"/>
        <v>接口{#IFNAME}({#IFALIAS}): LTE调制解调器RSRQ低(低于{$LTEMODEM.RSRQ.MIN.WARN}db5分钟)</v>
      </c>
      <c r="K721" s="1" t="str">
        <f t="shared" si="47"/>
        <v/>
      </c>
    </row>
    <row r="722" spans="1:11">
      <c r="A722" s="1">
        <v>1858</v>
      </c>
      <c r="B722" s="1" t="s">
        <v>9507</v>
      </c>
      <c r="C722" s="1" t="s">
        <v>9123</v>
      </c>
      <c r="D722" s="1" t="s">
        <v>2349</v>
      </c>
      <c r="E722" s="1" t="s">
        <v>2376</v>
      </c>
      <c r="F722" s="1" t="s">
        <v>2065</v>
      </c>
      <c r="G722" s="1" t="s">
        <v>2058</v>
      </c>
      <c r="H722" s="1" t="str">
        <f t="shared" si="44"/>
        <v/>
      </c>
      <c r="I722" s="1" t="str">
        <f t="shared" si="45"/>
        <v/>
      </c>
      <c r="J722" s="1" t="str">
        <f t="shared" si="46"/>
        <v>接口{#IFNAME}({#IFALIAS}): LTE调制解调器RSRP低(低于{$LTEMODEM.RSRP.MIN.WARN}dbm5分钟)</v>
      </c>
      <c r="K722" s="1" t="str">
        <f t="shared" si="47"/>
        <v/>
      </c>
    </row>
    <row r="723" spans="1:11">
      <c r="A723" s="1">
        <v>1859</v>
      </c>
      <c r="B723" s="1" t="s">
        <v>9507</v>
      </c>
      <c r="C723" s="1" t="s">
        <v>9124</v>
      </c>
      <c r="D723" s="1" t="s">
        <v>2349</v>
      </c>
      <c r="E723" s="1" t="s">
        <v>2378</v>
      </c>
      <c r="F723" s="1" t="s">
        <v>2068</v>
      </c>
      <c r="G723" s="1" t="s">
        <v>2062</v>
      </c>
      <c r="H723" s="1" t="str">
        <f t="shared" si="44"/>
        <v/>
      </c>
      <c r="I723" s="1" t="str">
        <f t="shared" si="45"/>
        <v/>
      </c>
      <c r="J723" s="1" t="str">
        <f t="shared" si="46"/>
        <v>接口{#IFNAME}({#IFALIAS}): LTE调制解调器RSRQ低(低于{$LTEMODEM.RSRQ.MIN.WARN}db5分钟)</v>
      </c>
      <c r="K723" s="1" t="str">
        <f t="shared" si="47"/>
        <v/>
      </c>
    </row>
    <row r="724" spans="1:11">
      <c r="A724" s="1">
        <v>1861</v>
      </c>
      <c r="B724" s="1" t="s">
        <v>9508</v>
      </c>
      <c r="C724" s="1" t="s">
        <v>9098</v>
      </c>
      <c r="D724" s="1" t="s">
        <v>2380</v>
      </c>
      <c r="E724" s="1" t="s">
        <v>2381</v>
      </c>
      <c r="F724" s="1" t="s">
        <v>541</v>
      </c>
      <c r="G724" s="1" t="s">
        <v>542</v>
      </c>
      <c r="H724" s="1" t="str">
        <f t="shared" si="44"/>
        <v/>
      </c>
      <c r="I724" s="1" t="str">
        <f t="shared" si="45"/>
        <v/>
      </c>
      <c r="J724" s="1" t="str">
        <f t="shared" si="46"/>
        <v>#{#SNMPINDEX}: CPU使用率高了(超过{$CPU.UTIL.CRIT}%达5分钟)</v>
      </c>
      <c r="K724" s="1" t="str">
        <f t="shared" si="47"/>
        <v/>
      </c>
    </row>
    <row r="725" spans="1:11">
      <c r="A725" s="1">
        <v>1862</v>
      </c>
      <c r="B725" s="1" t="s">
        <v>9508</v>
      </c>
      <c r="C725" s="1" t="s">
        <v>9100</v>
      </c>
      <c r="D725" s="1" t="s">
        <v>2380</v>
      </c>
      <c r="E725" s="1" t="s">
        <v>2383</v>
      </c>
      <c r="F725" s="1" t="s">
        <v>1557</v>
      </c>
      <c r="G725" s="1" t="s">
        <v>1558</v>
      </c>
      <c r="H725" s="1" t="str">
        <f t="shared" si="44"/>
        <v>CPU</v>
      </c>
      <c r="I725" s="1" t="str">
        <f t="shared" si="45"/>
        <v>温度高于临界阈值: &gt;{$TEMP_CRIT: "CPU"}</v>
      </c>
      <c r="J725" s="1" t="str">
        <f t="shared" si="46"/>
        <v>CPU: 温度高于临界阈值: &gt;{$TEMP_CRIT: "CPU"}</v>
      </c>
      <c r="K725" s="1" t="str">
        <f t="shared" si="47"/>
        <v>Temperature is above critical threshold: &gt;{$TEMP_CRIT:"CPU"}</v>
      </c>
    </row>
    <row r="726" spans="1:11">
      <c r="A726" s="1">
        <v>1863</v>
      </c>
      <c r="B726" s="1" t="s">
        <v>9508</v>
      </c>
      <c r="C726" s="1" t="s">
        <v>9102</v>
      </c>
      <c r="D726" s="1" t="s">
        <v>2380</v>
      </c>
      <c r="E726" s="1" t="s">
        <v>2385</v>
      </c>
      <c r="F726" s="1" t="s">
        <v>1553</v>
      </c>
      <c r="G726" s="1" t="s">
        <v>1554</v>
      </c>
      <c r="H726" s="1" t="str">
        <f t="shared" si="44"/>
        <v>CPU</v>
      </c>
      <c r="I726" s="1" t="str">
        <f t="shared" si="45"/>
        <v>温度高于告警阈值: &gt;{$TEMP_WARN: "CPU"}</v>
      </c>
      <c r="J726" s="1" t="str">
        <f t="shared" si="46"/>
        <v>CPU: 温度高于告警阈值: &gt;{$TEMP_WARN: "CPU"}</v>
      </c>
      <c r="K726" s="1" t="str">
        <f t="shared" si="47"/>
        <v>Temperature is above warning threshold: &gt;{$TEMP_WARN:"CPU"}</v>
      </c>
    </row>
    <row r="727" spans="1:11">
      <c r="A727" s="1">
        <v>1864</v>
      </c>
      <c r="B727" s="1" t="s">
        <v>9508</v>
      </c>
      <c r="C727" s="1" t="s">
        <v>9104</v>
      </c>
      <c r="D727" s="1" t="s">
        <v>2380</v>
      </c>
      <c r="E727" s="1" t="s">
        <v>2387</v>
      </c>
      <c r="F727" s="1" t="s">
        <v>1561</v>
      </c>
      <c r="G727" s="1" t="s">
        <v>1562</v>
      </c>
      <c r="H727" s="1" t="str">
        <f t="shared" si="44"/>
        <v>CPU</v>
      </c>
      <c r="I727" s="1" t="str">
        <f t="shared" si="45"/>
        <v>温度太低: &lt;{$TEMP_CRIT_LOW: "CPU"}</v>
      </c>
      <c r="J727" s="1" t="str">
        <f t="shared" si="46"/>
        <v>CPU: 温度太低: &lt;{$TEMP_CRIT_LOW: "CPU"}</v>
      </c>
      <c r="K727" s="1" t="str">
        <f t="shared" si="47"/>
        <v>Temperature is too low: &lt;{$TEMP_CRIT_LOW:"CPU"}</v>
      </c>
    </row>
    <row r="728" spans="1:11">
      <c r="A728" s="1">
        <v>1865</v>
      </c>
      <c r="B728" s="1" t="s">
        <v>9508</v>
      </c>
      <c r="C728" s="1" t="s">
        <v>9106</v>
      </c>
      <c r="D728" s="1" t="s">
        <v>2380</v>
      </c>
      <c r="E728" s="1" t="s">
        <v>2389</v>
      </c>
      <c r="F728" s="1" t="s">
        <v>2033</v>
      </c>
      <c r="G728" s="1" t="s">
        <v>2034</v>
      </c>
      <c r="H728" s="1" t="str">
        <f t="shared" si="44"/>
        <v>Device</v>
      </c>
      <c r="I728" s="1" t="str">
        <f t="shared" si="45"/>
        <v>温度高于临界阈值: &gt;{$TEMP_CRIT: "Device"}</v>
      </c>
      <c r="J728" s="1" t="str">
        <f t="shared" si="46"/>
        <v>Device: 温度高于临界阈值: &gt;{$TEMP_CRIT: "Device"}</v>
      </c>
      <c r="K728" s="1" t="str">
        <f t="shared" si="47"/>
        <v>Temperature is above critical threshold: &gt;{$TEMP_CRIT:"Device"}</v>
      </c>
    </row>
    <row r="729" spans="1:11">
      <c r="A729" s="1">
        <v>1866</v>
      </c>
      <c r="B729" s="1" t="s">
        <v>9508</v>
      </c>
      <c r="C729" s="1" t="s">
        <v>9108</v>
      </c>
      <c r="D729" s="1" t="s">
        <v>2380</v>
      </c>
      <c r="E729" s="1" t="s">
        <v>2391</v>
      </c>
      <c r="F729" s="1" t="s">
        <v>2037</v>
      </c>
      <c r="G729" s="1" t="s">
        <v>2038</v>
      </c>
      <c r="H729" s="1" t="str">
        <f t="shared" si="44"/>
        <v>Device</v>
      </c>
      <c r="I729" s="1" t="str">
        <f t="shared" si="45"/>
        <v>温度高于告警阈值: &gt;{$TEMP_WARN: "Device"}</v>
      </c>
      <c r="J729" s="1" t="str">
        <f t="shared" si="46"/>
        <v>Device: 温度高于告警阈值: &gt;{$TEMP_WARN: "Device"}</v>
      </c>
      <c r="K729" s="1" t="str">
        <f t="shared" si="47"/>
        <v>Temperature is above warning threshold: &gt;{$TEMP_WARN:"Device"}</v>
      </c>
    </row>
    <row r="730" spans="1:11">
      <c r="A730" s="1">
        <v>1867</v>
      </c>
      <c r="B730" s="1" t="s">
        <v>9508</v>
      </c>
      <c r="C730" s="1" t="s">
        <v>9110</v>
      </c>
      <c r="D730" s="1" t="s">
        <v>2380</v>
      </c>
      <c r="E730" s="1" t="s">
        <v>2393</v>
      </c>
      <c r="F730" s="1" t="s">
        <v>2041</v>
      </c>
      <c r="G730" s="1" t="s">
        <v>2042</v>
      </c>
      <c r="H730" s="1" t="str">
        <f t="shared" si="44"/>
        <v>Device</v>
      </c>
      <c r="I730" s="1" t="str">
        <f t="shared" si="45"/>
        <v>温度太低: &lt;{$TEMP_CRIT_LOW: "Device"}</v>
      </c>
      <c r="J730" s="1" t="str">
        <f t="shared" si="46"/>
        <v>Device: 温度太低: &lt;{$TEMP_CRIT_LOW: "Device"}</v>
      </c>
      <c r="K730" s="1" t="str">
        <f t="shared" si="47"/>
        <v>Temperature is too low: &lt;{$TEMP_CRIT_LOW:"Device"}</v>
      </c>
    </row>
    <row r="731" spans="1:11">
      <c r="A731" s="1">
        <v>1868</v>
      </c>
      <c r="B731" s="1" t="s">
        <v>9508</v>
      </c>
      <c r="C731" s="1" t="s">
        <v>9112</v>
      </c>
      <c r="D731" s="1" t="s">
        <v>2380</v>
      </c>
      <c r="E731" s="1" t="s">
        <v>2395</v>
      </c>
      <c r="F731" s="1" t="s">
        <v>2045</v>
      </c>
      <c r="G731" s="1" t="s">
        <v>2046</v>
      </c>
      <c r="H731" s="1" t="str">
        <f t="shared" si="44"/>
        <v/>
      </c>
      <c r="I731" s="1" t="str">
        <f t="shared" si="45"/>
        <v/>
      </c>
      <c r="J731" s="1" t="str">
        <f t="shared" si="46"/>
        <v>Disk-{#SNMPINDEX}: 磁盘空间严重不足(已使用率&gt;{$VFS.FS.PUSED.MAX.CRIT: "Disk-{#SNMPINDEX}"}%)</v>
      </c>
      <c r="K731" s="1" t="str">
        <f t="shared" si="47"/>
        <v/>
      </c>
    </row>
    <row r="732" spans="1:11">
      <c r="A732" s="1">
        <v>1869</v>
      </c>
      <c r="B732" s="1" t="s">
        <v>9508</v>
      </c>
      <c r="C732" s="1" t="s">
        <v>9114</v>
      </c>
      <c r="D732" s="1" t="s">
        <v>2380</v>
      </c>
      <c r="E732" s="1" t="s">
        <v>2397</v>
      </c>
      <c r="F732" s="1" t="s">
        <v>2049</v>
      </c>
      <c r="G732" s="1" t="s">
        <v>2050</v>
      </c>
      <c r="H732" s="1" t="str">
        <f t="shared" si="44"/>
        <v/>
      </c>
      <c r="I732" s="1" t="str">
        <f t="shared" si="45"/>
        <v/>
      </c>
      <c r="J732" s="1" t="str">
        <f t="shared" si="46"/>
        <v>Disk-{#SNMPINDEX}: 磁盘空间不足(已使用率&gt;{$VFS.FS.PUSED.MAX.WARN: "Disk-{#SNMPINDEX}"}%)</v>
      </c>
      <c r="K732" s="1" t="str">
        <f t="shared" si="47"/>
        <v/>
      </c>
    </row>
    <row r="733" spans="1:11">
      <c r="A733" s="1">
        <v>1871</v>
      </c>
      <c r="B733" s="1" t="s">
        <v>9508</v>
      </c>
      <c r="C733" s="1" t="s">
        <v>9117</v>
      </c>
      <c r="D733" s="1" t="s">
        <v>2380</v>
      </c>
      <c r="E733" s="1" t="s">
        <v>2399</v>
      </c>
      <c r="F733" s="1" t="s">
        <v>161</v>
      </c>
      <c r="G733" s="1" t="s">
        <v>162</v>
      </c>
      <c r="H733" s="1" t="str">
        <f t="shared" si="44"/>
        <v/>
      </c>
      <c r="I733" s="1" t="str">
        <f t="shared" si="45"/>
        <v/>
      </c>
      <c r="J733" s="1" t="str">
        <f t="shared" si="46"/>
        <v>接口{#IFNAME}({#IFALIAS}): 带宽使用率太高(&gt;{$IF.UTIL.MAX: "{#IFNAME}"}%)</v>
      </c>
      <c r="K733" s="1" t="str">
        <f t="shared" si="47"/>
        <v/>
      </c>
    </row>
    <row r="734" spans="1:11">
      <c r="A734" s="1">
        <v>1872</v>
      </c>
      <c r="B734" s="1" t="s">
        <v>9508</v>
      </c>
      <c r="C734" s="1" t="s">
        <v>9119</v>
      </c>
      <c r="D734" s="1" t="s">
        <v>2380</v>
      </c>
      <c r="E734" s="1" t="s">
        <v>2401</v>
      </c>
      <c r="F734" s="1" t="s">
        <v>165</v>
      </c>
      <c r="G734" s="1" t="s">
        <v>166</v>
      </c>
      <c r="H734" s="1" t="str">
        <f t="shared" si="44"/>
        <v/>
      </c>
      <c r="I734" s="1" t="str">
        <f t="shared" si="45"/>
        <v/>
      </c>
      <c r="J734" s="1" t="str">
        <f t="shared" si="46"/>
        <v>接口{#IFNAME}({#IFALIAS}): 错误率太高(&gt;{$IF.ERRORS.WARN: "{#IFNAME}"}达5分钟)</v>
      </c>
      <c r="K734" s="1" t="str">
        <f t="shared" si="47"/>
        <v/>
      </c>
    </row>
    <row r="735" spans="1:11">
      <c r="A735" s="1">
        <v>1874</v>
      </c>
      <c r="B735" s="1" t="s">
        <v>9508</v>
      </c>
      <c r="C735" s="1" t="s">
        <v>9121</v>
      </c>
      <c r="D735" s="1" t="s">
        <v>2380</v>
      </c>
      <c r="E735" s="1" t="s">
        <v>2403</v>
      </c>
      <c r="F735" s="1" t="s">
        <v>2057</v>
      </c>
      <c r="G735" s="1" t="s">
        <v>2058</v>
      </c>
      <c r="H735" s="1" t="str">
        <f t="shared" si="44"/>
        <v/>
      </c>
      <c r="I735" s="1" t="str">
        <f t="shared" si="45"/>
        <v/>
      </c>
      <c r="J735" s="1" t="str">
        <f t="shared" si="46"/>
        <v>接口{#IFNAME}({#IFALIAS}): LTE调制解调器RSRP低(低于{$LTEMODEM.RSRP.MIN.WARN}dbm5分钟)</v>
      </c>
      <c r="K735" s="1" t="str">
        <f t="shared" si="47"/>
        <v/>
      </c>
    </row>
    <row r="736" spans="1:11">
      <c r="A736" s="1">
        <v>1875</v>
      </c>
      <c r="B736" s="1" t="s">
        <v>9508</v>
      </c>
      <c r="C736" s="1" t="s">
        <v>9122</v>
      </c>
      <c r="D736" s="1" t="s">
        <v>2380</v>
      </c>
      <c r="E736" s="1" t="s">
        <v>2405</v>
      </c>
      <c r="F736" s="1" t="s">
        <v>2061</v>
      </c>
      <c r="G736" s="1" t="s">
        <v>2062</v>
      </c>
      <c r="H736" s="1" t="str">
        <f t="shared" si="44"/>
        <v/>
      </c>
      <c r="I736" s="1" t="str">
        <f t="shared" si="45"/>
        <v/>
      </c>
      <c r="J736" s="1" t="str">
        <f t="shared" si="46"/>
        <v>接口{#IFNAME}({#IFALIAS}): LTE调制解调器RSRQ低(低于{$LTEMODEM.RSRQ.MIN.WARN}db5分钟)</v>
      </c>
      <c r="K736" s="1" t="str">
        <f t="shared" si="47"/>
        <v/>
      </c>
    </row>
    <row r="737" spans="1:11">
      <c r="A737" s="1">
        <v>1876</v>
      </c>
      <c r="B737" s="1" t="s">
        <v>9508</v>
      </c>
      <c r="C737" s="1" t="s">
        <v>9123</v>
      </c>
      <c r="D737" s="1" t="s">
        <v>2380</v>
      </c>
      <c r="E737" s="1" t="s">
        <v>2407</v>
      </c>
      <c r="F737" s="1" t="s">
        <v>2065</v>
      </c>
      <c r="G737" s="1" t="s">
        <v>2058</v>
      </c>
      <c r="H737" s="1" t="str">
        <f t="shared" si="44"/>
        <v/>
      </c>
      <c r="I737" s="1" t="str">
        <f t="shared" si="45"/>
        <v/>
      </c>
      <c r="J737" s="1" t="str">
        <f t="shared" si="46"/>
        <v>接口{#IFNAME}({#IFALIAS}): LTE调制解调器RSRP低(低于{$LTEMODEM.RSRP.MIN.WARN}dbm5分钟)</v>
      </c>
      <c r="K737" s="1" t="str">
        <f t="shared" si="47"/>
        <v/>
      </c>
    </row>
    <row r="738" spans="1:11">
      <c r="A738" s="1">
        <v>1877</v>
      </c>
      <c r="B738" s="1" t="s">
        <v>9508</v>
      </c>
      <c r="C738" s="1" t="s">
        <v>9124</v>
      </c>
      <c r="D738" s="1" t="s">
        <v>2380</v>
      </c>
      <c r="E738" s="1" t="s">
        <v>2409</v>
      </c>
      <c r="F738" s="1" t="s">
        <v>2068</v>
      </c>
      <c r="G738" s="1" t="s">
        <v>2062</v>
      </c>
      <c r="H738" s="1" t="str">
        <f t="shared" si="44"/>
        <v/>
      </c>
      <c r="I738" s="1" t="str">
        <f t="shared" si="45"/>
        <v/>
      </c>
      <c r="J738" s="1" t="str">
        <f t="shared" si="46"/>
        <v>接口{#IFNAME}({#IFALIAS}): LTE调制解调器RSRQ低(低于{$LTEMODEM.RSRQ.MIN.WARN}db5分钟)</v>
      </c>
      <c r="K738" s="1" t="str">
        <f t="shared" si="47"/>
        <v/>
      </c>
    </row>
    <row r="739" spans="1:11">
      <c r="A739" s="1">
        <v>1879</v>
      </c>
      <c r="B739" s="1" t="s">
        <v>9509</v>
      </c>
      <c r="C739" s="1" t="s">
        <v>9098</v>
      </c>
      <c r="D739" s="1" t="s">
        <v>2411</v>
      </c>
      <c r="E739" s="1" t="s">
        <v>2412</v>
      </c>
      <c r="F739" s="1" t="s">
        <v>541</v>
      </c>
      <c r="G739" s="1" t="s">
        <v>542</v>
      </c>
      <c r="H739" s="1" t="str">
        <f t="shared" si="44"/>
        <v/>
      </c>
      <c r="I739" s="1" t="str">
        <f t="shared" si="45"/>
        <v/>
      </c>
      <c r="J739" s="1" t="str">
        <f t="shared" si="46"/>
        <v>#{#SNMPINDEX}: CPU使用率高了(超过{$CPU.UTIL.CRIT}%达5分钟)</v>
      </c>
      <c r="K739" s="1" t="str">
        <f t="shared" si="47"/>
        <v/>
      </c>
    </row>
    <row r="740" spans="1:11">
      <c r="A740" s="1">
        <v>1880</v>
      </c>
      <c r="B740" s="1" t="s">
        <v>9509</v>
      </c>
      <c r="C740" s="1" t="s">
        <v>9100</v>
      </c>
      <c r="D740" s="1" t="s">
        <v>2411</v>
      </c>
      <c r="E740" s="1" t="s">
        <v>2414</v>
      </c>
      <c r="F740" s="1" t="s">
        <v>1557</v>
      </c>
      <c r="G740" s="1" t="s">
        <v>1558</v>
      </c>
      <c r="H740" s="1" t="str">
        <f t="shared" si="44"/>
        <v>CPU</v>
      </c>
      <c r="I740" s="1" t="str">
        <f t="shared" si="45"/>
        <v>温度高于临界阈值: &gt;{$TEMP_CRIT: "CPU"}</v>
      </c>
      <c r="J740" s="1" t="str">
        <f t="shared" si="46"/>
        <v>CPU: 温度高于临界阈值: &gt;{$TEMP_CRIT: "CPU"}</v>
      </c>
      <c r="K740" s="1" t="str">
        <f t="shared" si="47"/>
        <v>Temperature is above critical threshold: &gt;{$TEMP_CRIT:"CPU"}</v>
      </c>
    </row>
    <row r="741" spans="1:11">
      <c r="A741" s="1">
        <v>1881</v>
      </c>
      <c r="B741" s="1" t="s">
        <v>9509</v>
      </c>
      <c r="C741" s="1" t="s">
        <v>9102</v>
      </c>
      <c r="D741" s="1" t="s">
        <v>2411</v>
      </c>
      <c r="E741" s="1" t="s">
        <v>2416</v>
      </c>
      <c r="F741" s="1" t="s">
        <v>1553</v>
      </c>
      <c r="G741" s="1" t="s">
        <v>1554</v>
      </c>
      <c r="H741" s="1" t="str">
        <f t="shared" si="44"/>
        <v>CPU</v>
      </c>
      <c r="I741" s="1" t="str">
        <f t="shared" si="45"/>
        <v>温度高于告警阈值: &gt;{$TEMP_WARN: "CPU"}</v>
      </c>
      <c r="J741" s="1" t="str">
        <f t="shared" si="46"/>
        <v>CPU: 温度高于告警阈值: &gt;{$TEMP_WARN: "CPU"}</v>
      </c>
      <c r="K741" s="1" t="str">
        <f t="shared" si="47"/>
        <v>Temperature is above warning threshold: &gt;{$TEMP_WARN:"CPU"}</v>
      </c>
    </row>
    <row r="742" spans="1:11">
      <c r="A742" s="1">
        <v>1882</v>
      </c>
      <c r="B742" s="1" t="s">
        <v>9509</v>
      </c>
      <c r="C742" s="1" t="s">
        <v>9104</v>
      </c>
      <c r="D742" s="1" t="s">
        <v>2411</v>
      </c>
      <c r="E742" s="1" t="s">
        <v>2418</v>
      </c>
      <c r="F742" s="1" t="s">
        <v>1561</v>
      </c>
      <c r="G742" s="1" t="s">
        <v>1562</v>
      </c>
      <c r="H742" s="1" t="str">
        <f t="shared" si="44"/>
        <v>CPU</v>
      </c>
      <c r="I742" s="1" t="str">
        <f t="shared" si="45"/>
        <v>温度太低: &lt;{$TEMP_CRIT_LOW: "CPU"}</v>
      </c>
      <c r="J742" s="1" t="str">
        <f t="shared" si="46"/>
        <v>CPU: 温度太低: &lt;{$TEMP_CRIT_LOW: "CPU"}</v>
      </c>
      <c r="K742" s="1" t="str">
        <f t="shared" si="47"/>
        <v>Temperature is too low: &lt;{$TEMP_CRIT_LOW:"CPU"}</v>
      </c>
    </row>
    <row r="743" spans="1:11">
      <c r="A743" s="1">
        <v>1883</v>
      </c>
      <c r="B743" s="1" t="s">
        <v>9509</v>
      </c>
      <c r="C743" s="1" t="s">
        <v>9106</v>
      </c>
      <c r="D743" s="1" t="s">
        <v>2411</v>
      </c>
      <c r="E743" s="1" t="s">
        <v>2420</v>
      </c>
      <c r="F743" s="1" t="s">
        <v>2033</v>
      </c>
      <c r="G743" s="1" t="s">
        <v>2034</v>
      </c>
      <c r="H743" s="1" t="str">
        <f t="shared" si="44"/>
        <v>Device</v>
      </c>
      <c r="I743" s="1" t="str">
        <f t="shared" si="45"/>
        <v>温度高于临界阈值: &gt;{$TEMP_CRIT: "Device"}</v>
      </c>
      <c r="J743" s="1" t="str">
        <f t="shared" si="46"/>
        <v>Device: 温度高于临界阈值: &gt;{$TEMP_CRIT: "Device"}</v>
      </c>
      <c r="K743" s="1" t="str">
        <f t="shared" si="47"/>
        <v>Temperature is above critical threshold: &gt;{$TEMP_CRIT:"Device"}</v>
      </c>
    </row>
    <row r="744" spans="1:11">
      <c r="A744" s="1">
        <v>1884</v>
      </c>
      <c r="B744" s="1" t="s">
        <v>9509</v>
      </c>
      <c r="C744" s="1" t="s">
        <v>9108</v>
      </c>
      <c r="D744" s="1" t="s">
        <v>2411</v>
      </c>
      <c r="E744" s="1" t="s">
        <v>2422</v>
      </c>
      <c r="F744" s="1" t="s">
        <v>2037</v>
      </c>
      <c r="G744" s="1" t="s">
        <v>2038</v>
      </c>
      <c r="H744" s="1" t="str">
        <f t="shared" si="44"/>
        <v>Device</v>
      </c>
      <c r="I744" s="1" t="str">
        <f t="shared" si="45"/>
        <v>温度高于告警阈值: &gt;{$TEMP_WARN: "Device"}</v>
      </c>
      <c r="J744" s="1" t="str">
        <f t="shared" si="46"/>
        <v>Device: 温度高于告警阈值: &gt;{$TEMP_WARN: "Device"}</v>
      </c>
      <c r="K744" s="1" t="str">
        <f t="shared" si="47"/>
        <v>Temperature is above warning threshold: &gt;{$TEMP_WARN:"Device"}</v>
      </c>
    </row>
    <row r="745" spans="1:11">
      <c r="A745" s="1">
        <v>1885</v>
      </c>
      <c r="B745" s="1" t="s">
        <v>9509</v>
      </c>
      <c r="C745" s="1" t="s">
        <v>9110</v>
      </c>
      <c r="D745" s="1" t="s">
        <v>2411</v>
      </c>
      <c r="E745" s="1" t="s">
        <v>2424</v>
      </c>
      <c r="F745" s="1" t="s">
        <v>2041</v>
      </c>
      <c r="G745" s="1" t="s">
        <v>2042</v>
      </c>
      <c r="H745" s="1" t="str">
        <f t="shared" si="44"/>
        <v>Device</v>
      </c>
      <c r="I745" s="1" t="str">
        <f t="shared" si="45"/>
        <v>温度太低: &lt;{$TEMP_CRIT_LOW: "Device"}</v>
      </c>
      <c r="J745" s="1" t="str">
        <f t="shared" si="46"/>
        <v>Device: 温度太低: &lt;{$TEMP_CRIT_LOW: "Device"}</v>
      </c>
      <c r="K745" s="1" t="str">
        <f t="shared" si="47"/>
        <v>Temperature is too low: &lt;{$TEMP_CRIT_LOW:"Device"}</v>
      </c>
    </row>
    <row r="746" spans="1:11">
      <c r="A746" s="1">
        <v>1886</v>
      </c>
      <c r="B746" s="1" t="s">
        <v>9509</v>
      </c>
      <c r="C746" s="1" t="s">
        <v>9112</v>
      </c>
      <c r="D746" s="1" t="s">
        <v>2411</v>
      </c>
      <c r="E746" s="1" t="s">
        <v>2426</v>
      </c>
      <c r="F746" s="1" t="s">
        <v>2045</v>
      </c>
      <c r="G746" s="1" t="s">
        <v>2046</v>
      </c>
      <c r="H746" s="1" t="str">
        <f t="shared" si="44"/>
        <v/>
      </c>
      <c r="I746" s="1" t="str">
        <f t="shared" si="45"/>
        <v/>
      </c>
      <c r="J746" s="1" t="str">
        <f t="shared" si="46"/>
        <v>Disk-{#SNMPINDEX}: 磁盘空间严重不足(已使用率&gt;{$VFS.FS.PUSED.MAX.CRIT: "Disk-{#SNMPINDEX}"}%)</v>
      </c>
      <c r="K746" s="1" t="str">
        <f t="shared" si="47"/>
        <v/>
      </c>
    </row>
    <row r="747" spans="1:11">
      <c r="A747" s="1">
        <v>1887</v>
      </c>
      <c r="B747" s="1" t="s">
        <v>9509</v>
      </c>
      <c r="C747" s="1" t="s">
        <v>9114</v>
      </c>
      <c r="D747" s="1" t="s">
        <v>2411</v>
      </c>
      <c r="E747" s="1" t="s">
        <v>2428</v>
      </c>
      <c r="F747" s="1" t="s">
        <v>2049</v>
      </c>
      <c r="G747" s="1" t="s">
        <v>2050</v>
      </c>
      <c r="H747" s="1" t="str">
        <f t="shared" si="44"/>
        <v/>
      </c>
      <c r="I747" s="1" t="str">
        <f t="shared" si="45"/>
        <v/>
      </c>
      <c r="J747" s="1" t="str">
        <f t="shared" si="46"/>
        <v>Disk-{#SNMPINDEX}: 磁盘空间不足(已使用率&gt;{$VFS.FS.PUSED.MAX.WARN: "Disk-{#SNMPINDEX}"}%)</v>
      </c>
      <c r="K747" s="1" t="str">
        <f t="shared" si="47"/>
        <v/>
      </c>
    </row>
    <row r="748" spans="1:11">
      <c r="A748" s="1">
        <v>1889</v>
      </c>
      <c r="B748" s="1" t="s">
        <v>9509</v>
      </c>
      <c r="C748" s="1" t="s">
        <v>9117</v>
      </c>
      <c r="D748" s="1" t="s">
        <v>2411</v>
      </c>
      <c r="E748" s="1" t="s">
        <v>2430</v>
      </c>
      <c r="F748" s="1" t="s">
        <v>161</v>
      </c>
      <c r="G748" s="1" t="s">
        <v>162</v>
      </c>
      <c r="H748" s="1" t="str">
        <f t="shared" si="44"/>
        <v/>
      </c>
      <c r="I748" s="1" t="str">
        <f t="shared" si="45"/>
        <v/>
      </c>
      <c r="J748" s="1" t="str">
        <f t="shared" si="46"/>
        <v>接口{#IFNAME}({#IFALIAS}): 带宽使用率太高(&gt;{$IF.UTIL.MAX: "{#IFNAME}"}%)</v>
      </c>
      <c r="K748" s="1" t="str">
        <f t="shared" si="47"/>
        <v/>
      </c>
    </row>
    <row r="749" spans="1:11">
      <c r="A749" s="1">
        <v>1890</v>
      </c>
      <c r="B749" s="1" t="s">
        <v>9509</v>
      </c>
      <c r="C749" s="1" t="s">
        <v>9119</v>
      </c>
      <c r="D749" s="1" t="s">
        <v>2411</v>
      </c>
      <c r="E749" s="1" t="s">
        <v>2432</v>
      </c>
      <c r="F749" s="1" t="s">
        <v>165</v>
      </c>
      <c r="G749" s="1" t="s">
        <v>166</v>
      </c>
      <c r="H749" s="1" t="str">
        <f t="shared" si="44"/>
        <v/>
      </c>
      <c r="I749" s="1" t="str">
        <f t="shared" si="45"/>
        <v/>
      </c>
      <c r="J749" s="1" t="str">
        <f t="shared" si="46"/>
        <v>接口{#IFNAME}({#IFALIAS}): 错误率太高(&gt;{$IF.ERRORS.WARN: "{#IFNAME}"}达5分钟)</v>
      </c>
      <c r="K749" s="1" t="str">
        <f t="shared" si="47"/>
        <v/>
      </c>
    </row>
    <row r="750" spans="1:11">
      <c r="A750" s="1">
        <v>1892</v>
      </c>
      <c r="B750" s="1" t="s">
        <v>9509</v>
      </c>
      <c r="C750" s="1" t="s">
        <v>9121</v>
      </c>
      <c r="D750" s="1" t="s">
        <v>2411</v>
      </c>
      <c r="E750" s="1" t="s">
        <v>2434</v>
      </c>
      <c r="F750" s="1" t="s">
        <v>2057</v>
      </c>
      <c r="G750" s="1" t="s">
        <v>2058</v>
      </c>
      <c r="H750" s="1" t="str">
        <f t="shared" si="44"/>
        <v/>
      </c>
      <c r="I750" s="1" t="str">
        <f t="shared" si="45"/>
        <v/>
      </c>
      <c r="J750" s="1" t="str">
        <f t="shared" si="46"/>
        <v>接口{#IFNAME}({#IFALIAS}): LTE调制解调器RSRP低(低于{$LTEMODEM.RSRP.MIN.WARN}dbm5分钟)</v>
      </c>
      <c r="K750" s="1" t="str">
        <f t="shared" si="47"/>
        <v/>
      </c>
    </row>
    <row r="751" spans="1:11">
      <c r="A751" s="1">
        <v>1893</v>
      </c>
      <c r="B751" s="1" t="s">
        <v>9509</v>
      </c>
      <c r="C751" s="1" t="s">
        <v>9122</v>
      </c>
      <c r="D751" s="1" t="s">
        <v>2411</v>
      </c>
      <c r="E751" s="1" t="s">
        <v>2436</v>
      </c>
      <c r="F751" s="1" t="s">
        <v>2061</v>
      </c>
      <c r="G751" s="1" t="s">
        <v>2062</v>
      </c>
      <c r="H751" s="1" t="str">
        <f t="shared" si="44"/>
        <v/>
      </c>
      <c r="I751" s="1" t="str">
        <f t="shared" si="45"/>
        <v/>
      </c>
      <c r="J751" s="1" t="str">
        <f t="shared" si="46"/>
        <v>接口{#IFNAME}({#IFALIAS}): LTE调制解调器RSRQ低(低于{$LTEMODEM.RSRQ.MIN.WARN}db5分钟)</v>
      </c>
      <c r="K751" s="1" t="str">
        <f t="shared" si="47"/>
        <v/>
      </c>
    </row>
    <row r="752" spans="1:11">
      <c r="A752" s="1">
        <v>1894</v>
      </c>
      <c r="B752" s="1" t="s">
        <v>9509</v>
      </c>
      <c r="C752" s="1" t="s">
        <v>9123</v>
      </c>
      <c r="D752" s="1" t="s">
        <v>2411</v>
      </c>
      <c r="E752" s="1" t="s">
        <v>2438</v>
      </c>
      <c r="F752" s="1" t="s">
        <v>2065</v>
      </c>
      <c r="G752" s="1" t="s">
        <v>2058</v>
      </c>
      <c r="H752" s="1" t="str">
        <f t="shared" si="44"/>
        <v/>
      </c>
      <c r="I752" s="1" t="str">
        <f t="shared" si="45"/>
        <v/>
      </c>
      <c r="J752" s="1" t="str">
        <f t="shared" si="46"/>
        <v>接口{#IFNAME}({#IFALIAS}): LTE调制解调器RSRP低(低于{$LTEMODEM.RSRP.MIN.WARN}dbm5分钟)</v>
      </c>
      <c r="K752" s="1" t="str">
        <f t="shared" si="47"/>
        <v/>
      </c>
    </row>
    <row r="753" spans="1:11">
      <c r="A753" s="1">
        <v>1895</v>
      </c>
      <c r="B753" s="1" t="s">
        <v>9509</v>
      </c>
      <c r="C753" s="1" t="s">
        <v>9124</v>
      </c>
      <c r="D753" s="1" t="s">
        <v>2411</v>
      </c>
      <c r="E753" s="1" t="s">
        <v>2440</v>
      </c>
      <c r="F753" s="1" t="s">
        <v>2068</v>
      </c>
      <c r="G753" s="1" t="s">
        <v>2062</v>
      </c>
      <c r="H753" s="1" t="str">
        <f t="shared" si="44"/>
        <v/>
      </c>
      <c r="I753" s="1" t="str">
        <f t="shared" si="45"/>
        <v/>
      </c>
      <c r="J753" s="1" t="str">
        <f t="shared" si="46"/>
        <v>接口{#IFNAME}({#IFALIAS}): LTE调制解调器RSRQ低(低于{$LTEMODEM.RSRQ.MIN.WARN}db5分钟)</v>
      </c>
      <c r="K753" s="1" t="str">
        <f t="shared" si="47"/>
        <v/>
      </c>
    </row>
    <row r="754" spans="1:11">
      <c r="A754" s="1">
        <v>1897</v>
      </c>
      <c r="B754" s="1" t="s">
        <v>9510</v>
      </c>
      <c r="C754" s="1" t="s">
        <v>9098</v>
      </c>
      <c r="D754" s="1" t="s">
        <v>2442</v>
      </c>
      <c r="E754" s="1" t="s">
        <v>2443</v>
      </c>
      <c r="F754" s="1" t="s">
        <v>541</v>
      </c>
      <c r="G754" s="1" t="s">
        <v>542</v>
      </c>
      <c r="H754" s="1" t="str">
        <f t="shared" si="44"/>
        <v/>
      </c>
      <c r="I754" s="1" t="str">
        <f t="shared" si="45"/>
        <v/>
      </c>
      <c r="J754" s="1" t="str">
        <f t="shared" si="46"/>
        <v>#{#SNMPINDEX}: CPU使用率高了(超过{$CPU.UTIL.CRIT}%达5分钟)</v>
      </c>
      <c r="K754" s="1" t="str">
        <f t="shared" si="47"/>
        <v/>
      </c>
    </row>
    <row r="755" spans="1:11">
      <c r="A755" s="1">
        <v>1898</v>
      </c>
      <c r="B755" s="1" t="s">
        <v>9510</v>
      </c>
      <c r="C755" s="1" t="s">
        <v>9100</v>
      </c>
      <c r="D755" s="1" t="s">
        <v>2442</v>
      </c>
      <c r="E755" s="1" t="s">
        <v>2445</v>
      </c>
      <c r="F755" s="1" t="s">
        <v>1557</v>
      </c>
      <c r="G755" s="1" t="s">
        <v>1558</v>
      </c>
      <c r="H755" s="1" t="str">
        <f t="shared" si="44"/>
        <v>CPU</v>
      </c>
      <c r="I755" s="1" t="str">
        <f t="shared" si="45"/>
        <v>温度高于临界阈值: &gt;{$TEMP_CRIT: "CPU"}</v>
      </c>
      <c r="J755" s="1" t="str">
        <f t="shared" si="46"/>
        <v>CPU: 温度高于临界阈值: &gt;{$TEMP_CRIT: "CPU"}</v>
      </c>
      <c r="K755" s="1" t="str">
        <f t="shared" si="47"/>
        <v>Temperature is above critical threshold: &gt;{$TEMP_CRIT:"CPU"}</v>
      </c>
    </row>
    <row r="756" spans="1:11">
      <c r="A756" s="1">
        <v>1899</v>
      </c>
      <c r="B756" s="1" t="s">
        <v>9510</v>
      </c>
      <c r="C756" s="1" t="s">
        <v>9102</v>
      </c>
      <c r="D756" s="1" t="s">
        <v>2442</v>
      </c>
      <c r="E756" s="1" t="s">
        <v>2447</v>
      </c>
      <c r="F756" s="1" t="s">
        <v>1553</v>
      </c>
      <c r="G756" s="1" t="s">
        <v>1554</v>
      </c>
      <c r="H756" s="1" t="str">
        <f t="shared" si="44"/>
        <v>CPU</v>
      </c>
      <c r="I756" s="1" t="str">
        <f t="shared" si="45"/>
        <v>温度高于告警阈值: &gt;{$TEMP_WARN: "CPU"}</v>
      </c>
      <c r="J756" s="1" t="str">
        <f t="shared" si="46"/>
        <v>CPU: 温度高于告警阈值: &gt;{$TEMP_WARN: "CPU"}</v>
      </c>
      <c r="K756" s="1" t="str">
        <f t="shared" si="47"/>
        <v>Temperature is above warning threshold: &gt;{$TEMP_WARN:"CPU"}</v>
      </c>
    </row>
    <row r="757" spans="1:11">
      <c r="A757" s="1">
        <v>1900</v>
      </c>
      <c r="B757" s="1" t="s">
        <v>9510</v>
      </c>
      <c r="C757" s="1" t="s">
        <v>9104</v>
      </c>
      <c r="D757" s="1" t="s">
        <v>2442</v>
      </c>
      <c r="E757" s="1" t="s">
        <v>2449</v>
      </c>
      <c r="F757" s="1" t="s">
        <v>1561</v>
      </c>
      <c r="G757" s="1" t="s">
        <v>1562</v>
      </c>
      <c r="H757" s="1" t="str">
        <f t="shared" si="44"/>
        <v>CPU</v>
      </c>
      <c r="I757" s="1" t="str">
        <f t="shared" si="45"/>
        <v>温度太低: &lt;{$TEMP_CRIT_LOW: "CPU"}</v>
      </c>
      <c r="J757" s="1" t="str">
        <f t="shared" si="46"/>
        <v>CPU: 温度太低: &lt;{$TEMP_CRIT_LOW: "CPU"}</v>
      </c>
      <c r="K757" s="1" t="str">
        <f t="shared" si="47"/>
        <v>Temperature is too low: &lt;{$TEMP_CRIT_LOW:"CPU"}</v>
      </c>
    </row>
    <row r="758" spans="1:11">
      <c r="A758" s="1">
        <v>1901</v>
      </c>
      <c r="B758" s="1" t="s">
        <v>9510</v>
      </c>
      <c r="C758" s="1" t="s">
        <v>9106</v>
      </c>
      <c r="D758" s="1" t="s">
        <v>2442</v>
      </c>
      <c r="E758" s="1" t="s">
        <v>2451</v>
      </c>
      <c r="F758" s="1" t="s">
        <v>2033</v>
      </c>
      <c r="G758" s="1" t="s">
        <v>2034</v>
      </c>
      <c r="H758" s="1" t="str">
        <f t="shared" si="44"/>
        <v>Device</v>
      </c>
      <c r="I758" s="1" t="str">
        <f t="shared" si="45"/>
        <v>温度高于临界阈值: &gt;{$TEMP_CRIT: "Device"}</v>
      </c>
      <c r="J758" s="1" t="str">
        <f t="shared" si="46"/>
        <v>Device: 温度高于临界阈值: &gt;{$TEMP_CRIT: "Device"}</v>
      </c>
      <c r="K758" s="1" t="str">
        <f t="shared" si="47"/>
        <v>Temperature is above critical threshold: &gt;{$TEMP_CRIT:"Device"}</v>
      </c>
    </row>
    <row r="759" spans="1:11">
      <c r="A759" s="1">
        <v>1902</v>
      </c>
      <c r="B759" s="1" t="s">
        <v>9510</v>
      </c>
      <c r="C759" s="1" t="s">
        <v>9108</v>
      </c>
      <c r="D759" s="1" t="s">
        <v>2442</v>
      </c>
      <c r="E759" s="1" t="s">
        <v>2453</v>
      </c>
      <c r="F759" s="1" t="s">
        <v>2037</v>
      </c>
      <c r="G759" s="1" t="s">
        <v>2038</v>
      </c>
      <c r="H759" s="1" t="str">
        <f t="shared" si="44"/>
        <v>Device</v>
      </c>
      <c r="I759" s="1" t="str">
        <f t="shared" si="45"/>
        <v>温度高于告警阈值: &gt;{$TEMP_WARN: "Device"}</v>
      </c>
      <c r="J759" s="1" t="str">
        <f t="shared" si="46"/>
        <v>Device: 温度高于告警阈值: &gt;{$TEMP_WARN: "Device"}</v>
      </c>
      <c r="K759" s="1" t="str">
        <f t="shared" si="47"/>
        <v>Temperature is above warning threshold: &gt;{$TEMP_WARN:"Device"}</v>
      </c>
    </row>
    <row r="760" spans="1:11">
      <c r="A760" s="1">
        <v>1903</v>
      </c>
      <c r="B760" s="1" t="s">
        <v>9510</v>
      </c>
      <c r="C760" s="1" t="s">
        <v>9110</v>
      </c>
      <c r="D760" s="1" t="s">
        <v>2442</v>
      </c>
      <c r="E760" s="1" t="s">
        <v>2455</v>
      </c>
      <c r="F760" s="1" t="s">
        <v>2041</v>
      </c>
      <c r="G760" s="1" t="s">
        <v>2042</v>
      </c>
      <c r="H760" s="1" t="str">
        <f t="shared" si="44"/>
        <v>Device</v>
      </c>
      <c r="I760" s="1" t="str">
        <f t="shared" si="45"/>
        <v>温度太低: &lt;{$TEMP_CRIT_LOW: "Device"}</v>
      </c>
      <c r="J760" s="1" t="str">
        <f t="shared" si="46"/>
        <v>Device: 温度太低: &lt;{$TEMP_CRIT_LOW: "Device"}</v>
      </c>
      <c r="K760" s="1" t="str">
        <f t="shared" si="47"/>
        <v>Temperature is too low: &lt;{$TEMP_CRIT_LOW:"Device"}</v>
      </c>
    </row>
    <row r="761" spans="1:11">
      <c r="A761" s="1">
        <v>1904</v>
      </c>
      <c r="B761" s="1" t="s">
        <v>9510</v>
      </c>
      <c r="C761" s="1" t="s">
        <v>9112</v>
      </c>
      <c r="D761" s="1" t="s">
        <v>2442</v>
      </c>
      <c r="E761" s="1" t="s">
        <v>2457</v>
      </c>
      <c r="F761" s="1" t="s">
        <v>2045</v>
      </c>
      <c r="G761" s="1" t="s">
        <v>2046</v>
      </c>
      <c r="H761" s="1" t="str">
        <f t="shared" si="44"/>
        <v/>
      </c>
      <c r="I761" s="1" t="str">
        <f t="shared" si="45"/>
        <v/>
      </c>
      <c r="J761" s="1" t="str">
        <f t="shared" si="46"/>
        <v>Disk-{#SNMPINDEX}: 磁盘空间严重不足(已使用率&gt;{$VFS.FS.PUSED.MAX.CRIT: "Disk-{#SNMPINDEX}"}%)</v>
      </c>
      <c r="K761" s="1" t="str">
        <f t="shared" si="47"/>
        <v/>
      </c>
    </row>
    <row r="762" spans="1:11">
      <c r="A762" s="1">
        <v>1905</v>
      </c>
      <c r="B762" s="1" t="s">
        <v>9510</v>
      </c>
      <c r="C762" s="1" t="s">
        <v>9114</v>
      </c>
      <c r="D762" s="1" t="s">
        <v>2442</v>
      </c>
      <c r="E762" s="1" t="s">
        <v>2459</v>
      </c>
      <c r="F762" s="1" t="s">
        <v>2049</v>
      </c>
      <c r="G762" s="1" t="s">
        <v>2050</v>
      </c>
      <c r="H762" s="1" t="str">
        <f t="shared" si="44"/>
        <v/>
      </c>
      <c r="I762" s="1" t="str">
        <f t="shared" si="45"/>
        <v/>
      </c>
      <c r="J762" s="1" t="str">
        <f t="shared" si="46"/>
        <v>Disk-{#SNMPINDEX}: 磁盘空间不足(已使用率&gt;{$VFS.FS.PUSED.MAX.WARN: "Disk-{#SNMPINDEX}"}%)</v>
      </c>
      <c r="K762" s="1" t="str">
        <f t="shared" si="47"/>
        <v/>
      </c>
    </row>
    <row r="763" spans="1:11">
      <c r="A763" s="1">
        <v>1907</v>
      </c>
      <c r="B763" s="1" t="s">
        <v>9510</v>
      </c>
      <c r="C763" s="1" t="s">
        <v>9117</v>
      </c>
      <c r="D763" s="1" t="s">
        <v>2442</v>
      </c>
      <c r="E763" s="1" t="s">
        <v>2461</v>
      </c>
      <c r="F763" s="1" t="s">
        <v>161</v>
      </c>
      <c r="G763" s="1" t="s">
        <v>162</v>
      </c>
      <c r="H763" s="1" t="str">
        <f t="shared" si="44"/>
        <v/>
      </c>
      <c r="I763" s="1" t="str">
        <f t="shared" si="45"/>
        <v/>
      </c>
      <c r="J763" s="1" t="str">
        <f t="shared" si="46"/>
        <v>接口{#IFNAME}({#IFALIAS}): 带宽使用率太高(&gt;{$IF.UTIL.MAX: "{#IFNAME}"}%)</v>
      </c>
      <c r="K763" s="1" t="str">
        <f t="shared" si="47"/>
        <v/>
      </c>
    </row>
    <row r="764" spans="1:11">
      <c r="A764" s="1">
        <v>1908</v>
      </c>
      <c r="B764" s="1" t="s">
        <v>9510</v>
      </c>
      <c r="C764" s="1" t="s">
        <v>9119</v>
      </c>
      <c r="D764" s="1" t="s">
        <v>2442</v>
      </c>
      <c r="E764" s="1" t="s">
        <v>2463</v>
      </c>
      <c r="F764" s="1" t="s">
        <v>165</v>
      </c>
      <c r="G764" s="1" t="s">
        <v>166</v>
      </c>
      <c r="H764" s="1" t="str">
        <f t="shared" si="44"/>
        <v/>
      </c>
      <c r="I764" s="1" t="str">
        <f t="shared" si="45"/>
        <v/>
      </c>
      <c r="J764" s="1" t="str">
        <f t="shared" si="46"/>
        <v>接口{#IFNAME}({#IFALIAS}): 错误率太高(&gt;{$IF.ERRORS.WARN: "{#IFNAME}"}达5分钟)</v>
      </c>
      <c r="K764" s="1" t="str">
        <f t="shared" si="47"/>
        <v/>
      </c>
    </row>
    <row r="765" spans="1:11">
      <c r="A765" s="1">
        <v>1910</v>
      </c>
      <c r="B765" s="1" t="s">
        <v>9510</v>
      </c>
      <c r="C765" s="1" t="s">
        <v>9121</v>
      </c>
      <c r="D765" s="1" t="s">
        <v>2442</v>
      </c>
      <c r="E765" s="1" t="s">
        <v>2465</v>
      </c>
      <c r="F765" s="1" t="s">
        <v>2057</v>
      </c>
      <c r="G765" s="1" t="s">
        <v>2058</v>
      </c>
      <c r="H765" s="1" t="str">
        <f t="shared" si="44"/>
        <v/>
      </c>
      <c r="I765" s="1" t="str">
        <f t="shared" si="45"/>
        <v/>
      </c>
      <c r="J765" s="1" t="str">
        <f t="shared" si="46"/>
        <v>接口{#IFNAME}({#IFALIAS}): LTE调制解调器RSRP低(低于{$LTEMODEM.RSRP.MIN.WARN}dbm5分钟)</v>
      </c>
      <c r="K765" s="1" t="str">
        <f t="shared" si="47"/>
        <v/>
      </c>
    </row>
    <row r="766" spans="1:11">
      <c r="A766" s="1">
        <v>1911</v>
      </c>
      <c r="B766" s="1" t="s">
        <v>9510</v>
      </c>
      <c r="C766" s="1" t="s">
        <v>9122</v>
      </c>
      <c r="D766" s="1" t="s">
        <v>2442</v>
      </c>
      <c r="E766" s="1" t="s">
        <v>2467</v>
      </c>
      <c r="F766" s="1" t="s">
        <v>2061</v>
      </c>
      <c r="G766" s="1" t="s">
        <v>2062</v>
      </c>
      <c r="H766" s="1" t="str">
        <f t="shared" si="44"/>
        <v/>
      </c>
      <c r="I766" s="1" t="str">
        <f t="shared" si="45"/>
        <v/>
      </c>
      <c r="J766" s="1" t="str">
        <f t="shared" si="46"/>
        <v>接口{#IFNAME}({#IFALIAS}): LTE调制解调器RSRQ低(低于{$LTEMODEM.RSRQ.MIN.WARN}db5分钟)</v>
      </c>
      <c r="K766" s="1" t="str">
        <f t="shared" si="47"/>
        <v/>
      </c>
    </row>
    <row r="767" spans="1:11">
      <c r="A767" s="1">
        <v>1912</v>
      </c>
      <c r="B767" s="1" t="s">
        <v>9510</v>
      </c>
      <c r="C767" s="1" t="s">
        <v>9123</v>
      </c>
      <c r="D767" s="1" t="s">
        <v>2442</v>
      </c>
      <c r="E767" s="1" t="s">
        <v>2469</v>
      </c>
      <c r="F767" s="1" t="s">
        <v>2065</v>
      </c>
      <c r="G767" s="1" t="s">
        <v>2058</v>
      </c>
      <c r="H767" s="1" t="str">
        <f t="shared" si="44"/>
        <v/>
      </c>
      <c r="I767" s="1" t="str">
        <f t="shared" si="45"/>
        <v/>
      </c>
      <c r="J767" s="1" t="str">
        <f t="shared" si="46"/>
        <v>接口{#IFNAME}({#IFALIAS}): LTE调制解调器RSRP低(低于{$LTEMODEM.RSRP.MIN.WARN}dbm5分钟)</v>
      </c>
      <c r="K767" s="1" t="str">
        <f t="shared" si="47"/>
        <v/>
      </c>
    </row>
    <row r="768" spans="1:11">
      <c r="A768" s="1">
        <v>1913</v>
      </c>
      <c r="B768" s="1" t="s">
        <v>9510</v>
      </c>
      <c r="C768" s="1" t="s">
        <v>9124</v>
      </c>
      <c r="D768" s="1" t="s">
        <v>2442</v>
      </c>
      <c r="E768" s="1" t="s">
        <v>2471</v>
      </c>
      <c r="F768" s="1" t="s">
        <v>2068</v>
      </c>
      <c r="G768" s="1" t="s">
        <v>2062</v>
      </c>
      <c r="H768" s="1" t="str">
        <f t="shared" si="44"/>
        <v/>
      </c>
      <c r="I768" s="1" t="str">
        <f t="shared" si="45"/>
        <v/>
      </c>
      <c r="J768" s="1" t="str">
        <f t="shared" si="46"/>
        <v>接口{#IFNAME}({#IFALIAS}): LTE调制解调器RSRQ低(低于{$LTEMODEM.RSRQ.MIN.WARN}db5分钟)</v>
      </c>
      <c r="K768" s="1" t="str">
        <f t="shared" si="47"/>
        <v/>
      </c>
    </row>
    <row r="769" spans="1:11">
      <c r="A769" s="1">
        <v>1915</v>
      </c>
      <c r="B769" s="1" t="s">
        <v>9511</v>
      </c>
      <c r="C769" s="1" t="s">
        <v>9098</v>
      </c>
      <c r="D769" s="1" t="s">
        <v>2473</v>
      </c>
      <c r="E769" s="1" t="s">
        <v>2474</v>
      </c>
      <c r="F769" s="1" t="s">
        <v>541</v>
      </c>
      <c r="G769" s="1" t="s">
        <v>542</v>
      </c>
      <c r="H769" s="1" t="str">
        <f t="shared" si="44"/>
        <v/>
      </c>
      <c r="I769" s="1" t="str">
        <f t="shared" si="45"/>
        <v/>
      </c>
      <c r="J769" s="1" t="str">
        <f t="shared" si="46"/>
        <v>#{#SNMPINDEX}: CPU使用率高了(超过{$CPU.UTIL.CRIT}%达5分钟)</v>
      </c>
      <c r="K769" s="1" t="str">
        <f t="shared" si="47"/>
        <v/>
      </c>
    </row>
    <row r="770" spans="1:11">
      <c r="A770" s="1">
        <v>1916</v>
      </c>
      <c r="B770" s="1" t="s">
        <v>9511</v>
      </c>
      <c r="C770" s="1" t="s">
        <v>9100</v>
      </c>
      <c r="D770" s="1" t="s">
        <v>2473</v>
      </c>
      <c r="E770" s="1" t="s">
        <v>2476</v>
      </c>
      <c r="F770" s="1" t="s">
        <v>1557</v>
      </c>
      <c r="G770" s="1" t="s">
        <v>1558</v>
      </c>
      <c r="H770" s="1" t="str">
        <f t="shared" ref="H770:H833" si="48">IFERROR(IF(OR(MID(G770,FIND(":",G770)-1,1)="""",MID(G770,FIND(":",G770)-1,1)="}",MID(G770,FIND(":",G770)-1,1)=")",MID(G770,FIND(":",G770)-1,1)="]"),"",LEFT(F770,FIND(":",F770)-1)),"")</f>
        <v>CPU</v>
      </c>
      <c r="I770" s="1" t="str">
        <f t="shared" ref="I770:I833" si="49">IFERROR(IF(OR(MID(G770,FIND(":",G770)-1,1)="""",MID(G770,FIND(":",G770)-1,1)="}",MID(G770,FIND(":",G770)-1,1)=")",MID(G770,FIND(":",G770)-1,1)="]"),"",RIGHT(G770,LEN(G770)-FIND(":",G770)-1)),"")</f>
        <v>温度高于临界阈值: &gt;{$TEMP_CRIT: "CPU"}</v>
      </c>
      <c r="J770" s="1" t="str">
        <f t="shared" ref="J770:J833" si="50">IF(AND(I770="",H770=""),G770,H770&amp;": "&amp;I770)</f>
        <v>CPU: 温度高于临界阈值: &gt;{$TEMP_CRIT: "CPU"}</v>
      </c>
      <c r="K770" s="1" t="str">
        <f t="shared" ref="K770:K833" si="51">IFERROR(IF(OR(MID(F770,FIND(":",F770)-1,1)="""",MID(F770,FIND(":",F770)-1,1)="}",MID(F770,FIND(":",F770)-1,1)=")",MID(F770,FIND(":",F770)-1,1)="]"),"",RIGHT(F770,LEN(F770)-FIND(":",F770)-1)),"")</f>
        <v>Temperature is above critical threshold: &gt;{$TEMP_CRIT:"CPU"}</v>
      </c>
    </row>
    <row r="771" spans="1:11">
      <c r="A771" s="1">
        <v>1917</v>
      </c>
      <c r="B771" s="1" t="s">
        <v>9511</v>
      </c>
      <c r="C771" s="1" t="s">
        <v>9102</v>
      </c>
      <c r="D771" s="1" t="s">
        <v>2473</v>
      </c>
      <c r="E771" s="1" t="s">
        <v>2478</v>
      </c>
      <c r="F771" s="1" t="s">
        <v>1553</v>
      </c>
      <c r="G771" s="1" t="s">
        <v>1554</v>
      </c>
      <c r="H771" s="1" t="str">
        <f t="shared" si="48"/>
        <v>CPU</v>
      </c>
      <c r="I771" s="1" t="str">
        <f t="shared" si="49"/>
        <v>温度高于告警阈值: &gt;{$TEMP_WARN: "CPU"}</v>
      </c>
      <c r="J771" s="1" t="str">
        <f t="shared" si="50"/>
        <v>CPU: 温度高于告警阈值: &gt;{$TEMP_WARN: "CPU"}</v>
      </c>
      <c r="K771" s="1" t="str">
        <f t="shared" si="51"/>
        <v>Temperature is above warning threshold: &gt;{$TEMP_WARN:"CPU"}</v>
      </c>
    </row>
    <row r="772" spans="1:11">
      <c r="A772" s="1">
        <v>1918</v>
      </c>
      <c r="B772" s="1" t="s">
        <v>9511</v>
      </c>
      <c r="C772" s="1" t="s">
        <v>9104</v>
      </c>
      <c r="D772" s="1" t="s">
        <v>2473</v>
      </c>
      <c r="E772" s="1" t="s">
        <v>2480</v>
      </c>
      <c r="F772" s="1" t="s">
        <v>1561</v>
      </c>
      <c r="G772" s="1" t="s">
        <v>1562</v>
      </c>
      <c r="H772" s="1" t="str">
        <f t="shared" si="48"/>
        <v>CPU</v>
      </c>
      <c r="I772" s="1" t="str">
        <f t="shared" si="49"/>
        <v>温度太低: &lt;{$TEMP_CRIT_LOW: "CPU"}</v>
      </c>
      <c r="J772" s="1" t="str">
        <f t="shared" si="50"/>
        <v>CPU: 温度太低: &lt;{$TEMP_CRIT_LOW: "CPU"}</v>
      </c>
      <c r="K772" s="1" t="str">
        <f t="shared" si="51"/>
        <v>Temperature is too low: &lt;{$TEMP_CRIT_LOW:"CPU"}</v>
      </c>
    </row>
    <row r="773" spans="1:11">
      <c r="A773" s="1">
        <v>1919</v>
      </c>
      <c r="B773" s="1" t="s">
        <v>9511</v>
      </c>
      <c r="C773" s="1" t="s">
        <v>9106</v>
      </c>
      <c r="D773" s="1" t="s">
        <v>2473</v>
      </c>
      <c r="E773" s="1" t="s">
        <v>2482</v>
      </c>
      <c r="F773" s="1" t="s">
        <v>2033</v>
      </c>
      <c r="G773" s="1" t="s">
        <v>2034</v>
      </c>
      <c r="H773" s="1" t="str">
        <f t="shared" si="48"/>
        <v>Device</v>
      </c>
      <c r="I773" s="1" t="str">
        <f t="shared" si="49"/>
        <v>温度高于临界阈值: &gt;{$TEMP_CRIT: "Device"}</v>
      </c>
      <c r="J773" s="1" t="str">
        <f t="shared" si="50"/>
        <v>Device: 温度高于临界阈值: &gt;{$TEMP_CRIT: "Device"}</v>
      </c>
      <c r="K773" s="1" t="str">
        <f t="shared" si="51"/>
        <v>Temperature is above critical threshold: &gt;{$TEMP_CRIT:"Device"}</v>
      </c>
    </row>
    <row r="774" spans="1:11">
      <c r="A774" s="1">
        <v>1920</v>
      </c>
      <c r="B774" s="1" t="s">
        <v>9511</v>
      </c>
      <c r="C774" s="1" t="s">
        <v>9108</v>
      </c>
      <c r="D774" s="1" t="s">
        <v>2473</v>
      </c>
      <c r="E774" s="1" t="s">
        <v>2484</v>
      </c>
      <c r="F774" s="1" t="s">
        <v>2037</v>
      </c>
      <c r="G774" s="1" t="s">
        <v>2038</v>
      </c>
      <c r="H774" s="1" t="str">
        <f t="shared" si="48"/>
        <v>Device</v>
      </c>
      <c r="I774" s="1" t="str">
        <f t="shared" si="49"/>
        <v>温度高于告警阈值: &gt;{$TEMP_WARN: "Device"}</v>
      </c>
      <c r="J774" s="1" t="str">
        <f t="shared" si="50"/>
        <v>Device: 温度高于告警阈值: &gt;{$TEMP_WARN: "Device"}</v>
      </c>
      <c r="K774" s="1" t="str">
        <f t="shared" si="51"/>
        <v>Temperature is above warning threshold: &gt;{$TEMP_WARN:"Device"}</v>
      </c>
    </row>
    <row r="775" spans="1:11">
      <c r="A775" s="1">
        <v>1921</v>
      </c>
      <c r="B775" s="1" t="s">
        <v>9511</v>
      </c>
      <c r="C775" s="1" t="s">
        <v>9110</v>
      </c>
      <c r="D775" s="1" t="s">
        <v>2473</v>
      </c>
      <c r="E775" s="1" t="s">
        <v>2486</v>
      </c>
      <c r="F775" s="1" t="s">
        <v>2041</v>
      </c>
      <c r="G775" s="1" t="s">
        <v>2042</v>
      </c>
      <c r="H775" s="1" t="str">
        <f t="shared" si="48"/>
        <v>Device</v>
      </c>
      <c r="I775" s="1" t="str">
        <f t="shared" si="49"/>
        <v>温度太低: &lt;{$TEMP_CRIT_LOW: "Device"}</v>
      </c>
      <c r="J775" s="1" t="str">
        <f t="shared" si="50"/>
        <v>Device: 温度太低: &lt;{$TEMP_CRIT_LOW: "Device"}</v>
      </c>
      <c r="K775" s="1" t="str">
        <f t="shared" si="51"/>
        <v>Temperature is too low: &lt;{$TEMP_CRIT_LOW:"Device"}</v>
      </c>
    </row>
    <row r="776" spans="1:11">
      <c r="A776" s="1">
        <v>1922</v>
      </c>
      <c r="B776" s="1" t="s">
        <v>9511</v>
      </c>
      <c r="C776" s="1" t="s">
        <v>9112</v>
      </c>
      <c r="D776" s="1" t="s">
        <v>2473</v>
      </c>
      <c r="E776" s="1" t="s">
        <v>2488</v>
      </c>
      <c r="F776" s="1" t="s">
        <v>2045</v>
      </c>
      <c r="G776" s="1" t="s">
        <v>2046</v>
      </c>
      <c r="H776" s="1" t="str">
        <f t="shared" si="48"/>
        <v/>
      </c>
      <c r="I776" s="1" t="str">
        <f t="shared" si="49"/>
        <v/>
      </c>
      <c r="J776" s="1" t="str">
        <f t="shared" si="50"/>
        <v>Disk-{#SNMPINDEX}: 磁盘空间严重不足(已使用率&gt;{$VFS.FS.PUSED.MAX.CRIT: "Disk-{#SNMPINDEX}"}%)</v>
      </c>
      <c r="K776" s="1" t="str">
        <f t="shared" si="51"/>
        <v/>
      </c>
    </row>
    <row r="777" spans="1:11">
      <c r="A777" s="1">
        <v>1923</v>
      </c>
      <c r="B777" s="1" t="s">
        <v>9511</v>
      </c>
      <c r="C777" s="1" t="s">
        <v>9114</v>
      </c>
      <c r="D777" s="1" t="s">
        <v>2473</v>
      </c>
      <c r="E777" s="1" t="s">
        <v>2490</v>
      </c>
      <c r="F777" s="1" t="s">
        <v>2049</v>
      </c>
      <c r="G777" s="1" t="s">
        <v>2050</v>
      </c>
      <c r="H777" s="1" t="str">
        <f t="shared" si="48"/>
        <v/>
      </c>
      <c r="I777" s="1" t="str">
        <f t="shared" si="49"/>
        <v/>
      </c>
      <c r="J777" s="1" t="str">
        <f t="shared" si="50"/>
        <v>Disk-{#SNMPINDEX}: 磁盘空间不足(已使用率&gt;{$VFS.FS.PUSED.MAX.WARN: "Disk-{#SNMPINDEX}"}%)</v>
      </c>
      <c r="K777" s="1" t="str">
        <f t="shared" si="51"/>
        <v/>
      </c>
    </row>
    <row r="778" spans="1:11">
      <c r="A778" s="1">
        <v>1925</v>
      </c>
      <c r="B778" s="1" t="s">
        <v>9511</v>
      </c>
      <c r="C778" s="1" t="s">
        <v>9117</v>
      </c>
      <c r="D778" s="1" t="s">
        <v>2473</v>
      </c>
      <c r="E778" s="1" t="s">
        <v>2492</v>
      </c>
      <c r="F778" s="1" t="s">
        <v>161</v>
      </c>
      <c r="G778" s="1" t="s">
        <v>162</v>
      </c>
      <c r="H778" s="1" t="str">
        <f t="shared" si="48"/>
        <v/>
      </c>
      <c r="I778" s="1" t="str">
        <f t="shared" si="49"/>
        <v/>
      </c>
      <c r="J778" s="1" t="str">
        <f t="shared" si="50"/>
        <v>接口{#IFNAME}({#IFALIAS}): 带宽使用率太高(&gt;{$IF.UTIL.MAX: "{#IFNAME}"}%)</v>
      </c>
      <c r="K778" s="1" t="str">
        <f t="shared" si="51"/>
        <v/>
      </c>
    </row>
    <row r="779" spans="1:11">
      <c r="A779" s="1">
        <v>1926</v>
      </c>
      <c r="B779" s="1" t="s">
        <v>9511</v>
      </c>
      <c r="C779" s="1" t="s">
        <v>9119</v>
      </c>
      <c r="D779" s="1" t="s">
        <v>2473</v>
      </c>
      <c r="E779" s="1" t="s">
        <v>2494</v>
      </c>
      <c r="F779" s="1" t="s">
        <v>165</v>
      </c>
      <c r="G779" s="1" t="s">
        <v>166</v>
      </c>
      <c r="H779" s="1" t="str">
        <f t="shared" si="48"/>
        <v/>
      </c>
      <c r="I779" s="1" t="str">
        <f t="shared" si="49"/>
        <v/>
      </c>
      <c r="J779" s="1" t="str">
        <f t="shared" si="50"/>
        <v>接口{#IFNAME}({#IFALIAS}): 错误率太高(&gt;{$IF.ERRORS.WARN: "{#IFNAME}"}达5分钟)</v>
      </c>
      <c r="K779" s="1" t="str">
        <f t="shared" si="51"/>
        <v/>
      </c>
    </row>
    <row r="780" spans="1:11">
      <c r="A780" s="1">
        <v>1928</v>
      </c>
      <c r="B780" s="1" t="s">
        <v>9511</v>
      </c>
      <c r="C780" s="1" t="s">
        <v>9121</v>
      </c>
      <c r="D780" s="1" t="s">
        <v>2473</v>
      </c>
      <c r="E780" s="1" t="s">
        <v>2496</v>
      </c>
      <c r="F780" s="1" t="s">
        <v>2057</v>
      </c>
      <c r="G780" s="1" t="s">
        <v>2058</v>
      </c>
      <c r="H780" s="1" t="str">
        <f t="shared" si="48"/>
        <v/>
      </c>
      <c r="I780" s="1" t="str">
        <f t="shared" si="49"/>
        <v/>
      </c>
      <c r="J780" s="1" t="str">
        <f t="shared" si="50"/>
        <v>接口{#IFNAME}({#IFALIAS}): LTE调制解调器RSRP低(低于{$LTEMODEM.RSRP.MIN.WARN}dbm5分钟)</v>
      </c>
      <c r="K780" s="1" t="str">
        <f t="shared" si="51"/>
        <v/>
      </c>
    </row>
    <row r="781" spans="1:11">
      <c r="A781" s="1">
        <v>1929</v>
      </c>
      <c r="B781" s="1" t="s">
        <v>9511</v>
      </c>
      <c r="C781" s="1" t="s">
        <v>9122</v>
      </c>
      <c r="D781" s="1" t="s">
        <v>2473</v>
      </c>
      <c r="E781" s="1" t="s">
        <v>2498</v>
      </c>
      <c r="F781" s="1" t="s">
        <v>2061</v>
      </c>
      <c r="G781" s="1" t="s">
        <v>2062</v>
      </c>
      <c r="H781" s="1" t="str">
        <f t="shared" si="48"/>
        <v/>
      </c>
      <c r="I781" s="1" t="str">
        <f t="shared" si="49"/>
        <v/>
      </c>
      <c r="J781" s="1" t="str">
        <f t="shared" si="50"/>
        <v>接口{#IFNAME}({#IFALIAS}): LTE调制解调器RSRQ低(低于{$LTEMODEM.RSRQ.MIN.WARN}db5分钟)</v>
      </c>
      <c r="K781" s="1" t="str">
        <f t="shared" si="51"/>
        <v/>
      </c>
    </row>
    <row r="782" spans="1:11">
      <c r="A782" s="1">
        <v>1930</v>
      </c>
      <c r="B782" s="1" t="s">
        <v>9511</v>
      </c>
      <c r="C782" s="1" t="s">
        <v>9123</v>
      </c>
      <c r="D782" s="1" t="s">
        <v>2473</v>
      </c>
      <c r="E782" s="1" t="s">
        <v>2500</v>
      </c>
      <c r="F782" s="1" t="s">
        <v>2065</v>
      </c>
      <c r="G782" s="1" t="s">
        <v>2058</v>
      </c>
      <c r="H782" s="1" t="str">
        <f t="shared" si="48"/>
        <v/>
      </c>
      <c r="I782" s="1" t="str">
        <f t="shared" si="49"/>
        <v/>
      </c>
      <c r="J782" s="1" t="str">
        <f t="shared" si="50"/>
        <v>接口{#IFNAME}({#IFALIAS}): LTE调制解调器RSRP低(低于{$LTEMODEM.RSRP.MIN.WARN}dbm5分钟)</v>
      </c>
      <c r="K782" s="1" t="str">
        <f t="shared" si="51"/>
        <v/>
      </c>
    </row>
    <row r="783" spans="1:11">
      <c r="A783" s="1">
        <v>1931</v>
      </c>
      <c r="B783" s="1" t="s">
        <v>9511</v>
      </c>
      <c r="C783" s="1" t="s">
        <v>9124</v>
      </c>
      <c r="D783" s="1" t="s">
        <v>2473</v>
      </c>
      <c r="E783" s="1" t="s">
        <v>2502</v>
      </c>
      <c r="F783" s="1" t="s">
        <v>2068</v>
      </c>
      <c r="G783" s="1" t="s">
        <v>2062</v>
      </c>
      <c r="H783" s="1" t="str">
        <f t="shared" si="48"/>
        <v/>
      </c>
      <c r="I783" s="1" t="str">
        <f t="shared" si="49"/>
        <v/>
      </c>
      <c r="J783" s="1" t="str">
        <f t="shared" si="50"/>
        <v>接口{#IFNAME}({#IFALIAS}): LTE调制解调器RSRQ低(低于{$LTEMODEM.RSRQ.MIN.WARN}db5分钟)</v>
      </c>
      <c r="K783" s="1" t="str">
        <f t="shared" si="51"/>
        <v/>
      </c>
    </row>
    <row r="784" spans="1:11">
      <c r="A784" s="1">
        <v>1933</v>
      </c>
      <c r="B784" s="1" t="s">
        <v>9512</v>
      </c>
      <c r="C784" s="1" t="s">
        <v>9098</v>
      </c>
      <c r="D784" s="1" t="s">
        <v>2504</v>
      </c>
      <c r="E784" s="1" t="s">
        <v>2505</v>
      </c>
      <c r="F784" s="1" t="s">
        <v>541</v>
      </c>
      <c r="G784" s="1" t="s">
        <v>542</v>
      </c>
      <c r="H784" s="1" t="str">
        <f t="shared" si="48"/>
        <v/>
      </c>
      <c r="I784" s="1" t="str">
        <f t="shared" si="49"/>
        <v/>
      </c>
      <c r="J784" s="1" t="str">
        <f t="shared" si="50"/>
        <v>#{#SNMPINDEX}: CPU使用率高了(超过{$CPU.UTIL.CRIT}%达5分钟)</v>
      </c>
      <c r="K784" s="1" t="str">
        <f t="shared" si="51"/>
        <v/>
      </c>
    </row>
    <row r="785" spans="1:11">
      <c r="A785" s="1">
        <v>1934</v>
      </c>
      <c r="B785" s="1" t="s">
        <v>9512</v>
      </c>
      <c r="C785" s="1" t="s">
        <v>9100</v>
      </c>
      <c r="D785" s="1" t="s">
        <v>2504</v>
      </c>
      <c r="E785" s="1" t="s">
        <v>2507</v>
      </c>
      <c r="F785" s="1" t="s">
        <v>1557</v>
      </c>
      <c r="G785" s="1" t="s">
        <v>1558</v>
      </c>
      <c r="H785" s="1" t="str">
        <f t="shared" si="48"/>
        <v>CPU</v>
      </c>
      <c r="I785" s="1" t="str">
        <f t="shared" si="49"/>
        <v>温度高于临界阈值: &gt;{$TEMP_CRIT: "CPU"}</v>
      </c>
      <c r="J785" s="1" t="str">
        <f t="shared" si="50"/>
        <v>CPU: 温度高于临界阈值: &gt;{$TEMP_CRIT: "CPU"}</v>
      </c>
      <c r="K785" s="1" t="str">
        <f t="shared" si="51"/>
        <v>Temperature is above critical threshold: &gt;{$TEMP_CRIT:"CPU"}</v>
      </c>
    </row>
    <row r="786" spans="1:11">
      <c r="A786" s="1">
        <v>1935</v>
      </c>
      <c r="B786" s="1" t="s">
        <v>9512</v>
      </c>
      <c r="C786" s="1" t="s">
        <v>9102</v>
      </c>
      <c r="D786" s="1" t="s">
        <v>2504</v>
      </c>
      <c r="E786" s="1" t="s">
        <v>2509</v>
      </c>
      <c r="F786" s="1" t="s">
        <v>1553</v>
      </c>
      <c r="G786" s="1" t="s">
        <v>1554</v>
      </c>
      <c r="H786" s="1" t="str">
        <f t="shared" si="48"/>
        <v>CPU</v>
      </c>
      <c r="I786" s="1" t="str">
        <f t="shared" si="49"/>
        <v>温度高于告警阈值: &gt;{$TEMP_WARN: "CPU"}</v>
      </c>
      <c r="J786" s="1" t="str">
        <f t="shared" si="50"/>
        <v>CPU: 温度高于告警阈值: &gt;{$TEMP_WARN: "CPU"}</v>
      </c>
      <c r="K786" s="1" t="str">
        <f t="shared" si="51"/>
        <v>Temperature is above warning threshold: &gt;{$TEMP_WARN:"CPU"}</v>
      </c>
    </row>
    <row r="787" spans="1:11">
      <c r="A787" s="1">
        <v>1936</v>
      </c>
      <c r="B787" s="1" t="s">
        <v>9512</v>
      </c>
      <c r="C787" s="1" t="s">
        <v>9104</v>
      </c>
      <c r="D787" s="1" t="s">
        <v>2504</v>
      </c>
      <c r="E787" s="1" t="s">
        <v>2511</v>
      </c>
      <c r="F787" s="1" t="s">
        <v>1561</v>
      </c>
      <c r="G787" s="1" t="s">
        <v>1562</v>
      </c>
      <c r="H787" s="1" t="str">
        <f t="shared" si="48"/>
        <v>CPU</v>
      </c>
      <c r="I787" s="1" t="str">
        <f t="shared" si="49"/>
        <v>温度太低: &lt;{$TEMP_CRIT_LOW: "CPU"}</v>
      </c>
      <c r="J787" s="1" t="str">
        <f t="shared" si="50"/>
        <v>CPU: 温度太低: &lt;{$TEMP_CRIT_LOW: "CPU"}</v>
      </c>
      <c r="K787" s="1" t="str">
        <f t="shared" si="51"/>
        <v>Temperature is too low: &lt;{$TEMP_CRIT_LOW:"CPU"}</v>
      </c>
    </row>
    <row r="788" spans="1:11">
      <c r="A788" s="1">
        <v>1937</v>
      </c>
      <c r="B788" s="1" t="s">
        <v>9512</v>
      </c>
      <c r="C788" s="1" t="s">
        <v>9106</v>
      </c>
      <c r="D788" s="1" t="s">
        <v>2504</v>
      </c>
      <c r="E788" s="1" t="s">
        <v>2513</v>
      </c>
      <c r="F788" s="1" t="s">
        <v>2033</v>
      </c>
      <c r="G788" s="1" t="s">
        <v>2034</v>
      </c>
      <c r="H788" s="1" t="str">
        <f t="shared" si="48"/>
        <v>Device</v>
      </c>
      <c r="I788" s="1" t="str">
        <f t="shared" si="49"/>
        <v>温度高于临界阈值: &gt;{$TEMP_CRIT: "Device"}</v>
      </c>
      <c r="J788" s="1" t="str">
        <f t="shared" si="50"/>
        <v>Device: 温度高于临界阈值: &gt;{$TEMP_CRIT: "Device"}</v>
      </c>
      <c r="K788" s="1" t="str">
        <f t="shared" si="51"/>
        <v>Temperature is above critical threshold: &gt;{$TEMP_CRIT:"Device"}</v>
      </c>
    </row>
    <row r="789" spans="1:11">
      <c r="A789" s="1">
        <v>1938</v>
      </c>
      <c r="B789" s="1" t="s">
        <v>9512</v>
      </c>
      <c r="C789" s="1" t="s">
        <v>9108</v>
      </c>
      <c r="D789" s="1" t="s">
        <v>2504</v>
      </c>
      <c r="E789" s="1" t="s">
        <v>2515</v>
      </c>
      <c r="F789" s="1" t="s">
        <v>2037</v>
      </c>
      <c r="G789" s="1" t="s">
        <v>2038</v>
      </c>
      <c r="H789" s="1" t="str">
        <f t="shared" si="48"/>
        <v>Device</v>
      </c>
      <c r="I789" s="1" t="str">
        <f t="shared" si="49"/>
        <v>温度高于告警阈值: &gt;{$TEMP_WARN: "Device"}</v>
      </c>
      <c r="J789" s="1" t="str">
        <f t="shared" si="50"/>
        <v>Device: 温度高于告警阈值: &gt;{$TEMP_WARN: "Device"}</v>
      </c>
      <c r="K789" s="1" t="str">
        <f t="shared" si="51"/>
        <v>Temperature is above warning threshold: &gt;{$TEMP_WARN:"Device"}</v>
      </c>
    </row>
    <row r="790" spans="1:11">
      <c r="A790" s="1">
        <v>1939</v>
      </c>
      <c r="B790" s="1" t="s">
        <v>9512</v>
      </c>
      <c r="C790" s="1" t="s">
        <v>9110</v>
      </c>
      <c r="D790" s="1" t="s">
        <v>2504</v>
      </c>
      <c r="E790" s="1" t="s">
        <v>2517</v>
      </c>
      <c r="F790" s="1" t="s">
        <v>2041</v>
      </c>
      <c r="G790" s="1" t="s">
        <v>2042</v>
      </c>
      <c r="H790" s="1" t="str">
        <f t="shared" si="48"/>
        <v>Device</v>
      </c>
      <c r="I790" s="1" t="str">
        <f t="shared" si="49"/>
        <v>温度太低: &lt;{$TEMP_CRIT_LOW: "Device"}</v>
      </c>
      <c r="J790" s="1" t="str">
        <f t="shared" si="50"/>
        <v>Device: 温度太低: &lt;{$TEMP_CRIT_LOW: "Device"}</v>
      </c>
      <c r="K790" s="1" t="str">
        <f t="shared" si="51"/>
        <v>Temperature is too low: &lt;{$TEMP_CRIT_LOW:"Device"}</v>
      </c>
    </row>
    <row r="791" spans="1:11">
      <c r="A791" s="1">
        <v>1940</v>
      </c>
      <c r="B791" s="1" t="s">
        <v>9512</v>
      </c>
      <c r="C791" s="1" t="s">
        <v>9112</v>
      </c>
      <c r="D791" s="1" t="s">
        <v>2504</v>
      </c>
      <c r="E791" s="1" t="s">
        <v>2519</v>
      </c>
      <c r="F791" s="1" t="s">
        <v>2045</v>
      </c>
      <c r="G791" s="1" t="s">
        <v>2046</v>
      </c>
      <c r="H791" s="1" t="str">
        <f t="shared" si="48"/>
        <v/>
      </c>
      <c r="I791" s="1" t="str">
        <f t="shared" si="49"/>
        <v/>
      </c>
      <c r="J791" s="1" t="str">
        <f t="shared" si="50"/>
        <v>Disk-{#SNMPINDEX}: 磁盘空间严重不足(已使用率&gt;{$VFS.FS.PUSED.MAX.CRIT: "Disk-{#SNMPINDEX}"}%)</v>
      </c>
      <c r="K791" s="1" t="str">
        <f t="shared" si="51"/>
        <v/>
      </c>
    </row>
    <row r="792" spans="1:11">
      <c r="A792" s="1">
        <v>1941</v>
      </c>
      <c r="B792" s="1" t="s">
        <v>9512</v>
      </c>
      <c r="C792" s="1" t="s">
        <v>9114</v>
      </c>
      <c r="D792" s="1" t="s">
        <v>2504</v>
      </c>
      <c r="E792" s="1" t="s">
        <v>2521</v>
      </c>
      <c r="F792" s="1" t="s">
        <v>2049</v>
      </c>
      <c r="G792" s="1" t="s">
        <v>2050</v>
      </c>
      <c r="H792" s="1" t="str">
        <f t="shared" si="48"/>
        <v/>
      </c>
      <c r="I792" s="1" t="str">
        <f t="shared" si="49"/>
        <v/>
      </c>
      <c r="J792" s="1" t="str">
        <f t="shared" si="50"/>
        <v>Disk-{#SNMPINDEX}: 磁盘空间不足(已使用率&gt;{$VFS.FS.PUSED.MAX.WARN: "Disk-{#SNMPINDEX}"}%)</v>
      </c>
      <c r="K792" s="1" t="str">
        <f t="shared" si="51"/>
        <v/>
      </c>
    </row>
    <row r="793" spans="1:11">
      <c r="A793" s="1">
        <v>1943</v>
      </c>
      <c r="B793" s="1" t="s">
        <v>9512</v>
      </c>
      <c r="C793" s="1" t="s">
        <v>9117</v>
      </c>
      <c r="D793" s="1" t="s">
        <v>2504</v>
      </c>
      <c r="E793" s="1" t="s">
        <v>2523</v>
      </c>
      <c r="F793" s="1" t="s">
        <v>161</v>
      </c>
      <c r="G793" s="1" t="s">
        <v>162</v>
      </c>
      <c r="H793" s="1" t="str">
        <f t="shared" si="48"/>
        <v/>
      </c>
      <c r="I793" s="1" t="str">
        <f t="shared" si="49"/>
        <v/>
      </c>
      <c r="J793" s="1" t="str">
        <f t="shared" si="50"/>
        <v>接口{#IFNAME}({#IFALIAS}): 带宽使用率太高(&gt;{$IF.UTIL.MAX: "{#IFNAME}"}%)</v>
      </c>
      <c r="K793" s="1" t="str">
        <f t="shared" si="51"/>
        <v/>
      </c>
    </row>
    <row r="794" spans="1:11">
      <c r="A794" s="1">
        <v>1944</v>
      </c>
      <c r="B794" s="1" t="s">
        <v>9512</v>
      </c>
      <c r="C794" s="1" t="s">
        <v>9119</v>
      </c>
      <c r="D794" s="1" t="s">
        <v>2504</v>
      </c>
      <c r="E794" s="1" t="s">
        <v>2525</v>
      </c>
      <c r="F794" s="1" t="s">
        <v>165</v>
      </c>
      <c r="G794" s="1" t="s">
        <v>166</v>
      </c>
      <c r="H794" s="1" t="str">
        <f t="shared" si="48"/>
        <v/>
      </c>
      <c r="I794" s="1" t="str">
        <f t="shared" si="49"/>
        <v/>
      </c>
      <c r="J794" s="1" t="str">
        <f t="shared" si="50"/>
        <v>接口{#IFNAME}({#IFALIAS}): 错误率太高(&gt;{$IF.ERRORS.WARN: "{#IFNAME}"}达5分钟)</v>
      </c>
      <c r="K794" s="1" t="str">
        <f t="shared" si="51"/>
        <v/>
      </c>
    </row>
    <row r="795" spans="1:11">
      <c r="A795" s="1">
        <v>1946</v>
      </c>
      <c r="B795" s="1" t="s">
        <v>9512</v>
      </c>
      <c r="C795" s="1" t="s">
        <v>9121</v>
      </c>
      <c r="D795" s="1" t="s">
        <v>2504</v>
      </c>
      <c r="E795" s="1" t="s">
        <v>2527</v>
      </c>
      <c r="F795" s="1" t="s">
        <v>2057</v>
      </c>
      <c r="G795" s="1" t="s">
        <v>2058</v>
      </c>
      <c r="H795" s="1" t="str">
        <f t="shared" si="48"/>
        <v/>
      </c>
      <c r="I795" s="1" t="str">
        <f t="shared" si="49"/>
        <v/>
      </c>
      <c r="J795" s="1" t="str">
        <f t="shared" si="50"/>
        <v>接口{#IFNAME}({#IFALIAS}): LTE调制解调器RSRP低(低于{$LTEMODEM.RSRP.MIN.WARN}dbm5分钟)</v>
      </c>
      <c r="K795" s="1" t="str">
        <f t="shared" si="51"/>
        <v/>
      </c>
    </row>
    <row r="796" spans="1:11">
      <c r="A796" s="1">
        <v>1947</v>
      </c>
      <c r="B796" s="1" t="s">
        <v>9512</v>
      </c>
      <c r="C796" s="1" t="s">
        <v>9122</v>
      </c>
      <c r="D796" s="1" t="s">
        <v>2504</v>
      </c>
      <c r="E796" s="1" t="s">
        <v>2529</v>
      </c>
      <c r="F796" s="1" t="s">
        <v>2061</v>
      </c>
      <c r="G796" s="1" t="s">
        <v>2062</v>
      </c>
      <c r="H796" s="1" t="str">
        <f t="shared" si="48"/>
        <v/>
      </c>
      <c r="I796" s="1" t="str">
        <f t="shared" si="49"/>
        <v/>
      </c>
      <c r="J796" s="1" t="str">
        <f t="shared" si="50"/>
        <v>接口{#IFNAME}({#IFALIAS}): LTE调制解调器RSRQ低(低于{$LTEMODEM.RSRQ.MIN.WARN}db5分钟)</v>
      </c>
      <c r="K796" s="1" t="str">
        <f t="shared" si="51"/>
        <v/>
      </c>
    </row>
    <row r="797" spans="1:11">
      <c r="A797" s="1">
        <v>1948</v>
      </c>
      <c r="B797" s="1" t="s">
        <v>9512</v>
      </c>
      <c r="C797" s="1" t="s">
        <v>9123</v>
      </c>
      <c r="D797" s="1" t="s">
        <v>2504</v>
      </c>
      <c r="E797" s="1" t="s">
        <v>2531</v>
      </c>
      <c r="F797" s="1" t="s">
        <v>2065</v>
      </c>
      <c r="G797" s="1" t="s">
        <v>2058</v>
      </c>
      <c r="H797" s="1" t="str">
        <f t="shared" si="48"/>
        <v/>
      </c>
      <c r="I797" s="1" t="str">
        <f t="shared" si="49"/>
        <v/>
      </c>
      <c r="J797" s="1" t="str">
        <f t="shared" si="50"/>
        <v>接口{#IFNAME}({#IFALIAS}): LTE调制解调器RSRP低(低于{$LTEMODEM.RSRP.MIN.WARN}dbm5分钟)</v>
      </c>
      <c r="K797" s="1" t="str">
        <f t="shared" si="51"/>
        <v/>
      </c>
    </row>
    <row r="798" spans="1:11">
      <c r="A798" s="1">
        <v>1949</v>
      </c>
      <c r="B798" s="1" t="s">
        <v>9512</v>
      </c>
      <c r="C798" s="1" t="s">
        <v>9124</v>
      </c>
      <c r="D798" s="1" t="s">
        <v>2504</v>
      </c>
      <c r="E798" s="1" t="s">
        <v>2533</v>
      </c>
      <c r="F798" s="1" t="s">
        <v>2068</v>
      </c>
      <c r="G798" s="1" t="s">
        <v>2062</v>
      </c>
      <c r="H798" s="1" t="str">
        <f t="shared" si="48"/>
        <v/>
      </c>
      <c r="I798" s="1" t="str">
        <f t="shared" si="49"/>
        <v/>
      </c>
      <c r="J798" s="1" t="str">
        <f t="shared" si="50"/>
        <v>接口{#IFNAME}({#IFALIAS}): LTE调制解调器RSRQ低(低于{$LTEMODEM.RSRQ.MIN.WARN}db5分钟)</v>
      </c>
      <c r="K798" s="1" t="str">
        <f t="shared" si="51"/>
        <v/>
      </c>
    </row>
    <row r="799" spans="1:11">
      <c r="A799" s="1">
        <v>1951</v>
      </c>
      <c r="B799" s="1" t="s">
        <v>9513</v>
      </c>
      <c r="C799" s="1" t="s">
        <v>9098</v>
      </c>
      <c r="D799" s="1" t="s">
        <v>2535</v>
      </c>
      <c r="E799" s="1" t="s">
        <v>2536</v>
      </c>
      <c r="F799" s="1" t="s">
        <v>541</v>
      </c>
      <c r="G799" s="1" t="s">
        <v>542</v>
      </c>
      <c r="H799" s="1" t="str">
        <f t="shared" si="48"/>
        <v/>
      </c>
      <c r="I799" s="1" t="str">
        <f t="shared" si="49"/>
        <v/>
      </c>
      <c r="J799" s="1" t="str">
        <f t="shared" si="50"/>
        <v>#{#SNMPINDEX}: CPU使用率高了(超过{$CPU.UTIL.CRIT}%达5分钟)</v>
      </c>
      <c r="K799" s="1" t="str">
        <f t="shared" si="51"/>
        <v/>
      </c>
    </row>
    <row r="800" spans="1:11">
      <c r="A800" s="1">
        <v>1952</v>
      </c>
      <c r="B800" s="1" t="s">
        <v>9513</v>
      </c>
      <c r="C800" s="1" t="s">
        <v>9100</v>
      </c>
      <c r="D800" s="1" t="s">
        <v>2535</v>
      </c>
      <c r="E800" s="1" t="s">
        <v>2538</v>
      </c>
      <c r="F800" s="1" t="s">
        <v>1557</v>
      </c>
      <c r="G800" s="1" t="s">
        <v>1558</v>
      </c>
      <c r="H800" s="1" t="str">
        <f t="shared" si="48"/>
        <v>CPU</v>
      </c>
      <c r="I800" s="1" t="str">
        <f t="shared" si="49"/>
        <v>温度高于临界阈值: &gt;{$TEMP_CRIT: "CPU"}</v>
      </c>
      <c r="J800" s="1" t="str">
        <f t="shared" si="50"/>
        <v>CPU: 温度高于临界阈值: &gt;{$TEMP_CRIT: "CPU"}</v>
      </c>
      <c r="K800" s="1" t="str">
        <f t="shared" si="51"/>
        <v>Temperature is above critical threshold: &gt;{$TEMP_CRIT:"CPU"}</v>
      </c>
    </row>
    <row r="801" spans="1:11">
      <c r="A801" s="1">
        <v>1953</v>
      </c>
      <c r="B801" s="1" t="s">
        <v>9513</v>
      </c>
      <c r="C801" s="1" t="s">
        <v>9102</v>
      </c>
      <c r="D801" s="1" t="s">
        <v>2535</v>
      </c>
      <c r="E801" s="1" t="s">
        <v>2540</v>
      </c>
      <c r="F801" s="1" t="s">
        <v>1553</v>
      </c>
      <c r="G801" s="1" t="s">
        <v>1554</v>
      </c>
      <c r="H801" s="1" t="str">
        <f t="shared" si="48"/>
        <v>CPU</v>
      </c>
      <c r="I801" s="1" t="str">
        <f t="shared" si="49"/>
        <v>温度高于告警阈值: &gt;{$TEMP_WARN: "CPU"}</v>
      </c>
      <c r="J801" s="1" t="str">
        <f t="shared" si="50"/>
        <v>CPU: 温度高于告警阈值: &gt;{$TEMP_WARN: "CPU"}</v>
      </c>
      <c r="K801" s="1" t="str">
        <f t="shared" si="51"/>
        <v>Temperature is above warning threshold: &gt;{$TEMP_WARN:"CPU"}</v>
      </c>
    </row>
    <row r="802" spans="1:11">
      <c r="A802" s="1">
        <v>1954</v>
      </c>
      <c r="B802" s="1" t="s">
        <v>9513</v>
      </c>
      <c r="C802" s="1" t="s">
        <v>9104</v>
      </c>
      <c r="D802" s="1" t="s">
        <v>2535</v>
      </c>
      <c r="E802" s="1" t="s">
        <v>2542</v>
      </c>
      <c r="F802" s="1" t="s">
        <v>1561</v>
      </c>
      <c r="G802" s="1" t="s">
        <v>1562</v>
      </c>
      <c r="H802" s="1" t="str">
        <f t="shared" si="48"/>
        <v>CPU</v>
      </c>
      <c r="I802" s="1" t="str">
        <f t="shared" si="49"/>
        <v>温度太低: &lt;{$TEMP_CRIT_LOW: "CPU"}</v>
      </c>
      <c r="J802" s="1" t="str">
        <f t="shared" si="50"/>
        <v>CPU: 温度太低: &lt;{$TEMP_CRIT_LOW: "CPU"}</v>
      </c>
      <c r="K802" s="1" t="str">
        <f t="shared" si="51"/>
        <v>Temperature is too low: &lt;{$TEMP_CRIT_LOW:"CPU"}</v>
      </c>
    </row>
    <row r="803" spans="1:11">
      <c r="A803" s="1">
        <v>1955</v>
      </c>
      <c r="B803" s="1" t="s">
        <v>9513</v>
      </c>
      <c r="C803" s="1" t="s">
        <v>9106</v>
      </c>
      <c r="D803" s="1" t="s">
        <v>2535</v>
      </c>
      <c r="E803" s="1" t="s">
        <v>2544</v>
      </c>
      <c r="F803" s="1" t="s">
        <v>2033</v>
      </c>
      <c r="G803" s="1" t="s">
        <v>2034</v>
      </c>
      <c r="H803" s="1" t="str">
        <f t="shared" si="48"/>
        <v>Device</v>
      </c>
      <c r="I803" s="1" t="str">
        <f t="shared" si="49"/>
        <v>温度高于临界阈值: &gt;{$TEMP_CRIT: "Device"}</v>
      </c>
      <c r="J803" s="1" t="str">
        <f t="shared" si="50"/>
        <v>Device: 温度高于临界阈值: &gt;{$TEMP_CRIT: "Device"}</v>
      </c>
      <c r="K803" s="1" t="str">
        <f t="shared" si="51"/>
        <v>Temperature is above critical threshold: &gt;{$TEMP_CRIT:"Device"}</v>
      </c>
    </row>
    <row r="804" spans="1:11">
      <c r="A804" s="1">
        <v>1956</v>
      </c>
      <c r="B804" s="1" t="s">
        <v>9513</v>
      </c>
      <c r="C804" s="1" t="s">
        <v>9108</v>
      </c>
      <c r="D804" s="1" t="s">
        <v>2535</v>
      </c>
      <c r="E804" s="1" t="s">
        <v>2546</v>
      </c>
      <c r="F804" s="1" t="s">
        <v>2037</v>
      </c>
      <c r="G804" s="1" t="s">
        <v>2038</v>
      </c>
      <c r="H804" s="1" t="str">
        <f t="shared" si="48"/>
        <v>Device</v>
      </c>
      <c r="I804" s="1" t="str">
        <f t="shared" si="49"/>
        <v>温度高于告警阈值: &gt;{$TEMP_WARN: "Device"}</v>
      </c>
      <c r="J804" s="1" t="str">
        <f t="shared" si="50"/>
        <v>Device: 温度高于告警阈值: &gt;{$TEMP_WARN: "Device"}</v>
      </c>
      <c r="K804" s="1" t="str">
        <f t="shared" si="51"/>
        <v>Temperature is above warning threshold: &gt;{$TEMP_WARN:"Device"}</v>
      </c>
    </row>
    <row r="805" spans="1:11">
      <c r="A805" s="1">
        <v>1957</v>
      </c>
      <c r="B805" s="1" t="s">
        <v>9513</v>
      </c>
      <c r="C805" s="1" t="s">
        <v>9110</v>
      </c>
      <c r="D805" s="1" t="s">
        <v>2535</v>
      </c>
      <c r="E805" s="1" t="s">
        <v>2548</v>
      </c>
      <c r="F805" s="1" t="s">
        <v>2041</v>
      </c>
      <c r="G805" s="1" t="s">
        <v>2042</v>
      </c>
      <c r="H805" s="1" t="str">
        <f t="shared" si="48"/>
        <v>Device</v>
      </c>
      <c r="I805" s="1" t="str">
        <f t="shared" si="49"/>
        <v>温度太低: &lt;{$TEMP_CRIT_LOW: "Device"}</v>
      </c>
      <c r="J805" s="1" t="str">
        <f t="shared" si="50"/>
        <v>Device: 温度太低: &lt;{$TEMP_CRIT_LOW: "Device"}</v>
      </c>
      <c r="K805" s="1" t="str">
        <f t="shared" si="51"/>
        <v>Temperature is too low: &lt;{$TEMP_CRIT_LOW:"Device"}</v>
      </c>
    </row>
    <row r="806" spans="1:11">
      <c r="A806" s="1">
        <v>1958</v>
      </c>
      <c r="B806" s="1" t="s">
        <v>9513</v>
      </c>
      <c r="C806" s="1" t="s">
        <v>9112</v>
      </c>
      <c r="D806" s="1" t="s">
        <v>2535</v>
      </c>
      <c r="E806" s="1" t="s">
        <v>2550</v>
      </c>
      <c r="F806" s="1" t="s">
        <v>2045</v>
      </c>
      <c r="G806" s="1" t="s">
        <v>2046</v>
      </c>
      <c r="H806" s="1" t="str">
        <f t="shared" si="48"/>
        <v/>
      </c>
      <c r="I806" s="1" t="str">
        <f t="shared" si="49"/>
        <v/>
      </c>
      <c r="J806" s="1" t="str">
        <f t="shared" si="50"/>
        <v>Disk-{#SNMPINDEX}: 磁盘空间严重不足(已使用率&gt;{$VFS.FS.PUSED.MAX.CRIT: "Disk-{#SNMPINDEX}"}%)</v>
      </c>
      <c r="K806" s="1" t="str">
        <f t="shared" si="51"/>
        <v/>
      </c>
    </row>
    <row r="807" spans="1:11">
      <c r="A807" s="1">
        <v>1959</v>
      </c>
      <c r="B807" s="1" t="s">
        <v>9513</v>
      </c>
      <c r="C807" s="1" t="s">
        <v>9114</v>
      </c>
      <c r="D807" s="1" t="s">
        <v>2535</v>
      </c>
      <c r="E807" s="1" t="s">
        <v>2552</v>
      </c>
      <c r="F807" s="1" t="s">
        <v>2049</v>
      </c>
      <c r="G807" s="1" t="s">
        <v>2050</v>
      </c>
      <c r="H807" s="1" t="str">
        <f t="shared" si="48"/>
        <v/>
      </c>
      <c r="I807" s="1" t="str">
        <f t="shared" si="49"/>
        <v/>
      </c>
      <c r="J807" s="1" t="str">
        <f t="shared" si="50"/>
        <v>Disk-{#SNMPINDEX}: 磁盘空间不足(已使用率&gt;{$VFS.FS.PUSED.MAX.WARN: "Disk-{#SNMPINDEX}"}%)</v>
      </c>
      <c r="K807" s="1" t="str">
        <f t="shared" si="51"/>
        <v/>
      </c>
    </row>
    <row r="808" spans="1:11">
      <c r="A808" s="1">
        <v>1961</v>
      </c>
      <c r="B808" s="1" t="s">
        <v>9513</v>
      </c>
      <c r="C808" s="1" t="s">
        <v>9117</v>
      </c>
      <c r="D808" s="1" t="s">
        <v>2535</v>
      </c>
      <c r="E808" s="1" t="s">
        <v>2554</v>
      </c>
      <c r="F808" s="1" t="s">
        <v>161</v>
      </c>
      <c r="G808" s="1" t="s">
        <v>162</v>
      </c>
      <c r="H808" s="1" t="str">
        <f t="shared" si="48"/>
        <v/>
      </c>
      <c r="I808" s="1" t="str">
        <f t="shared" si="49"/>
        <v/>
      </c>
      <c r="J808" s="1" t="str">
        <f t="shared" si="50"/>
        <v>接口{#IFNAME}({#IFALIAS}): 带宽使用率太高(&gt;{$IF.UTIL.MAX: "{#IFNAME}"}%)</v>
      </c>
      <c r="K808" s="1" t="str">
        <f t="shared" si="51"/>
        <v/>
      </c>
    </row>
    <row r="809" spans="1:11">
      <c r="A809" s="1">
        <v>1962</v>
      </c>
      <c r="B809" s="1" t="s">
        <v>9513</v>
      </c>
      <c r="C809" s="1" t="s">
        <v>9119</v>
      </c>
      <c r="D809" s="1" t="s">
        <v>2535</v>
      </c>
      <c r="E809" s="1" t="s">
        <v>2556</v>
      </c>
      <c r="F809" s="1" t="s">
        <v>165</v>
      </c>
      <c r="G809" s="1" t="s">
        <v>166</v>
      </c>
      <c r="H809" s="1" t="str">
        <f t="shared" si="48"/>
        <v/>
      </c>
      <c r="I809" s="1" t="str">
        <f t="shared" si="49"/>
        <v/>
      </c>
      <c r="J809" s="1" t="str">
        <f t="shared" si="50"/>
        <v>接口{#IFNAME}({#IFALIAS}): 错误率太高(&gt;{$IF.ERRORS.WARN: "{#IFNAME}"}达5分钟)</v>
      </c>
      <c r="K809" s="1" t="str">
        <f t="shared" si="51"/>
        <v/>
      </c>
    </row>
    <row r="810" spans="1:11">
      <c r="A810" s="1">
        <v>1964</v>
      </c>
      <c r="B810" s="1" t="s">
        <v>9513</v>
      </c>
      <c r="C810" s="1" t="s">
        <v>9121</v>
      </c>
      <c r="D810" s="1" t="s">
        <v>2535</v>
      </c>
      <c r="E810" s="1" t="s">
        <v>2558</v>
      </c>
      <c r="F810" s="1" t="s">
        <v>2057</v>
      </c>
      <c r="G810" s="1" t="s">
        <v>2058</v>
      </c>
      <c r="H810" s="1" t="str">
        <f t="shared" si="48"/>
        <v/>
      </c>
      <c r="I810" s="1" t="str">
        <f t="shared" si="49"/>
        <v/>
      </c>
      <c r="J810" s="1" t="str">
        <f t="shared" si="50"/>
        <v>接口{#IFNAME}({#IFALIAS}): LTE调制解调器RSRP低(低于{$LTEMODEM.RSRP.MIN.WARN}dbm5分钟)</v>
      </c>
      <c r="K810" s="1" t="str">
        <f t="shared" si="51"/>
        <v/>
      </c>
    </row>
    <row r="811" spans="1:11">
      <c r="A811" s="1">
        <v>1965</v>
      </c>
      <c r="B811" s="1" t="s">
        <v>9513</v>
      </c>
      <c r="C811" s="1" t="s">
        <v>9122</v>
      </c>
      <c r="D811" s="1" t="s">
        <v>2535</v>
      </c>
      <c r="E811" s="1" t="s">
        <v>2560</v>
      </c>
      <c r="F811" s="1" t="s">
        <v>2061</v>
      </c>
      <c r="G811" s="1" t="s">
        <v>2062</v>
      </c>
      <c r="H811" s="1" t="str">
        <f t="shared" si="48"/>
        <v/>
      </c>
      <c r="I811" s="1" t="str">
        <f t="shared" si="49"/>
        <v/>
      </c>
      <c r="J811" s="1" t="str">
        <f t="shared" si="50"/>
        <v>接口{#IFNAME}({#IFALIAS}): LTE调制解调器RSRQ低(低于{$LTEMODEM.RSRQ.MIN.WARN}db5分钟)</v>
      </c>
      <c r="K811" s="1" t="str">
        <f t="shared" si="51"/>
        <v/>
      </c>
    </row>
    <row r="812" spans="1:11">
      <c r="A812" s="1">
        <v>1966</v>
      </c>
      <c r="B812" s="1" t="s">
        <v>9513</v>
      </c>
      <c r="C812" s="1" t="s">
        <v>9123</v>
      </c>
      <c r="D812" s="1" t="s">
        <v>2535</v>
      </c>
      <c r="E812" s="1" t="s">
        <v>2562</v>
      </c>
      <c r="F812" s="1" t="s">
        <v>2065</v>
      </c>
      <c r="G812" s="1" t="s">
        <v>2058</v>
      </c>
      <c r="H812" s="1" t="str">
        <f t="shared" si="48"/>
        <v/>
      </c>
      <c r="I812" s="1" t="str">
        <f t="shared" si="49"/>
        <v/>
      </c>
      <c r="J812" s="1" t="str">
        <f t="shared" si="50"/>
        <v>接口{#IFNAME}({#IFALIAS}): LTE调制解调器RSRP低(低于{$LTEMODEM.RSRP.MIN.WARN}dbm5分钟)</v>
      </c>
      <c r="K812" s="1" t="str">
        <f t="shared" si="51"/>
        <v/>
      </c>
    </row>
    <row r="813" spans="1:11">
      <c r="A813" s="1">
        <v>1967</v>
      </c>
      <c r="B813" s="1" t="s">
        <v>9513</v>
      </c>
      <c r="C813" s="1" t="s">
        <v>9124</v>
      </c>
      <c r="D813" s="1" t="s">
        <v>2535</v>
      </c>
      <c r="E813" s="1" t="s">
        <v>2564</v>
      </c>
      <c r="F813" s="1" t="s">
        <v>2068</v>
      </c>
      <c r="G813" s="1" t="s">
        <v>2062</v>
      </c>
      <c r="H813" s="1" t="str">
        <f t="shared" si="48"/>
        <v/>
      </c>
      <c r="I813" s="1" t="str">
        <f t="shared" si="49"/>
        <v/>
      </c>
      <c r="J813" s="1" t="str">
        <f t="shared" si="50"/>
        <v>接口{#IFNAME}({#IFALIAS}): LTE调制解调器RSRQ低(低于{$LTEMODEM.RSRQ.MIN.WARN}db5分钟)</v>
      </c>
      <c r="K813" s="1" t="str">
        <f t="shared" si="51"/>
        <v/>
      </c>
    </row>
    <row r="814" spans="1:11">
      <c r="A814" s="1">
        <v>1969</v>
      </c>
      <c r="B814" s="1" t="s">
        <v>9514</v>
      </c>
      <c r="C814" s="1" t="s">
        <v>9098</v>
      </c>
      <c r="D814" s="1" t="s">
        <v>2566</v>
      </c>
      <c r="E814" s="1" t="s">
        <v>2567</v>
      </c>
      <c r="F814" s="1" t="s">
        <v>541</v>
      </c>
      <c r="G814" s="1" t="s">
        <v>542</v>
      </c>
      <c r="H814" s="1" t="str">
        <f t="shared" si="48"/>
        <v/>
      </c>
      <c r="I814" s="1" t="str">
        <f t="shared" si="49"/>
        <v/>
      </c>
      <c r="J814" s="1" t="str">
        <f t="shared" si="50"/>
        <v>#{#SNMPINDEX}: CPU使用率高了(超过{$CPU.UTIL.CRIT}%达5分钟)</v>
      </c>
      <c r="K814" s="1" t="str">
        <f t="shared" si="51"/>
        <v/>
      </c>
    </row>
    <row r="815" spans="1:11">
      <c r="A815" s="1">
        <v>1970</v>
      </c>
      <c r="B815" s="1" t="s">
        <v>9514</v>
      </c>
      <c r="C815" s="1" t="s">
        <v>9100</v>
      </c>
      <c r="D815" s="1" t="s">
        <v>2566</v>
      </c>
      <c r="E815" s="1" t="s">
        <v>2569</v>
      </c>
      <c r="F815" s="1" t="s">
        <v>1557</v>
      </c>
      <c r="G815" s="1" t="s">
        <v>1558</v>
      </c>
      <c r="H815" s="1" t="str">
        <f t="shared" si="48"/>
        <v>CPU</v>
      </c>
      <c r="I815" s="1" t="str">
        <f t="shared" si="49"/>
        <v>温度高于临界阈值: &gt;{$TEMP_CRIT: "CPU"}</v>
      </c>
      <c r="J815" s="1" t="str">
        <f t="shared" si="50"/>
        <v>CPU: 温度高于临界阈值: &gt;{$TEMP_CRIT: "CPU"}</v>
      </c>
      <c r="K815" s="1" t="str">
        <f t="shared" si="51"/>
        <v>Temperature is above critical threshold: &gt;{$TEMP_CRIT:"CPU"}</v>
      </c>
    </row>
    <row r="816" spans="1:11">
      <c r="A816" s="1">
        <v>1971</v>
      </c>
      <c r="B816" s="1" t="s">
        <v>9514</v>
      </c>
      <c r="C816" s="1" t="s">
        <v>9102</v>
      </c>
      <c r="D816" s="1" t="s">
        <v>2566</v>
      </c>
      <c r="E816" s="1" t="s">
        <v>2571</v>
      </c>
      <c r="F816" s="1" t="s">
        <v>1553</v>
      </c>
      <c r="G816" s="1" t="s">
        <v>1554</v>
      </c>
      <c r="H816" s="1" t="str">
        <f t="shared" si="48"/>
        <v>CPU</v>
      </c>
      <c r="I816" s="1" t="str">
        <f t="shared" si="49"/>
        <v>温度高于告警阈值: &gt;{$TEMP_WARN: "CPU"}</v>
      </c>
      <c r="J816" s="1" t="str">
        <f t="shared" si="50"/>
        <v>CPU: 温度高于告警阈值: &gt;{$TEMP_WARN: "CPU"}</v>
      </c>
      <c r="K816" s="1" t="str">
        <f t="shared" si="51"/>
        <v>Temperature is above warning threshold: &gt;{$TEMP_WARN:"CPU"}</v>
      </c>
    </row>
    <row r="817" spans="1:11">
      <c r="A817" s="1">
        <v>1972</v>
      </c>
      <c r="B817" s="1" t="s">
        <v>9514</v>
      </c>
      <c r="C817" s="1" t="s">
        <v>9104</v>
      </c>
      <c r="D817" s="1" t="s">
        <v>2566</v>
      </c>
      <c r="E817" s="1" t="s">
        <v>2573</v>
      </c>
      <c r="F817" s="1" t="s">
        <v>1561</v>
      </c>
      <c r="G817" s="1" t="s">
        <v>1562</v>
      </c>
      <c r="H817" s="1" t="str">
        <f t="shared" si="48"/>
        <v>CPU</v>
      </c>
      <c r="I817" s="1" t="str">
        <f t="shared" si="49"/>
        <v>温度太低: &lt;{$TEMP_CRIT_LOW: "CPU"}</v>
      </c>
      <c r="J817" s="1" t="str">
        <f t="shared" si="50"/>
        <v>CPU: 温度太低: &lt;{$TEMP_CRIT_LOW: "CPU"}</v>
      </c>
      <c r="K817" s="1" t="str">
        <f t="shared" si="51"/>
        <v>Temperature is too low: &lt;{$TEMP_CRIT_LOW:"CPU"}</v>
      </c>
    </row>
    <row r="818" spans="1:11">
      <c r="A818" s="1">
        <v>1973</v>
      </c>
      <c r="B818" s="1" t="s">
        <v>9514</v>
      </c>
      <c r="C818" s="1" t="s">
        <v>9106</v>
      </c>
      <c r="D818" s="1" t="s">
        <v>2566</v>
      </c>
      <c r="E818" s="1" t="s">
        <v>2575</v>
      </c>
      <c r="F818" s="1" t="s">
        <v>2033</v>
      </c>
      <c r="G818" s="1" t="s">
        <v>2034</v>
      </c>
      <c r="H818" s="1" t="str">
        <f t="shared" si="48"/>
        <v>Device</v>
      </c>
      <c r="I818" s="1" t="str">
        <f t="shared" si="49"/>
        <v>温度高于临界阈值: &gt;{$TEMP_CRIT: "Device"}</v>
      </c>
      <c r="J818" s="1" t="str">
        <f t="shared" si="50"/>
        <v>Device: 温度高于临界阈值: &gt;{$TEMP_CRIT: "Device"}</v>
      </c>
      <c r="K818" s="1" t="str">
        <f t="shared" si="51"/>
        <v>Temperature is above critical threshold: &gt;{$TEMP_CRIT:"Device"}</v>
      </c>
    </row>
    <row r="819" spans="1:11">
      <c r="A819" s="1">
        <v>1974</v>
      </c>
      <c r="B819" s="1" t="s">
        <v>9514</v>
      </c>
      <c r="C819" s="1" t="s">
        <v>9108</v>
      </c>
      <c r="D819" s="1" t="s">
        <v>2566</v>
      </c>
      <c r="E819" s="1" t="s">
        <v>2577</v>
      </c>
      <c r="F819" s="1" t="s">
        <v>2037</v>
      </c>
      <c r="G819" s="1" t="s">
        <v>2038</v>
      </c>
      <c r="H819" s="1" t="str">
        <f t="shared" si="48"/>
        <v>Device</v>
      </c>
      <c r="I819" s="1" t="str">
        <f t="shared" si="49"/>
        <v>温度高于告警阈值: &gt;{$TEMP_WARN: "Device"}</v>
      </c>
      <c r="J819" s="1" t="str">
        <f t="shared" si="50"/>
        <v>Device: 温度高于告警阈值: &gt;{$TEMP_WARN: "Device"}</v>
      </c>
      <c r="K819" s="1" t="str">
        <f t="shared" si="51"/>
        <v>Temperature is above warning threshold: &gt;{$TEMP_WARN:"Device"}</v>
      </c>
    </row>
    <row r="820" spans="1:11">
      <c r="A820" s="1">
        <v>1975</v>
      </c>
      <c r="B820" s="1" t="s">
        <v>9514</v>
      </c>
      <c r="C820" s="1" t="s">
        <v>9110</v>
      </c>
      <c r="D820" s="1" t="s">
        <v>2566</v>
      </c>
      <c r="E820" s="1" t="s">
        <v>2579</v>
      </c>
      <c r="F820" s="1" t="s">
        <v>2041</v>
      </c>
      <c r="G820" s="1" t="s">
        <v>2042</v>
      </c>
      <c r="H820" s="1" t="str">
        <f t="shared" si="48"/>
        <v>Device</v>
      </c>
      <c r="I820" s="1" t="str">
        <f t="shared" si="49"/>
        <v>温度太低: &lt;{$TEMP_CRIT_LOW: "Device"}</v>
      </c>
      <c r="J820" s="1" t="str">
        <f t="shared" si="50"/>
        <v>Device: 温度太低: &lt;{$TEMP_CRIT_LOW: "Device"}</v>
      </c>
      <c r="K820" s="1" t="str">
        <f t="shared" si="51"/>
        <v>Temperature is too low: &lt;{$TEMP_CRIT_LOW:"Device"}</v>
      </c>
    </row>
    <row r="821" spans="1:11">
      <c r="A821" s="1">
        <v>1976</v>
      </c>
      <c r="B821" s="1" t="s">
        <v>9514</v>
      </c>
      <c r="C821" s="1" t="s">
        <v>9112</v>
      </c>
      <c r="D821" s="1" t="s">
        <v>2566</v>
      </c>
      <c r="E821" s="1" t="s">
        <v>2581</v>
      </c>
      <c r="F821" s="1" t="s">
        <v>2045</v>
      </c>
      <c r="G821" s="1" t="s">
        <v>2046</v>
      </c>
      <c r="H821" s="1" t="str">
        <f t="shared" si="48"/>
        <v/>
      </c>
      <c r="I821" s="1" t="str">
        <f t="shared" si="49"/>
        <v/>
      </c>
      <c r="J821" s="1" t="str">
        <f t="shared" si="50"/>
        <v>Disk-{#SNMPINDEX}: 磁盘空间严重不足(已使用率&gt;{$VFS.FS.PUSED.MAX.CRIT: "Disk-{#SNMPINDEX}"}%)</v>
      </c>
      <c r="K821" s="1" t="str">
        <f t="shared" si="51"/>
        <v/>
      </c>
    </row>
    <row r="822" spans="1:11">
      <c r="A822" s="1">
        <v>1977</v>
      </c>
      <c r="B822" s="1" t="s">
        <v>9514</v>
      </c>
      <c r="C822" s="1" t="s">
        <v>9114</v>
      </c>
      <c r="D822" s="1" t="s">
        <v>2566</v>
      </c>
      <c r="E822" s="1" t="s">
        <v>2583</v>
      </c>
      <c r="F822" s="1" t="s">
        <v>2049</v>
      </c>
      <c r="G822" s="1" t="s">
        <v>2050</v>
      </c>
      <c r="H822" s="1" t="str">
        <f t="shared" si="48"/>
        <v/>
      </c>
      <c r="I822" s="1" t="str">
        <f t="shared" si="49"/>
        <v/>
      </c>
      <c r="J822" s="1" t="str">
        <f t="shared" si="50"/>
        <v>Disk-{#SNMPINDEX}: 磁盘空间不足(已使用率&gt;{$VFS.FS.PUSED.MAX.WARN: "Disk-{#SNMPINDEX}"}%)</v>
      </c>
      <c r="K822" s="1" t="str">
        <f t="shared" si="51"/>
        <v/>
      </c>
    </row>
    <row r="823" spans="1:11">
      <c r="A823" s="1">
        <v>1979</v>
      </c>
      <c r="B823" s="1" t="s">
        <v>9514</v>
      </c>
      <c r="C823" s="1" t="s">
        <v>9117</v>
      </c>
      <c r="D823" s="1" t="s">
        <v>2566</v>
      </c>
      <c r="E823" s="1" t="s">
        <v>2585</v>
      </c>
      <c r="F823" s="1" t="s">
        <v>161</v>
      </c>
      <c r="G823" s="1" t="s">
        <v>162</v>
      </c>
      <c r="H823" s="1" t="str">
        <f t="shared" si="48"/>
        <v/>
      </c>
      <c r="I823" s="1" t="str">
        <f t="shared" si="49"/>
        <v/>
      </c>
      <c r="J823" s="1" t="str">
        <f t="shared" si="50"/>
        <v>接口{#IFNAME}({#IFALIAS}): 带宽使用率太高(&gt;{$IF.UTIL.MAX: "{#IFNAME}"}%)</v>
      </c>
      <c r="K823" s="1" t="str">
        <f t="shared" si="51"/>
        <v/>
      </c>
    </row>
    <row r="824" spans="1:11">
      <c r="A824" s="1">
        <v>1980</v>
      </c>
      <c r="B824" s="1" t="s">
        <v>9514</v>
      </c>
      <c r="C824" s="1" t="s">
        <v>9119</v>
      </c>
      <c r="D824" s="1" t="s">
        <v>2566</v>
      </c>
      <c r="E824" s="1" t="s">
        <v>2587</v>
      </c>
      <c r="F824" s="1" t="s">
        <v>165</v>
      </c>
      <c r="G824" s="1" t="s">
        <v>166</v>
      </c>
      <c r="H824" s="1" t="str">
        <f t="shared" si="48"/>
        <v/>
      </c>
      <c r="I824" s="1" t="str">
        <f t="shared" si="49"/>
        <v/>
      </c>
      <c r="J824" s="1" t="str">
        <f t="shared" si="50"/>
        <v>接口{#IFNAME}({#IFALIAS}): 错误率太高(&gt;{$IF.ERRORS.WARN: "{#IFNAME}"}达5分钟)</v>
      </c>
      <c r="K824" s="1" t="str">
        <f t="shared" si="51"/>
        <v/>
      </c>
    </row>
    <row r="825" spans="1:11">
      <c r="A825" s="1">
        <v>1982</v>
      </c>
      <c r="B825" s="1" t="s">
        <v>9514</v>
      </c>
      <c r="C825" s="1" t="s">
        <v>9121</v>
      </c>
      <c r="D825" s="1" t="s">
        <v>2566</v>
      </c>
      <c r="E825" s="1" t="s">
        <v>2589</v>
      </c>
      <c r="F825" s="1" t="s">
        <v>2057</v>
      </c>
      <c r="G825" s="1" t="s">
        <v>2058</v>
      </c>
      <c r="H825" s="1" t="str">
        <f t="shared" si="48"/>
        <v/>
      </c>
      <c r="I825" s="1" t="str">
        <f t="shared" si="49"/>
        <v/>
      </c>
      <c r="J825" s="1" t="str">
        <f t="shared" si="50"/>
        <v>接口{#IFNAME}({#IFALIAS}): LTE调制解调器RSRP低(低于{$LTEMODEM.RSRP.MIN.WARN}dbm5分钟)</v>
      </c>
      <c r="K825" s="1" t="str">
        <f t="shared" si="51"/>
        <v/>
      </c>
    </row>
    <row r="826" spans="1:11">
      <c r="A826" s="1">
        <v>1983</v>
      </c>
      <c r="B826" s="1" t="s">
        <v>9514</v>
      </c>
      <c r="C826" s="1" t="s">
        <v>9122</v>
      </c>
      <c r="D826" s="1" t="s">
        <v>2566</v>
      </c>
      <c r="E826" s="1" t="s">
        <v>2591</v>
      </c>
      <c r="F826" s="1" t="s">
        <v>2061</v>
      </c>
      <c r="G826" s="1" t="s">
        <v>2062</v>
      </c>
      <c r="H826" s="1" t="str">
        <f t="shared" si="48"/>
        <v/>
      </c>
      <c r="I826" s="1" t="str">
        <f t="shared" si="49"/>
        <v/>
      </c>
      <c r="J826" s="1" t="str">
        <f t="shared" si="50"/>
        <v>接口{#IFNAME}({#IFALIAS}): LTE调制解调器RSRQ低(低于{$LTEMODEM.RSRQ.MIN.WARN}db5分钟)</v>
      </c>
      <c r="K826" s="1" t="str">
        <f t="shared" si="51"/>
        <v/>
      </c>
    </row>
    <row r="827" spans="1:11">
      <c r="A827" s="1">
        <v>1984</v>
      </c>
      <c r="B827" s="1" t="s">
        <v>9514</v>
      </c>
      <c r="C827" s="1" t="s">
        <v>9123</v>
      </c>
      <c r="D827" s="1" t="s">
        <v>2566</v>
      </c>
      <c r="E827" s="1" t="s">
        <v>2593</v>
      </c>
      <c r="F827" s="1" t="s">
        <v>2065</v>
      </c>
      <c r="G827" s="1" t="s">
        <v>2058</v>
      </c>
      <c r="H827" s="1" t="str">
        <f t="shared" si="48"/>
        <v/>
      </c>
      <c r="I827" s="1" t="str">
        <f t="shared" si="49"/>
        <v/>
      </c>
      <c r="J827" s="1" t="str">
        <f t="shared" si="50"/>
        <v>接口{#IFNAME}({#IFALIAS}): LTE调制解调器RSRP低(低于{$LTEMODEM.RSRP.MIN.WARN}dbm5分钟)</v>
      </c>
      <c r="K827" s="1" t="str">
        <f t="shared" si="51"/>
        <v/>
      </c>
    </row>
    <row r="828" spans="1:11">
      <c r="A828" s="1">
        <v>1985</v>
      </c>
      <c r="B828" s="1" t="s">
        <v>9514</v>
      </c>
      <c r="C828" s="1" t="s">
        <v>9124</v>
      </c>
      <c r="D828" s="1" t="s">
        <v>2566</v>
      </c>
      <c r="E828" s="1" t="s">
        <v>2595</v>
      </c>
      <c r="F828" s="1" t="s">
        <v>2068</v>
      </c>
      <c r="G828" s="1" t="s">
        <v>2062</v>
      </c>
      <c r="H828" s="1" t="str">
        <f t="shared" si="48"/>
        <v/>
      </c>
      <c r="I828" s="1" t="str">
        <f t="shared" si="49"/>
        <v/>
      </c>
      <c r="J828" s="1" t="str">
        <f t="shared" si="50"/>
        <v>接口{#IFNAME}({#IFALIAS}): LTE调制解调器RSRQ低(低于{$LTEMODEM.RSRQ.MIN.WARN}db5分钟)</v>
      </c>
      <c r="K828" s="1" t="str">
        <f t="shared" si="51"/>
        <v/>
      </c>
    </row>
    <row r="829" spans="1:11">
      <c r="A829" s="1">
        <v>1987</v>
      </c>
      <c r="B829" s="1" t="s">
        <v>9515</v>
      </c>
      <c r="C829" s="1" t="s">
        <v>9098</v>
      </c>
      <c r="D829" s="1" t="s">
        <v>2597</v>
      </c>
      <c r="E829" s="1" t="s">
        <v>2598</v>
      </c>
      <c r="F829" s="1" t="s">
        <v>541</v>
      </c>
      <c r="G829" s="1" t="s">
        <v>542</v>
      </c>
      <c r="H829" s="1" t="str">
        <f t="shared" si="48"/>
        <v/>
      </c>
      <c r="I829" s="1" t="str">
        <f t="shared" si="49"/>
        <v/>
      </c>
      <c r="J829" s="1" t="str">
        <f t="shared" si="50"/>
        <v>#{#SNMPINDEX}: CPU使用率高了(超过{$CPU.UTIL.CRIT}%达5分钟)</v>
      </c>
      <c r="K829" s="1" t="str">
        <f t="shared" si="51"/>
        <v/>
      </c>
    </row>
    <row r="830" spans="1:11">
      <c r="A830" s="1">
        <v>1988</v>
      </c>
      <c r="B830" s="1" t="s">
        <v>9515</v>
      </c>
      <c r="C830" s="1" t="s">
        <v>9100</v>
      </c>
      <c r="D830" s="1" t="s">
        <v>2597</v>
      </c>
      <c r="E830" s="1" t="s">
        <v>2600</v>
      </c>
      <c r="F830" s="1" t="s">
        <v>1557</v>
      </c>
      <c r="G830" s="1" t="s">
        <v>1558</v>
      </c>
      <c r="H830" s="1" t="str">
        <f t="shared" si="48"/>
        <v>CPU</v>
      </c>
      <c r="I830" s="1" t="str">
        <f t="shared" si="49"/>
        <v>温度高于临界阈值: &gt;{$TEMP_CRIT: "CPU"}</v>
      </c>
      <c r="J830" s="1" t="str">
        <f t="shared" si="50"/>
        <v>CPU: 温度高于临界阈值: &gt;{$TEMP_CRIT: "CPU"}</v>
      </c>
      <c r="K830" s="1" t="str">
        <f t="shared" si="51"/>
        <v>Temperature is above critical threshold: &gt;{$TEMP_CRIT:"CPU"}</v>
      </c>
    </row>
    <row r="831" spans="1:11">
      <c r="A831" s="1">
        <v>1989</v>
      </c>
      <c r="B831" s="1" t="s">
        <v>9515</v>
      </c>
      <c r="C831" s="1" t="s">
        <v>9102</v>
      </c>
      <c r="D831" s="1" t="s">
        <v>2597</v>
      </c>
      <c r="E831" s="1" t="s">
        <v>2602</v>
      </c>
      <c r="F831" s="1" t="s">
        <v>1553</v>
      </c>
      <c r="G831" s="1" t="s">
        <v>1554</v>
      </c>
      <c r="H831" s="1" t="str">
        <f t="shared" si="48"/>
        <v>CPU</v>
      </c>
      <c r="I831" s="1" t="str">
        <f t="shared" si="49"/>
        <v>温度高于告警阈值: &gt;{$TEMP_WARN: "CPU"}</v>
      </c>
      <c r="J831" s="1" t="str">
        <f t="shared" si="50"/>
        <v>CPU: 温度高于告警阈值: &gt;{$TEMP_WARN: "CPU"}</v>
      </c>
      <c r="K831" s="1" t="str">
        <f t="shared" si="51"/>
        <v>Temperature is above warning threshold: &gt;{$TEMP_WARN:"CPU"}</v>
      </c>
    </row>
    <row r="832" spans="1:11">
      <c r="A832" s="1">
        <v>1990</v>
      </c>
      <c r="B832" s="1" t="s">
        <v>9515</v>
      </c>
      <c r="C832" s="1" t="s">
        <v>9104</v>
      </c>
      <c r="D832" s="1" t="s">
        <v>2597</v>
      </c>
      <c r="E832" s="1" t="s">
        <v>2604</v>
      </c>
      <c r="F832" s="1" t="s">
        <v>1561</v>
      </c>
      <c r="G832" s="1" t="s">
        <v>1562</v>
      </c>
      <c r="H832" s="1" t="str">
        <f t="shared" si="48"/>
        <v>CPU</v>
      </c>
      <c r="I832" s="1" t="str">
        <f t="shared" si="49"/>
        <v>温度太低: &lt;{$TEMP_CRIT_LOW: "CPU"}</v>
      </c>
      <c r="J832" s="1" t="str">
        <f t="shared" si="50"/>
        <v>CPU: 温度太低: &lt;{$TEMP_CRIT_LOW: "CPU"}</v>
      </c>
      <c r="K832" s="1" t="str">
        <f t="shared" si="51"/>
        <v>Temperature is too low: &lt;{$TEMP_CRIT_LOW:"CPU"}</v>
      </c>
    </row>
    <row r="833" spans="1:11">
      <c r="A833" s="1">
        <v>1991</v>
      </c>
      <c r="B833" s="1" t="s">
        <v>9515</v>
      </c>
      <c r="C833" s="1" t="s">
        <v>9106</v>
      </c>
      <c r="D833" s="1" t="s">
        <v>2597</v>
      </c>
      <c r="E833" s="1" t="s">
        <v>2606</v>
      </c>
      <c r="F833" s="1" t="s">
        <v>2033</v>
      </c>
      <c r="G833" s="1" t="s">
        <v>2034</v>
      </c>
      <c r="H833" s="1" t="str">
        <f t="shared" si="48"/>
        <v>Device</v>
      </c>
      <c r="I833" s="1" t="str">
        <f t="shared" si="49"/>
        <v>温度高于临界阈值: &gt;{$TEMP_CRIT: "Device"}</v>
      </c>
      <c r="J833" s="1" t="str">
        <f t="shared" si="50"/>
        <v>Device: 温度高于临界阈值: &gt;{$TEMP_CRIT: "Device"}</v>
      </c>
      <c r="K833" s="1" t="str">
        <f t="shared" si="51"/>
        <v>Temperature is above critical threshold: &gt;{$TEMP_CRIT:"Device"}</v>
      </c>
    </row>
    <row r="834" spans="1:11">
      <c r="A834" s="1">
        <v>1992</v>
      </c>
      <c r="B834" s="1" t="s">
        <v>9515</v>
      </c>
      <c r="C834" s="1" t="s">
        <v>9108</v>
      </c>
      <c r="D834" s="1" t="s">
        <v>2597</v>
      </c>
      <c r="E834" s="1" t="s">
        <v>2608</v>
      </c>
      <c r="F834" s="1" t="s">
        <v>2037</v>
      </c>
      <c r="G834" s="1" t="s">
        <v>2038</v>
      </c>
      <c r="H834" s="1" t="str">
        <f t="shared" ref="H834:H897" si="52">IFERROR(IF(OR(MID(G834,FIND(":",G834)-1,1)="""",MID(G834,FIND(":",G834)-1,1)="}",MID(G834,FIND(":",G834)-1,1)=")",MID(G834,FIND(":",G834)-1,1)="]"),"",LEFT(F834,FIND(":",F834)-1)),"")</f>
        <v>Device</v>
      </c>
      <c r="I834" s="1" t="str">
        <f t="shared" ref="I834:I897" si="53">IFERROR(IF(OR(MID(G834,FIND(":",G834)-1,1)="""",MID(G834,FIND(":",G834)-1,1)="}",MID(G834,FIND(":",G834)-1,1)=")",MID(G834,FIND(":",G834)-1,1)="]"),"",RIGHT(G834,LEN(G834)-FIND(":",G834)-1)),"")</f>
        <v>温度高于告警阈值: &gt;{$TEMP_WARN: "Device"}</v>
      </c>
      <c r="J834" s="1" t="str">
        <f t="shared" ref="J834:J897" si="54">IF(AND(I834="",H834=""),G834,H834&amp;": "&amp;I834)</f>
        <v>Device: 温度高于告警阈值: &gt;{$TEMP_WARN: "Device"}</v>
      </c>
      <c r="K834" s="1" t="str">
        <f t="shared" ref="K834:K897" si="55">IFERROR(IF(OR(MID(F834,FIND(":",F834)-1,1)="""",MID(F834,FIND(":",F834)-1,1)="}",MID(F834,FIND(":",F834)-1,1)=")",MID(F834,FIND(":",F834)-1,1)="]"),"",RIGHT(F834,LEN(F834)-FIND(":",F834)-1)),"")</f>
        <v>Temperature is above warning threshold: &gt;{$TEMP_WARN:"Device"}</v>
      </c>
    </row>
    <row r="835" spans="1:11">
      <c r="A835" s="1">
        <v>1993</v>
      </c>
      <c r="B835" s="1" t="s">
        <v>9515</v>
      </c>
      <c r="C835" s="1" t="s">
        <v>9110</v>
      </c>
      <c r="D835" s="1" t="s">
        <v>2597</v>
      </c>
      <c r="E835" s="1" t="s">
        <v>2610</v>
      </c>
      <c r="F835" s="1" t="s">
        <v>2041</v>
      </c>
      <c r="G835" s="1" t="s">
        <v>2042</v>
      </c>
      <c r="H835" s="1" t="str">
        <f t="shared" si="52"/>
        <v>Device</v>
      </c>
      <c r="I835" s="1" t="str">
        <f t="shared" si="53"/>
        <v>温度太低: &lt;{$TEMP_CRIT_LOW: "Device"}</v>
      </c>
      <c r="J835" s="1" t="str">
        <f t="shared" si="54"/>
        <v>Device: 温度太低: &lt;{$TEMP_CRIT_LOW: "Device"}</v>
      </c>
      <c r="K835" s="1" t="str">
        <f t="shared" si="55"/>
        <v>Temperature is too low: &lt;{$TEMP_CRIT_LOW:"Device"}</v>
      </c>
    </row>
    <row r="836" spans="1:11">
      <c r="A836" s="1">
        <v>1994</v>
      </c>
      <c r="B836" s="1" t="s">
        <v>9515</v>
      </c>
      <c r="C836" s="1" t="s">
        <v>9112</v>
      </c>
      <c r="D836" s="1" t="s">
        <v>2597</v>
      </c>
      <c r="E836" s="1" t="s">
        <v>2612</v>
      </c>
      <c r="F836" s="1" t="s">
        <v>2045</v>
      </c>
      <c r="G836" s="1" t="s">
        <v>2046</v>
      </c>
      <c r="H836" s="1" t="str">
        <f t="shared" si="52"/>
        <v/>
      </c>
      <c r="I836" s="1" t="str">
        <f t="shared" si="53"/>
        <v/>
      </c>
      <c r="J836" s="1" t="str">
        <f t="shared" si="54"/>
        <v>Disk-{#SNMPINDEX}: 磁盘空间严重不足(已使用率&gt;{$VFS.FS.PUSED.MAX.CRIT: "Disk-{#SNMPINDEX}"}%)</v>
      </c>
      <c r="K836" s="1" t="str">
        <f t="shared" si="55"/>
        <v/>
      </c>
    </row>
    <row r="837" spans="1:11">
      <c r="A837" s="1">
        <v>1995</v>
      </c>
      <c r="B837" s="1" t="s">
        <v>9515</v>
      </c>
      <c r="C837" s="1" t="s">
        <v>9114</v>
      </c>
      <c r="D837" s="1" t="s">
        <v>2597</v>
      </c>
      <c r="E837" s="1" t="s">
        <v>2614</v>
      </c>
      <c r="F837" s="1" t="s">
        <v>2049</v>
      </c>
      <c r="G837" s="1" t="s">
        <v>2050</v>
      </c>
      <c r="H837" s="1" t="str">
        <f t="shared" si="52"/>
        <v/>
      </c>
      <c r="I837" s="1" t="str">
        <f t="shared" si="53"/>
        <v/>
      </c>
      <c r="J837" s="1" t="str">
        <f t="shared" si="54"/>
        <v>Disk-{#SNMPINDEX}: 磁盘空间不足(已使用率&gt;{$VFS.FS.PUSED.MAX.WARN: "Disk-{#SNMPINDEX}"}%)</v>
      </c>
      <c r="K837" s="1" t="str">
        <f t="shared" si="55"/>
        <v/>
      </c>
    </row>
    <row r="838" spans="1:11">
      <c r="A838" s="1">
        <v>1997</v>
      </c>
      <c r="B838" s="1" t="s">
        <v>9515</v>
      </c>
      <c r="C838" s="1" t="s">
        <v>9117</v>
      </c>
      <c r="D838" s="1" t="s">
        <v>2597</v>
      </c>
      <c r="E838" s="1" t="s">
        <v>2616</v>
      </c>
      <c r="F838" s="1" t="s">
        <v>161</v>
      </c>
      <c r="G838" s="1" t="s">
        <v>162</v>
      </c>
      <c r="H838" s="1" t="str">
        <f t="shared" si="52"/>
        <v/>
      </c>
      <c r="I838" s="1" t="str">
        <f t="shared" si="53"/>
        <v/>
      </c>
      <c r="J838" s="1" t="str">
        <f t="shared" si="54"/>
        <v>接口{#IFNAME}({#IFALIAS}): 带宽使用率太高(&gt;{$IF.UTIL.MAX: "{#IFNAME}"}%)</v>
      </c>
      <c r="K838" s="1" t="str">
        <f t="shared" si="55"/>
        <v/>
      </c>
    </row>
    <row r="839" spans="1:11">
      <c r="A839" s="1">
        <v>1998</v>
      </c>
      <c r="B839" s="1" t="s">
        <v>9515</v>
      </c>
      <c r="C839" s="1" t="s">
        <v>9119</v>
      </c>
      <c r="D839" s="1" t="s">
        <v>2597</v>
      </c>
      <c r="E839" s="1" t="s">
        <v>2618</v>
      </c>
      <c r="F839" s="1" t="s">
        <v>165</v>
      </c>
      <c r="G839" s="1" t="s">
        <v>166</v>
      </c>
      <c r="H839" s="1" t="str">
        <f t="shared" si="52"/>
        <v/>
      </c>
      <c r="I839" s="1" t="str">
        <f t="shared" si="53"/>
        <v/>
      </c>
      <c r="J839" s="1" t="str">
        <f t="shared" si="54"/>
        <v>接口{#IFNAME}({#IFALIAS}): 错误率太高(&gt;{$IF.ERRORS.WARN: "{#IFNAME}"}达5分钟)</v>
      </c>
      <c r="K839" s="1" t="str">
        <f t="shared" si="55"/>
        <v/>
      </c>
    </row>
    <row r="840" spans="1:11">
      <c r="A840" s="1">
        <v>2000</v>
      </c>
      <c r="B840" s="1" t="s">
        <v>9515</v>
      </c>
      <c r="C840" s="1" t="s">
        <v>9121</v>
      </c>
      <c r="D840" s="1" t="s">
        <v>2597</v>
      </c>
      <c r="E840" s="1" t="s">
        <v>2620</v>
      </c>
      <c r="F840" s="1" t="s">
        <v>2057</v>
      </c>
      <c r="G840" s="1" t="s">
        <v>2058</v>
      </c>
      <c r="H840" s="1" t="str">
        <f t="shared" si="52"/>
        <v/>
      </c>
      <c r="I840" s="1" t="str">
        <f t="shared" si="53"/>
        <v/>
      </c>
      <c r="J840" s="1" t="str">
        <f t="shared" si="54"/>
        <v>接口{#IFNAME}({#IFALIAS}): LTE调制解调器RSRP低(低于{$LTEMODEM.RSRP.MIN.WARN}dbm5分钟)</v>
      </c>
      <c r="K840" s="1" t="str">
        <f t="shared" si="55"/>
        <v/>
      </c>
    </row>
    <row r="841" spans="1:11">
      <c r="A841" s="1">
        <v>2001</v>
      </c>
      <c r="B841" s="1" t="s">
        <v>9515</v>
      </c>
      <c r="C841" s="1" t="s">
        <v>9122</v>
      </c>
      <c r="D841" s="1" t="s">
        <v>2597</v>
      </c>
      <c r="E841" s="1" t="s">
        <v>2622</v>
      </c>
      <c r="F841" s="1" t="s">
        <v>2061</v>
      </c>
      <c r="G841" s="1" t="s">
        <v>2062</v>
      </c>
      <c r="H841" s="1" t="str">
        <f t="shared" si="52"/>
        <v/>
      </c>
      <c r="I841" s="1" t="str">
        <f t="shared" si="53"/>
        <v/>
      </c>
      <c r="J841" s="1" t="str">
        <f t="shared" si="54"/>
        <v>接口{#IFNAME}({#IFALIAS}): LTE调制解调器RSRQ低(低于{$LTEMODEM.RSRQ.MIN.WARN}db5分钟)</v>
      </c>
      <c r="K841" s="1" t="str">
        <f t="shared" si="55"/>
        <v/>
      </c>
    </row>
    <row r="842" spans="1:11">
      <c r="A842" s="1">
        <v>2002</v>
      </c>
      <c r="B842" s="1" t="s">
        <v>9515</v>
      </c>
      <c r="C842" s="1" t="s">
        <v>9123</v>
      </c>
      <c r="D842" s="1" t="s">
        <v>2597</v>
      </c>
      <c r="E842" s="1" t="s">
        <v>2624</v>
      </c>
      <c r="F842" s="1" t="s">
        <v>2065</v>
      </c>
      <c r="G842" s="1" t="s">
        <v>2058</v>
      </c>
      <c r="H842" s="1" t="str">
        <f t="shared" si="52"/>
        <v/>
      </c>
      <c r="I842" s="1" t="str">
        <f t="shared" si="53"/>
        <v/>
      </c>
      <c r="J842" s="1" t="str">
        <f t="shared" si="54"/>
        <v>接口{#IFNAME}({#IFALIAS}): LTE调制解调器RSRP低(低于{$LTEMODEM.RSRP.MIN.WARN}dbm5分钟)</v>
      </c>
      <c r="K842" s="1" t="str">
        <f t="shared" si="55"/>
        <v/>
      </c>
    </row>
    <row r="843" spans="1:11">
      <c r="A843" s="1">
        <v>2003</v>
      </c>
      <c r="B843" s="1" t="s">
        <v>9515</v>
      </c>
      <c r="C843" s="1" t="s">
        <v>9124</v>
      </c>
      <c r="D843" s="1" t="s">
        <v>2597</v>
      </c>
      <c r="E843" s="1" t="s">
        <v>2626</v>
      </c>
      <c r="F843" s="1" t="s">
        <v>2068</v>
      </c>
      <c r="G843" s="1" t="s">
        <v>2062</v>
      </c>
      <c r="H843" s="1" t="str">
        <f t="shared" si="52"/>
        <v/>
      </c>
      <c r="I843" s="1" t="str">
        <f t="shared" si="53"/>
        <v/>
      </c>
      <c r="J843" s="1" t="str">
        <f t="shared" si="54"/>
        <v>接口{#IFNAME}({#IFALIAS}): LTE调制解调器RSRQ低(低于{$LTEMODEM.RSRQ.MIN.WARN}db5分钟)</v>
      </c>
      <c r="K843" s="1" t="str">
        <f t="shared" si="55"/>
        <v/>
      </c>
    </row>
    <row r="844" spans="1:11">
      <c r="A844" s="1">
        <v>2005</v>
      </c>
      <c r="B844" s="1" t="s">
        <v>9516</v>
      </c>
      <c r="C844" s="1" t="s">
        <v>9098</v>
      </c>
      <c r="D844" s="1" t="s">
        <v>2628</v>
      </c>
      <c r="E844" s="1" t="s">
        <v>2629</v>
      </c>
      <c r="F844" s="1" t="s">
        <v>541</v>
      </c>
      <c r="G844" s="1" t="s">
        <v>542</v>
      </c>
      <c r="H844" s="1" t="str">
        <f t="shared" si="52"/>
        <v/>
      </c>
      <c r="I844" s="1" t="str">
        <f t="shared" si="53"/>
        <v/>
      </c>
      <c r="J844" s="1" t="str">
        <f t="shared" si="54"/>
        <v>#{#SNMPINDEX}: CPU使用率高了(超过{$CPU.UTIL.CRIT}%达5分钟)</v>
      </c>
      <c r="K844" s="1" t="str">
        <f t="shared" si="55"/>
        <v/>
      </c>
    </row>
    <row r="845" spans="1:11">
      <c r="A845" s="1">
        <v>2006</v>
      </c>
      <c r="B845" s="1" t="s">
        <v>9516</v>
      </c>
      <c r="C845" s="1" t="s">
        <v>9100</v>
      </c>
      <c r="D845" s="1" t="s">
        <v>2628</v>
      </c>
      <c r="E845" s="1" t="s">
        <v>2631</v>
      </c>
      <c r="F845" s="1" t="s">
        <v>1557</v>
      </c>
      <c r="G845" s="1" t="s">
        <v>1558</v>
      </c>
      <c r="H845" s="1" t="str">
        <f t="shared" si="52"/>
        <v>CPU</v>
      </c>
      <c r="I845" s="1" t="str">
        <f t="shared" si="53"/>
        <v>温度高于临界阈值: &gt;{$TEMP_CRIT: "CPU"}</v>
      </c>
      <c r="J845" s="1" t="str">
        <f t="shared" si="54"/>
        <v>CPU: 温度高于临界阈值: &gt;{$TEMP_CRIT: "CPU"}</v>
      </c>
      <c r="K845" s="1" t="str">
        <f t="shared" si="55"/>
        <v>Temperature is above critical threshold: &gt;{$TEMP_CRIT:"CPU"}</v>
      </c>
    </row>
    <row r="846" spans="1:11">
      <c r="A846" s="1">
        <v>2007</v>
      </c>
      <c r="B846" s="1" t="s">
        <v>9516</v>
      </c>
      <c r="C846" s="1" t="s">
        <v>9102</v>
      </c>
      <c r="D846" s="1" t="s">
        <v>2628</v>
      </c>
      <c r="E846" s="1" t="s">
        <v>2633</v>
      </c>
      <c r="F846" s="1" t="s">
        <v>1553</v>
      </c>
      <c r="G846" s="1" t="s">
        <v>1554</v>
      </c>
      <c r="H846" s="1" t="str">
        <f t="shared" si="52"/>
        <v>CPU</v>
      </c>
      <c r="I846" s="1" t="str">
        <f t="shared" si="53"/>
        <v>温度高于告警阈值: &gt;{$TEMP_WARN: "CPU"}</v>
      </c>
      <c r="J846" s="1" t="str">
        <f t="shared" si="54"/>
        <v>CPU: 温度高于告警阈值: &gt;{$TEMP_WARN: "CPU"}</v>
      </c>
      <c r="K846" s="1" t="str">
        <f t="shared" si="55"/>
        <v>Temperature is above warning threshold: &gt;{$TEMP_WARN:"CPU"}</v>
      </c>
    </row>
    <row r="847" spans="1:11">
      <c r="A847" s="1">
        <v>2008</v>
      </c>
      <c r="B847" s="1" t="s">
        <v>9516</v>
      </c>
      <c r="C847" s="1" t="s">
        <v>9104</v>
      </c>
      <c r="D847" s="1" t="s">
        <v>2628</v>
      </c>
      <c r="E847" s="1" t="s">
        <v>2635</v>
      </c>
      <c r="F847" s="1" t="s">
        <v>1561</v>
      </c>
      <c r="G847" s="1" t="s">
        <v>1562</v>
      </c>
      <c r="H847" s="1" t="str">
        <f t="shared" si="52"/>
        <v>CPU</v>
      </c>
      <c r="I847" s="1" t="str">
        <f t="shared" si="53"/>
        <v>温度太低: &lt;{$TEMP_CRIT_LOW: "CPU"}</v>
      </c>
      <c r="J847" s="1" t="str">
        <f t="shared" si="54"/>
        <v>CPU: 温度太低: &lt;{$TEMP_CRIT_LOW: "CPU"}</v>
      </c>
      <c r="K847" s="1" t="str">
        <f t="shared" si="55"/>
        <v>Temperature is too low: &lt;{$TEMP_CRIT_LOW:"CPU"}</v>
      </c>
    </row>
    <row r="848" spans="1:11">
      <c r="A848" s="1">
        <v>2009</v>
      </c>
      <c r="B848" s="1" t="s">
        <v>9516</v>
      </c>
      <c r="C848" s="1" t="s">
        <v>9106</v>
      </c>
      <c r="D848" s="1" t="s">
        <v>2628</v>
      </c>
      <c r="E848" s="1" t="s">
        <v>2637</v>
      </c>
      <c r="F848" s="1" t="s">
        <v>2033</v>
      </c>
      <c r="G848" s="1" t="s">
        <v>2034</v>
      </c>
      <c r="H848" s="1" t="str">
        <f t="shared" si="52"/>
        <v>Device</v>
      </c>
      <c r="I848" s="1" t="str">
        <f t="shared" si="53"/>
        <v>温度高于临界阈值: &gt;{$TEMP_CRIT: "Device"}</v>
      </c>
      <c r="J848" s="1" t="str">
        <f t="shared" si="54"/>
        <v>Device: 温度高于临界阈值: &gt;{$TEMP_CRIT: "Device"}</v>
      </c>
      <c r="K848" s="1" t="str">
        <f t="shared" si="55"/>
        <v>Temperature is above critical threshold: &gt;{$TEMP_CRIT:"Device"}</v>
      </c>
    </row>
    <row r="849" spans="1:11">
      <c r="A849" s="1">
        <v>2010</v>
      </c>
      <c r="B849" s="1" t="s">
        <v>9516</v>
      </c>
      <c r="C849" s="1" t="s">
        <v>9108</v>
      </c>
      <c r="D849" s="1" t="s">
        <v>2628</v>
      </c>
      <c r="E849" s="1" t="s">
        <v>2639</v>
      </c>
      <c r="F849" s="1" t="s">
        <v>2037</v>
      </c>
      <c r="G849" s="1" t="s">
        <v>2038</v>
      </c>
      <c r="H849" s="1" t="str">
        <f t="shared" si="52"/>
        <v>Device</v>
      </c>
      <c r="I849" s="1" t="str">
        <f t="shared" si="53"/>
        <v>温度高于告警阈值: &gt;{$TEMP_WARN: "Device"}</v>
      </c>
      <c r="J849" s="1" t="str">
        <f t="shared" si="54"/>
        <v>Device: 温度高于告警阈值: &gt;{$TEMP_WARN: "Device"}</v>
      </c>
      <c r="K849" s="1" t="str">
        <f t="shared" si="55"/>
        <v>Temperature is above warning threshold: &gt;{$TEMP_WARN:"Device"}</v>
      </c>
    </row>
    <row r="850" spans="1:11">
      <c r="A850" s="1">
        <v>2011</v>
      </c>
      <c r="B850" s="1" t="s">
        <v>9516</v>
      </c>
      <c r="C850" s="1" t="s">
        <v>9110</v>
      </c>
      <c r="D850" s="1" t="s">
        <v>2628</v>
      </c>
      <c r="E850" s="1" t="s">
        <v>2641</v>
      </c>
      <c r="F850" s="1" t="s">
        <v>2041</v>
      </c>
      <c r="G850" s="1" t="s">
        <v>2042</v>
      </c>
      <c r="H850" s="1" t="str">
        <f t="shared" si="52"/>
        <v>Device</v>
      </c>
      <c r="I850" s="1" t="str">
        <f t="shared" si="53"/>
        <v>温度太低: &lt;{$TEMP_CRIT_LOW: "Device"}</v>
      </c>
      <c r="J850" s="1" t="str">
        <f t="shared" si="54"/>
        <v>Device: 温度太低: &lt;{$TEMP_CRIT_LOW: "Device"}</v>
      </c>
      <c r="K850" s="1" t="str">
        <f t="shared" si="55"/>
        <v>Temperature is too low: &lt;{$TEMP_CRIT_LOW:"Device"}</v>
      </c>
    </row>
    <row r="851" spans="1:11">
      <c r="A851" s="1">
        <v>2012</v>
      </c>
      <c r="B851" s="1" t="s">
        <v>9516</v>
      </c>
      <c r="C851" s="1" t="s">
        <v>9112</v>
      </c>
      <c r="D851" s="1" t="s">
        <v>2628</v>
      </c>
      <c r="E851" s="1" t="s">
        <v>2643</v>
      </c>
      <c r="F851" s="1" t="s">
        <v>2045</v>
      </c>
      <c r="G851" s="1" t="s">
        <v>2046</v>
      </c>
      <c r="H851" s="1" t="str">
        <f t="shared" si="52"/>
        <v/>
      </c>
      <c r="I851" s="1" t="str">
        <f t="shared" si="53"/>
        <v/>
      </c>
      <c r="J851" s="1" t="str">
        <f t="shared" si="54"/>
        <v>Disk-{#SNMPINDEX}: 磁盘空间严重不足(已使用率&gt;{$VFS.FS.PUSED.MAX.CRIT: "Disk-{#SNMPINDEX}"}%)</v>
      </c>
      <c r="K851" s="1" t="str">
        <f t="shared" si="55"/>
        <v/>
      </c>
    </row>
    <row r="852" spans="1:11">
      <c r="A852" s="1">
        <v>2013</v>
      </c>
      <c r="B852" s="1" t="s">
        <v>9516</v>
      </c>
      <c r="C852" s="1" t="s">
        <v>9114</v>
      </c>
      <c r="D852" s="1" t="s">
        <v>2628</v>
      </c>
      <c r="E852" s="1" t="s">
        <v>2645</v>
      </c>
      <c r="F852" s="1" t="s">
        <v>2049</v>
      </c>
      <c r="G852" s="1" t="s">
        <v>2050</v>
      </c>
      <c r="H852" s="1" t="str">
        <f t="shared" si="52"/>
        <v/>
      </c>
      <c r="I852" s="1" t="str">
        <f t="shared" si="53"/>
        <v/>
      </c>
      <c r="J852" s="1" t="str">
        <f t="shared" si="54"/>
        <v>Disk-{#SNMPINDEX}: 磁盘空间不足(已使用率&gt;{$VFS.FS.PUSED.MAX.WARN: "Disk-{#SNMPINDEX}"}%)</v>
      </c>
      <c r="K852" s="1" t="str">
        <f t="shared" si="55"/>
        <v/>
      </c>
    </row>
    <row r="853" spans="1:11">
      <c r="A853" s="1">
        <v>2015</v>
      </c>
      <c r="B853" s="1" t="s">
        <v>9516</v>
      </c>
      <c r="C853" s="1" t="s">
        <v>9117</v>
      </c>
      <c r="D853" s="1" t="s">
        <v>2628</v>
      </c>
      <c r="E853" s="1" t="s">
        <v>2647</v>
      </c>
      <c r="F853" s="1" t="s">
        <v>161</v>
      </c>
      <c r="G853" s="1" t="s">
        <v>162</v>
      </c>
      <c r="H853" s="1" t="str">
        <f t="shared" si="52"/>
        <v/>
      </c>
      <c r="I853" s="1" t="str">
        <f t="shared" si="53"/>
        <v/>
      </c>
      <c r="J853" s="1" t="str">
        <f t="shared" si="54"/>
        <v>接口{#IFNAME}({#IFALIAS}): 带宽使用率太高(&gt;{$IF.UTIL.MAX: "{#IFNAME}"}%)</v>
      </c>
      <c r="K853" s="1" t="str">
        <f t="shared" si="55"/>
        <v/>
      </c>
    </row>
    <row r="854" spans="1:11">
      <c r="A854" s="1">
        <v>2016</v>
      </c>
      <c r="B854" s="1" t="s">
        <v>9516</v>
      </c>
      <c r="C854" s="1" t="s">
        <v>9119</v>
      </c>
      <c r="D854" s="1" t="s">
        <v>2628</v>
      </c>
      <c r="E854" s="1" t="s">
        <v>2649</v>
      </c>
      <c r="F854" s="1" t="s">
        <v>165</v>
      </c>
      <c r="G854" s="1" t="s">
        <v>166</v>
      </c>
      <c r="H854" s="1" t="str">
        <f t="shared" si="52"/>
        <v/>
      </c>
      <c r="I854" s="1" t="str">
        <f t="shared" si="53"/>
        <v/>
      </c>
      <c r="J854" s="1" t="str">
        <f t="shared" si="54"/>
        <v>接口{#IFNAME}({#IFALIAS}): 错误率太高(&gt;{$IF.ERRORS.WARN: "{#IFNAME}"}达5分钟)</v>
      </c>
      <c r="K854" s="1" t="str">
        <f t="shared" si="55"/>
        <v/>
      </c>
    </row>
    <row r="855" spans="1:11">
      <c r="A855" s="1">
        <v>2018</v>
      </c>
      <c r="B855" s="1" t="s">
        <v>9516</v>
      </c>
      <c r="C855" s="1" t="s">
        <v>9121</v>
      </c>
      <c r="D855" s="1" t="s">
        <v>2628</v>
      </c>
      <c r="E855" s="1" t="s">
        <v>2651</v>
      </c>
      <c r="F855" s="1" t="s">
        <v>2057</v>
      </c>
      <c r="G855" s="1" t="s">
        <v>2058</v>
      </c>
      <c r="H855" s="1" t="str">
        <f t="shared" si="52"/>
        <v/>
      </c>
      <c r="I855" s="1" t="str">
        <f t="shared" si="53"/>
        <v/>
      </c>
      <c r="J855" s="1" t="str">
        <f t="shared" si="54"/>
        <v>接口{#IFNAME}({#IFALIAS}): LTE调制解调器RSRP低(低于{$LTEMODEM.RSRP.MIN.WARN}dbm5分钟)</v>
      </c>
      <c r="K855" s="1" t="str">
        <f t="shared" si="55"/>
        <v/>
      </c>
    </row>
    <row r="856" spans="1:11">
      <c r="A856" s="1">
        <v>2019</v>
      </c>
      <c r="B856" s="1" t="s">
        <v>9516</v>
      </c>
      <c r="C856" s="1" t="s">
        <v>9122</v>
      </c>
      <c r="D856" s="1" t="s">
        <v>2628</v>
      </c>
      <c r="E856" s="1" t="s">
        <v>2653</v>
      </c>
      <c r="F856" s="1" t="s">
        <v>2061</v>
      </c>
      <c r="G856" s="1" t="s">
        <v>2062</v>
      </c>
      <c r="H856" s="1" t="str">
        <f t="shared" si="52"/>
        <v/>
      </c>
      <c r="I856" s="1" t="str">
        <f t="shared" si="53"/>
        <v/>
      </c>
      <c r="J856" s="1" t="str">
        <f t="shared" si="54"/>
        <v>接口{#IFNAME}({#IFALIAS}): LTE调制解调器RSRQ低(低于{$LTEMODEM.RSRQ.MIN.WARN}db5分钟)</v>
      </c>
      <c r="K856" s="1" t="str">
        <f t="shared" si="55"/>
        <v/>
      </c>
    </row>
    <row r="857" spans="1:11">
      <c r="A857" s="1">
        <v>2020</v>
      </c>
      <c r="B857" s="1" t="s">
        <v>9516</v>
      </c>
      <c r="C857" s="1" t="s">
        <v>9123</v>
      </c>
      <c r="D857" s="1" t="s">
        <v>2628</v>
      </c>
      <c r="E857" s="1" t="s">
        <v>2655</v>
      </c>
      <c r="F857" s="1" t="s">
        <v>2065</v>
      </c>
      <c r="G857" s="1" t="s">
        <v>2058</v>
      </c>
      <c r="H857" s="1" t="str">
        <f t="shared" si="52"/>
        <v/>
      </c>
      <c r="I857" s="1" t="str">
        <f t="shared" si="53"/>
        <v/>
      </c>
      <c r="J857" s="1" t="str">
        <f t="shared" si="54"/>
        <v>接口{#IFNAME}({#IFALIAS}): LTE调制解调器RSRP低(低于{$LTEMODEM.RSRP.MIN.WARN}dbm5分钟)</v>
      </c>
      <c r="K857" s="1" t="str">
        <f t="shared" si="55"/>
        <v/>
      </c>
    </row>
    <row r="858" spans="1:11">
      <c r="A858" s="1">
        <v>2021</v>
      </c>
      <c r="B858" s="1" t="s">
        <v>9516</v>
      </c>
      <c r="C858" s="1" t="s">
        <v>9124</v>
      </c>
      <c r="D858" s="1" t="s">
        <v>2628</v>
      </c>
      <c r="E858" s="1" t="s">
        <v>2657</v>
      </c>
      <c r="F858" s="1" t="s">
        <v>2068</v>
      </c>
      <c r="G858" s="1" t="s">
        <v>2062</v>
      </c>
      <c r="H858" s="1" t="str">
        <f t="shared" si="52"/>
        <v/>
      </c>
      <c r="I858" s="1" t="str">
        <f t="shared" si="53"/>
        <v/>
      </c>
      <c r="J858" s="1" t="str">
        <f t="shared" si="54"/>
        <v>接口{#IFNAME}({#IFALIAS}): LTE调制解调器RSRQ低(低于{$LTEMODEM.RSRQ.MIN.WARN}db5分钟)</v>
      </c>
      <c r="K858" s="1" t="str">
        <f t="shared" si="55"/>
        <v/>
      </c>
    </row>
    <row r="859" spans="1:11">
      <c r="A859" s="1">
        <v>2023</v>
      </c>
      <c r="B859" s="1" t="s">
        <v>9517</v>
      </c>
      <c r="C859" s="1" t="s">
        <v>9098</v>
      </c>
      <c r="D859" s="1" t="s">
        <v>2659</v>
      </c>
      <c r="E859" s="1" t="s">
        <v>2660</v>
      </c>
      <c r="F859" s="1" t="s">
        <v>541</v>
      </c>
      <c r="G859" s="1" t="s">
        <v>542</v>
      </c>
      <c r="H859" s="1" t="str">
        <f t="shared" si="52"/>
        <v/>
      </c>
      <c r="I859" s="1" t="str">
        <f t="shared" si="53"/>
        <v/>
      </c>
      <c r="J859" s="1" t="str">
        <f t="shared" si="54"/>
        <v>#{#SNMPINDEX}: CPU使用率高了(超过{$CPU.UTIL.CRIT}%达5分钟)</v>
      </c>
      <c r="K859" s="1" t="str">
        <f t="shared" si="55"/>
        <v/>
      </c>
    </row>
    <row r="860" spans="1:11">
      <c r="A860" s="1">
        <v>2024</v>
      </c>
      <c r="B860" s="1" t="s">
        <v>9517</v>
      </c>
      <c r="C860" s="1" t="s">
        <v>9100</v>
      </c>
      <c r="D860" s="1" t="s">
        <v>2659</v>
      </c>
      <c r="E860" s="1" t="s">
        <v>2662</v>
      </c>
      <c r="F860" s="1" t="s">
        <v>1557</v>
      </c>
      <c r="G860" s="1" t="s">
        <v>1558</v>
      </c>
      <c r="H860" s="1" t="str">
        <f t="shared" si="52"/>
        <v>CPU</v>
      </c>
      <c r="I860" s="1" t="str">
        <f t="shared" si="53"/>
        <v>温度高于临界阈值: &gt;{$TEMP_CRIT: "CPU"}</v>
      </c>
      <c r="J860" s="1" t="str">
        <f t="shared" si="54"/>
        <v>CPU: 温度高于临界阈值: &gt;{$TEMP_CRIT: "CPU"}</v>
      </c>
      <c r="K860" s="1" t="str">
        <f t="shared" si="55"/>
        <v>Temperature is above critical threshold: &gt;{$TEMP_CRIT:"CPU"}</v>
      </c>
    </row>
    <row r="861" spans="1:11">
      <c r="A861" s="1">
        <v>2025</v>
      </c>
      <c r="B861" s="1" t="s">
        <v>9517</v>
      </c>
      <c r="C861" s="1" t="s">
        <v>9102</v>
      </c>
      <c r="D861" s="1" t="s">
        <v>2659</v>
      </c>
      <c r="E861" s="1" t="s">
        <v>2664</v>
      </c>
      <c r="F861" s="1" t="s">
        <v>1553</v>
      </c>
      <c r="G861" s="1" t="s">
        <v>1554</v>
      </c>
      <c r="H861" s="1" t="str">
        <f t="shared" si="52"/>
        <v>CPU</v>
      </c>
      <c r="I861" s="1" t="str">
        <f t="shared" si="53"/>
        <v>温度高于告警阈值: &gt;{$TEMP_WARN: "CPU"}</v>
      </c>
      <c r="J861" s="1" t="str">
        <f t="shared" si="54"/>
        <v>CPU: 温度高于告警阈值: &gt;{$TEMP_WARN: "CPU"}</v>
      </c>
      <c r="K861" s="1" t="str">
        <f t="shared" si="55"/>
        <v>Temperature is above warning threshold: &gt;{$TEMP_WARN:"CPU"}</v>
      </c>
    </row>
    <row r="862" spans="1:11">
      <c r="A862" s="1">
        <v>2026</v>
      </c>
      <c r="B862" s="1" t="s">
        <v>9517</v>
      </c>
      <c r="C862" s="1" t="s">
        <v>9104</v>
      </c>
      <c r="D862" s="1" t="s">
        <v>2659</v>
      </c>
      <c r="E862" s="1" t="s">
        <v>2666</v>
      </c>
      <c r="F862" s="1" t="s">
        <v>1561</v>
      </c>
      <c r="G862" s="1" t="s">
        <v>1562</v>
      </c>
      <c r="H862" s="1" t="str">
        <f t="shared" si="52"/>
        <v>CPU</v>
      </c>
      <c r="I862" s="1" t="str">
        <f t="shared" si="53"/>
        <v>温度太低: &lt;{$TEMP_CRIT_LOW: "CPU"}</v>
      </c>
      <c r="J862" s="1" t="str">
        <f t="shared" si="54"/>
        <v>CPU: 温度太低: &lt;{$TEMP_CRIT_LOW: "CPU"}</v>
      </c>
      <c r="K862" s="1" t="str">
        <f t="shared" si="55"/>
        <v>Temperature is too low: &lt;{$TEMP_CRIT_LOW:"CPU"}</v>
      </c>
    </row>
    <row r="863" spans="1:11">
      <c r="A863" s="1">
        <v>2027</v>
      </c>
      <c r="B863" s="1" t="s">
        <v>9517</v>
      </c>
      <c r="C863" s="1" t="s">
        <v>9106</v>
      </c>
      <c r="D863" s="1" t="s">
        <v>2659</v>
      </c>
      <c r="E863" s="1" t="s">
        <v>2668</v>
      </c>
      <c r="F863" s="1" t="s">
        <v>2033</v>
      </c>
      <c r="G863" s="1" t="s">
        <v>2034</v>
      </c>
      <c r="H863" s="1" t="str">
        <f t="shared" si="52"/>
        <v>Device</v>
      </c>
      <c r="I863" s="1" t="str">
        <f t="shared" si="53"/>
        <v>温度高于临界阈值: &gt;{$TEMP_CRIT: "Device"}</v>
      </c>
      <c r="J863" s="1" t="str">
        <f t="shared" si="54"/>
        <v>Device: 温度高于临界阈值: &gt;{$TEMP_CRIT: "Device"}</v>
      </c>
      <c r="K863" s="1" t="str">
        <f t="shared" si="55"/>
        <v>Temperature is above critical threshold: &gt;{$TEMP_CRIT:"Device"}</v>
      </c>
    </row>
    <row r="864" spans="1:11">
      <c r="A864" s="1">
        <v>2028</v>
      </c>
      <c r="B864" s="1" t="s">
        <v>9517</v>
      </c>
      <c r="C864" s="1" t="s">
        <v>9108</v>
      </c>
      <c r="D864" s="1" t="s">
        <v>2659</v>
      </c>
      <c r="E864" s="1" t="s">
        <v>2670</v>
      </c>
      <c r="F864" s="1" t="s">
        <v>2037</v>
      </c>
      <c r="G864" s="1" t="s">
        <v>2038</v>
      </c>
      <c r="H864" s="1" t="str">
        <f t="shared" si="52"/>
        <v>Device</v>
      </c>
      <c r="I864" s="1" t="str">
        <f t="shared" si="53"/>
        <v>温度高于告警阈值: &gt;{$TEMP_WARN: "Device"}</v>
      </c>
      <c r="J864" s="1" t="str">
        <f t="shared" si="54"/>
        <v>Device: 温度高于告警阈值: &gt;{$TEMP_WARN: "Device"}</v>
      </c>
      <c r="K864" s="1" t="str">
        <f t="shared" si="55"/>
        <v>Temperature is above warning threshold: &gt;{$TEMP_WARN:"Device"}</v>
      </c>
    </row>
    <row r="865" spans="1:11">
      <c r="A865" s="1">
        <v>2029</v>
      </c>
      <c r="B865" s="1" t="s">
        <v>9517</v>
      </c>
      <c r="C865" s="1" t="s">
        <v>9110</v>
      </c>
      <c r="D865" s="1" t="s">
        <v>2659</v>
      </c>
      <c r="E865" s="1" t="s">
        <v>2672</v>
      </c>
      <c r="F865" s="1" t="s">
        <v>2041</v>
      </c>
      <c r="G865" s="1" t="s">
        <v>2042</v>
      </c>
      <c r="H865" s="1" t="str">
        <f t="shared" si="52"/>
        <v>Device</v>
      </c>
      <c r="I865" s="1" t="str">
        <f t="shared" si="53"/>
        <v>温度太低: &lt;{$TEMP_CRIT_LOW: "Device"}</v>
      </c>
      <c r="J865" s="1" t="str">
        <f t="shared" si="54"/>
        <v>Device: 温度太低: &lt;{$TEMP_CRIT_LOW: "Device"}</v>
      </c>
      <c r="K865" s="1" t="str">
        <f t="shared" si="55"/>
        <v>Temperature is too low: &lt;{$TEMP_CRIT_LOW:"Device"}</v>
      </c>
    </row>
    <row r="866" spans="1:11">
      <c r="A866" s="1">
        <v>2030</v>
      </c>
      <c r="B866" s="1" t="s">
        <v>9517</v>
      </c>
      <c r="C866" s="1" t="s">
        <v>9112</v>
      </c>
      <c r="D866" s="1" t="s">
        <v>2659</v>
      </c>
      <c r="E866" s="1" t="s">
        <v>2674</v>
      </c>
      <c r="F866" s="1" t="s">
        <v>2045</v>
      </c>
      <c r="G866" s="1" t="s">
        <v>2046</v>
      </c>
      <c r="H866" s="1" t="str">
        <f t="shared" si="52"/>
        <v/>
      </c>
      <c r="I866" s="1" t="str">
        <f t="shared" si="53"/>
        <v/>
      </c>
      <c r="J866" s="1" t="str">
        <f t="shared" si="54"/>
        <v>Disk-{#SNMPINDEX}: 磁盘空间严重不足(已使用率&gt;{$VFS.FS.PUSED.MAX.CRIT: "Disk-{#SNMPINDEX}"}%)</v>
      </c>
      <c r="K866" s="1" t="str">
        <f t="shared" si="55"/>
        <v/>
      </c>
    </row>
    <row r="867" spans="1:11">
      <c r="A867" s="1">
        <v>2031</v>
      </c>
      <c r="B867" s="1" t="s">
        <v>9517</v>
      </c>
      <c r="C867" s="1" t="s">
        <v>9114</v>
      </c>
      <c r="D867" s="1" t="s">
        <v>2659</v>
      </c>
      <c r="E867" s="1" t="s">
        <v>2676</v>
      </c>
      <c r="F867" s="1" t="s">
        <v>2049</v>
      </c>
      <c r="G867" s="1" t="s">
        <v>2050</v>
      </c>
      <c r="H867" s="1" t="str">
        <f t="shared" si="52"/>
        <v/>
      </c>
      <c r="I867" s="1" t="str">
        <f t="shared" si="53"/>
        <v/>
      </c>
      <c r="J867" s="1" t="str">
        <f t="shared" si="54"/>
        <v>Disk-{#SNMPINDEX}: 磁盘空间不足(已使用率&gt;{$VFS.FS.PUSED.MAX.WARN: "Disk-{#SNMPINDEX}"}%)</v>
      </c>
      <c r="K867" s="1" t="str">
        <f t="shared" si="55"/>
        <v/>
      </c>
    </row>
    <row r="868" spans="1:11">
      <c r="A868" s="1">
        <v>2033</v>
      </c>
      <c r="B868" s="1" t="s">
        <v>9517</v>
      </c>
      <c r="C868" s="1" t="s">
        <v>9117</v>
      </c>
      <c r="D868" s="1" t="s">
        <v>2659</v>
      </c>
      <c r="E868" s="1" t="s">
        <v>2678</v>
      </c>
      <c r="F868" s="1" t="s">
        <v>161</v>
      </c>
      <c r="G868" s="1" t="s">
        <v>162</v>
      </c>
      <c r="H868" s="1" t="str">
        <f t="shared" si="52"/>
        <v/>
      </c>
      <c r="I868" s="1" t="str">
        <f t="shared" si="53"/>
        <v/>
      </c>
      <c r="J868" s="1" t="str">
        <f t="shared" si="54"/>
        <v>接口{#IFNAME}({#IFALIAS}): 带宽使用率太高(&gt;{$IF.UTIL.MAX: "{#IFNAME}"}%)</v>
      </c>
      <c r="K868" s="1" t="str">
        <f t="shared" si="55"/>
        <v/>
      </c>
    </row>
    <row r="869" spans="1:11">
      <c r="A869" s="1">
        <v>2034</v>
      </c>
      <c r="B869" s="1" t="s">
        <v>9517</v>
      </c>
      <c r="C869" s="1" t="s">
        <v>9119</v>
      </c>
      <c r="D869" s="1" t="s">
        <v>2659</v>
      </c>
      <c r="E869" s="1" t="s">
        <v>2680</v>
      </c>
      <c r="F869" s="1" t="s">
        <v>165</v>
      </c>
      <c r="G869" s="1" t="s">
        <v>166</v>
      </c>
      <c r="H869" s="1" t="str">
        <f t="shared" si="52"/>
        <v/>
      </c>
      <c r="I869" s="1" t="str">
        <f t="shared" si="53"/>
        <v/>
      </c>
      <c r="J869" s="1" t="str">
        <f t="shared" si="54"/>
        <v>接口{#IFNAME}({#IFALIAS}): 错误率太高(&gt;{$IF.ERRORS.WARN: "{#IFNAME}"}达5分钟)</v>
      </c>
      <c r="K869" s="1" t="str">
        <f t="shared" si="55"/>
        <v/>
      </c>
    </row>
    <row r="870" spans="1:11">
      <c r="A870" s="1">
        <v>2036</v>
      </c>
      <c r="B870" s="1" t="s">
        <v>9517</v>
      </c>
      <c r="C870" s="1" t="s">
        <v>9121</v>
      </c>
      <c r="D870" s="1" t="s">
        <v>2659</v>
      </c>
      <c r="E870" s="1" t="s">
        <v>2682</v>
      </c>
      <c r="F870" s="1" t="s">
        <v>2057</v>
      </c>
      <c r="G870" s="1" t="s">
        <v>2058</v>
      </c>
      <c r="H870" s="1" t="str">
        <f t="shared" si="52"/>
        <v/>
      </c>
      <c r="I870" s="1" t="str">
        <f t="shared" si="53"/>
        <v/>
      </c>
      <c r="J870" s="1" t="str">
        <f t="shared" si="54"/>
        <v>接口{#IFNAME}({#IFALIAS}): LTE调制解调器RSRP低(低于{$LTEMODEM.RSRP.MIN.WARN}dbm5分钟)</v>
      </c>
      <c r="K870" s="1" t="str">
        <f t="shared" si="55"/>
        <v/>
      </c>
    </row>
    <row r="871" spans="1:11">
      <c r="A871" s="1">
        <v>2037</v>
      </c>
      <c r="B871" s="1" t="s">
        <v>9517</v>
      </c>
      <c r="C871" s="1" t="s">
        <v>9122</v>
      </c>
      <c r="D871" s="1" t="s">
        <v>2659</v>
      </c>
      <c r="E871" s="1" t="s">
        <v>2684</v>
      </c>
      <c r="F871" s="1" t="s">
        <v>2061</v>
      </c>
      <c r="G871" s="1" t="s">
        <v>2062</v>
      </c>
      <c r="H871" s="1" t="str">
        <f t="shared" si="52"/>
        <v/>
      </c>
      <c r="I871" s="1" t="str">
        <f t="shared" si="53"/>
        <v/>
      </c>
      <c r="J871" s="1" t="str">
        <f t="shared" si="54"/>
        <v>接口{#IFNAME}({#IFALIAS}): LTE调制解调器RSRQ低(低于{$LTEMODEM.RSRQ.MIN.WARN}db5分钟)</v>
      </c>
      <c r="K871" s="1" t="str">
        <f t="shared" si="55"/>
        <v/>
      </c>
    </row>
    <row r="872" spans="1:11">
      <c r="A872" s="1">
        <v>2038</v>
      </c>
      <c r="B872" s="1" t="s">
        <v>9517</v>
      </c>
      <c r="C872" s="1" t="s">
        <v>9123</v>
      </c>
      <c r="D872" s="1" t="s">
        <v>2659</v>
      </c>
      <c r="E872" s="1" t="s">
        <v>2686</v>
      </c>
      <c r="F872" s="1" t="s">
        <v>2065</v>
      </c>
      <c r="G872" s="1" t="s">
        <v>2058</v>
      </c>
      <c r="H872" s="1" t="str">
        <f t="shared" si="52"/>
        <v/>
      </c>
      <c r="I872" s="1" t="str">
        <f t="shared" si="53"/>
        <v/>
      </c>
      <c r="J872" s="1" t="str">
        <f t="shared" si="54"/>
        <v>接口{#IFNAME}({#IFALIAS}): LTE调制解调器RSRP低(低于{$LTEMODEM.RSRP.MIN.WARN}dbm5分钟)</v>
      </c>
      <c r="K872" s="1" t="str">
        <f t="shared" si="55"/>
        <v/>
      </c>
    </row>
    <row r="873" spans="1:11">
      <c r="A873" s="1">
        <v>2039</v>
      </c>
      <c r="B873" s="1" t="s">
        <v>9517</v>
      </c>
      <c r="C873" s="1" t="s">
        <v>9124</v>
      </c>
      <c r="D873" s="1" t="s">
        <v>2659</v>
      </c>
      <c r="E873" s="1" t="s">
        <v>2688</v>
      </c>
      <c r="F873" s="1" t="s">
        <v>2068</v>
      </c>
      <c r="G873" s="1" t="s">
        <v>2062</v>
      </c>
      <c r="H873" s="1" t="str">
        <f t="shared" si="52"/>
        <v/>
      </c>
      <c r="I873" s="1" t="str">
        <f t="shared" si="53"/>
        <v/>
      </c>
      <c r="J873" s="1" t="str">
        <f t="shared" si="54"/>
        <v>接口{#IFNAME}({#IFALIAS}): LTE调制解调器RSRQ低(低于{$LTEMODEM.RSRQ.MIN.WARN}db5分钟)</v>
      </c>
      <c r="K873" s="1" t="str">
        <f t="shared" si="55"/>
        <v/>
      </c>
    </row>
    <row r="874" spans="1:11">
      <c r="A874" s="1">
        <v>2041</v>
      </c>
      <c r="B874" s="1" t="s">
        <v>9518</v>
      </c>
      <c r="C874" s="1" t="s">
        <v>9098</v>
      </c>
      <c r="D874" s="1" t="s">
        <v>2690</v>
      </c>
      <c r="E874" s="1" t="s">
        <v>2691</v>
      </c>
      <c r="F874" s="1" t="s">
        <v>541</v>
      </c>
      <c r="G874" s="1" t="s">
        <v>542</v>
      </c>
      <c r="H874" s="1" t="str">
        <f t="shared" si="52"/>
        <v/>
      </c>
      <c r="I874" s="1" t="str">
        <f t="shared" si="53"/>
        <v/>
      </c>
      <c r="J874" s="1" t="str">
        <f t="shared" si="54"/>
        <v>#{#SNMPINDEX}: CPU使用率高了(超过{$CPU.UTIL.CRIT}%达5分钟)</v>
      </c>
      <c r="K874" s="1" t="str">
        <f t="shared" si="55"/>
        <v/>
      </c>
    </row>
    <row r="875" spans="1:11">
      <c r="A875" s="1">
        <v>2042</v>
      </c>
      <c r="B875" s="1" t="s">
        <v>9518</v>
      </c>
      <c r="C875" s="1" t="s">
        <v>9100</v>
      </c>
      <c r="D875" s="1" t="s">
        <v>2690</v>
      </c>
      <c r="E875" s="1" t="s">
        <v>2693</v>
      </c>
      <c r="F875" s="1" t="s">
        <v>1557</v>
      </c>
      <c r="G875" s="1" t="s">
        <v>1558</v>
      </c>
      <c r="H875" s="1" t="str">
        <f t="shared" si="52"/>
        <v>CPU</v>
      </c>
      <c r="I875" s="1" t="str">
        <f t="shared" si="53"/>
        <v>温度高于临界阈值: &gt;{$TEMP_CRIT: "CPU"}</v>
      </c>
      <c r="J875" s="1" t="str">
        <f t="shared" si="54"/>
        <v>CPU: 温度高于临界阈值: &gt;{$TEMP_CRIT: "CPU"}</v>
      </c>
      <c r="K875" s="1" t="str">
        <f t="shared" si="55"/>
        <v>Temperature is above critical threshold: &gt;{$TEMP_CRIT:"CPU"}</v>
      </c>
    </row>
    <row r="876" spans="1:11">
      <c r="A876" s="1">
        <v>2043</v>
      </c>
      <c r="B876" s="1" t="s">
        <v>9518</v>
      </c>
      <c r="C876" s="1" t="s">
        <v>9102</v>
      </c>
      <c r="D876" s="1" t="s">
        <v>2690</v>
      </c>
      <c r="E876" s="1" t="s">
        <v>2695</v>
      </c>
      <c r="F876" s="1" t="s">
        <v>1553</v>
      </c>
      <c r="G876" s="1" t="s">
        <v>1554</v>
      </c>
      <c r="H876" s="1" t="str">
        <f t="shared" si="52"/>
        <v>CPU</v>
      </c>
      <c r="I876" s="1" t="str">
        <f t="shared" si="53"/>
        <v>温度高于告警阈值: &gt;{$TEMP_WARN: "CPU"}</v>
      </c>
      <c r="J876" s="1" t="str">
        <f t="shared" si="54"/>
        <v>CPU: 温度高于告警阈值: &gt;{$TEMP_WARN: "CPU"}</v>
      </c>
      <c r="K876" s="1" t="str">
        <f t="shared" si="55"/>
        <v>Temperature is above warning threshold: &gt;{$TEMP_WARN:"CPU"}</v>
      </c>
    </row>
    <row r="877" spans="1:11">
      <c r="A877" s="1">
        <v>2044</v>
      </c>
      <c r="B877" s="1" t="s">
        <v>9518</v>
      </c>
      <c r="C877" s="1" t="s">
        <v>9104</v>
      </c>
      <c r="D877" s="1" t="s">
        <v>2690</v>
      </c>
      <c r="E877" s="1" t="s">
        <v>2697</v>
      </c>
      <c r="F877" s="1" t="s">
        <v>1561</v>
      </c>
      <c r="G877" s="1" t="s">
        <v>1562</v>
      </c>
      <c r="H877" s="1" t="str">
        <f t="shared" si="52"/>
        <v>CPU</v>
      </c>
      <c r="I877" s="1" t="str">
        <f t="shared" si="53"/>
        <v>温度太低: &lt;{$TEMP_CRIT_LOW: "CPU"}</v>
      </c>
      <c r="J877" s="1" t="str">
        <f t="shared" si="54"/>
        <v>CPU: 温度太低: &lt;{$TEMP_CRIT_LOW: "CPU"}</v>
      </c>
      <c r="K877" s="1" t="str">
        <f t="shared" si="55"/>
        <v>Temperature is too low: &lt;{$TEMP_CRIT_LOW:"CPU"}</v>
      </c>
    </row>
    <row r="878" spans="1:11">
      <c r="A878" s="1">
        <v>2045</v>
      </c>
      <c r="B878" s="1" t="s">
        <v>9518</v>
      </c>
      <c r="C878" s="1" t="s">
        <v>9106</v>
      </c>
      <c r="D878" s="1" t="s">
        <v>2690</v>
      </c>
      <c r="E878" s="1" t="s">
        <v>2699</v>
      </c>
      <c r="F878" s="1" t="s">
        <v>2033</v>
      </c>
      <c r="G878" s="1" t="s">
        <v>2034</v>
      </c>
      <c r="H878" s="1" t="str">
        <f t="shared" si="52"/>
        <v>Device</v>
      </c>
      <c r="I878" s="1" t="str">
        <f t="shared" si="53"/>
        <v>温度高于临界阈值: &gt;{$TEMP_CRIT: "Device"}</v>
      </c>
      <c r="J878" s="1" t="str">
        <f t="shared" si="54"/>
        <v>Device: 温度高于临界阈值: &gt;{$TEMP_CRIT: "Device"}</v>
      </c>
      <c r="K878" s="1" t="str">
        <f t="shared" si="55"/>
        <v>Temperature is above critical threshold: &gt;{$TEMP_CRIT:"Device"}</v>
      </c>
    </row>
    <row r="879" spans="1:11">
      <c r="A879" s="1">
        <v>2046</v>
      </c>
      <c r="B879" s="1" t="s">
        <v>9518</v>
      </c>
      <c r="C879" s="1" t="s">
        <v>9108</v>
      </c>
      <c r="D879" s="1" t="s">
        <v>2690</v>
      </c>
      <c r="E879" s="1" t="s">
        <v>2701</v>
      </c>
      <c r="F879" s="1" t="s">
        <v>2037</v>
      </c>
      <c r="G879" s="1" t="s">
        <v>2038</v>
      </c>
      <c r="H879" s="1" t="str">
        <f t="shared" si="52"/>
        <v>Device</v>
      </c>
      <c r="I879" s="1" t="str">
        <f t="shared" si="53"/>
        <v>温度高于告警阈值: &gt;{$TEMP_WARN: "Device"}</v>
      </c>
      <c r="J879" s="1" t="str">
        <f t="shared" si="54"/>
        <v>Device: 温度高于告警阈值: &gt;{$TEMP_WARN: "Device"}</v>
      </c>
      <c r="K879" s="1" t="str">
        <f t="shared" si="55"/>
        <v>Temperature is above warning threshold: &gt;{$TEMP_WARN:"Device"}</v>
      </c>
    </row>
    <row r="880" spans="1:11">
      <c r="A880" s="1">
        <v>2047</v>
      </c>
      <c r="B880" s="1" t="s">
        <v>9518</v>
      </c>
      <c r="C880" s="1" t="s">
        <v>9110</v>
      </c>
      <c r="D880" s="1" t="s">
        <v>2690</v>
      </c>
      <c r="E880" s="1" t="s">
        <v>2703</v>
      </c>
      <c r="F880" s="1" t="s">
        <v>2041</v>
      </c>
      <c r="G880" s="1" t="s">
        <v>2042</v>
      </c>
      <c r="H880" s="1" t="str">
        <f t="shared" si="52"/>
        <v>Device</v>
      </c>
      <c r="I880" s="1" t="str">
        <f t="shared" si="53"/>
        <v>温度太低: &lt;{$TEMP_CRIT_LOW: "Device"}</v>
      </c>
      <c r="J880" s="1" t="str">
        <f t="shared" si="54"/>
        <v>Device: 温度太低: &lt;{$TEMP_CRIT_LOW: "Device"}</v>
      </c>
      <c r="K880" s="1" t="str">
        <f t="shared" si="55"/>
        <v>Temperature is too low: &lt;{$TEMP_CRIT_LOW:"Device"}</v>
      </c>
    </row>
    <row r="881" spans="1:11">
      <c r="A881" s="1">
        <v>2048</v>
      </c>
      <c r="B881" s="1" t="s">
        <v>9518</v>
      </c>
      <c r="C881" s="1" t="s">
        <v>9112</v>
      </c>
      <c r="D881" s="1" t="s">
        <v>2690</v>
      </c>
      <c r="E881" s="1" t="s">
        <v>2705</v>
      </c>
      <c r="F881" s="1" t="s">
        <v>2045</v>
      </c>
      <c r="G881" s="1" t="s">
        <v>2046</v>
      </c>
      <c r="H881" s="1" t="str">
        <f t="shared" si="52"/>
        <v/>
      </c>
      <c r="I881" s="1" t="str">
        <f t="shared" si="53"/>
        <v/>
      </c>
      <c r="J881" s="1" t="str">
        <f t="shared" si="54"/>
        <v>Disk-{#SNMPINDEX}: 磁盘空间严重不足(已使用率&gt;{$VFS.FS.PUSED.MAX.CRIT: "Disk-{#SNMPINDEX}"}%)</v>
      </c>
      <c r="K881" s="1" t="str">
        <f t="shared" si="55"/>
        <v/>
      </c>
    </row>
    <row r="882" spans="1:11">
      <c r="A882" s="1">
        <v>2049</v>
      </c>
      <c r="B882" s="1" t="s">
        <v>9518</v>
      </c>
      <c r="C882" s="1" t="s">
        <v>9114</v>
      </c>
      <c r="D882" s="1" t="s">
        <v>2690</v>
      </c>
      <c r="E882" s="1" t="s">
        <v>2707</v>
      </c>
      <c r="F882" s="1" t="s">
        <v>2049</v>
      </c>
      <c r="G882" s="1" t="s">
        <v>2050</v>
      </c>
      <c r="H882" s="1" t="str">
        <f t="shared" si="52"/>
        <v/>
      </c>
      <c r="I882" s="1" t="str">
        <f t="shared" si="53"/>
        <v/>
      </c>
      <c r="J882" s="1" t="str">
        <f t="shared" si="54"/>
        <v>Disk-{#SNMPINDEX}: 磁盘空间不足(已使用率&gt;{$VFS.FS.PUSED.MAX.WARN: "Disk-{#SNMPINDEX}"}%)</v>
      </c>
      <c r="K882" s="1" t="str">
        <f t="shared" si="55"/>
        <v/>
      </c>
    </row>
    <row r="883" spans="1:11">
      <c r="A883" s="1">
        <v>2051</v>
      </c>
      <c r="B883" s="1" t="s">
        <v>9518</v>
      </c>
      <c r="C883" s="1" t="s">
        <v>9117</v>
      </c>
      <c r="D883" s="1" t="s">
        <v>2690</v>
      </c>
      <c r="E883" s="1" t="s">
        <v>2709</v>
      </c>
      <c r="F883" s="1" t="s">
        <v>161</v>
      </c>
      <c r="G883" s="1" t="s">
        <v>162</v>
      </c>
      <c r="H883" s="1" t="str">
        <f t="shared" si="52"/>
        <v/>
      </c>
      <c r="I883" s="1" t="str">
        <f t="shared" si="53"/>
        <v/>
      </c>
      <c r="J883" s="1" t="str">
        <f t="shared" si="54"/>
        <v>接口{#IFNAME}({#IFALIAS}): 带宽使用率太高(&gt;{$IF.UTIL.MAX: "{#IFNAME}"}%)</v>
      </c>
      <c r="K883" s="1" t="str">
        <f t="shared" si="55"/>
        <v/>
      </c>
    </row>
    <row r="884" spans="1:11">
      <c r="A884" s="1">
        <v>2052</v>
      </c>
      <c r="B884" s="1" t="s">
        <v>9518</v>
      </c>
      <c r="C884" s="1" t="s">
        <v>9119</v>
      </c>
      <c r="D884" s="1" t="s">
        <v>2690</v>
      </c>
      <c r="E884" s="1" t="s">
        <v>2711</v>
      </c>
      <c r="F884" s="1" t="s">
        <v>165</v>
      </c>
      <c r="G884" s="1" t="s">
        <v>166</v>
      </c>
      <c r="H884" s="1" t="str">
        <f t="shared" si="52"/>
        <v/>
      </c>
      <c r="I884" s="1" t="str">
        <f t="shared" si="53"/>
        <v/>
      </c>
      <c r="J884" s="1" t="str">
        <f t="shared" si="54"/>
        <v>接口{#IFNAME}({#IFALIAS}): 错误率太高(&gt;{$IF.ERRORS.WARN: "{#IFNAME}"}达5分钟)</v>
      </c>
      <c r="K884" s="1" t="str">
        <f t="shared" si="55"/>
        <v/>
      </c>
    </row>
    <row r="885" spans="1:11">
      <c r="A885" s="1">
        <v>2054</v>
      </c>
      <c r="B885" s="1" t="s">
        <v>9518</v>
      </c>
      <c r="C885" s="1" t="s">
        <v>9121</v>
      </c>
      <c r="D885" s="1" t="s">
        <v>2690</v>
      </c>
      <c r="E885" s="1" t="s">
        <v>2713</v>
      </c>
      <c r="F885" s="1" t="s">
        <v>2057</v>
      </c>
      <c r="G885" s="1" t="s">
        <v>2058</v>
      </c>
      <c r="H885" s="1" t="str">
        <f t="shared" si="52"/>
        <v/>
      </c>
      <c r="I885" s="1" t="str">
        <f t="shared" si="53"/>
        <v/>
      </c>
      <c r="J885" s="1" t="str">
        <f t="shared" si="54"/>
        <v>接口{#IFNAME}({#IFALIAS}): LTE调制解调器RSRP低(低于{$LTEMODEM.RSRP.MIN.WARN}dbm5分钟)</v>
      </c>
      <c r="K885" s="1" t="str">
        <f t="shared" si="55"/>
        <v/>
      </c>
    </row>
    <row r="886" spans="1:11">
      <c r="A886" s="1">
        <v>2055</v>
      </c>
      <c r="B886" s="1" t="s">
        <v>9518</v>
      </c>
      <c r="C886" s="1" t="s">
        <v>9122</v>
      </c>
      <c r="D886" s="1" t="s">
        <v>2690</v>
      </c>
      <c r="E886" s="1" t="s">
        <v>2715</v>
      </c>
      <c r="F886" s="1" t="s">
        <v>2061</v>
      </c>
      <c r="G886" s="1" t="s">
        <v>2062</v>
      </c>
      <c r="H886" s="1" t="str">
        <f t="shared" si="52"/>
        <v/>
      </c>
      <c r="I886" s="1" t="str">
        <f t="shared" si="53"/>
        <v/>
      </c>
      <c r="J886" s="1" t="str">
        <f t="shared" si="54"/>
        <v>接口{#IFNAME}({#IFALIAS}): LTE调制解调器RSRQ低(低于{$LTEMODEM.RSRQ.MIN.WARN}db5分钟)</v>
      </c>
      <c r="K886" s="1" t="str">
        <f t="shared" si="55"/>
        <v/>
      </c>
    </row>
    <row r="887" spans="1:11">
      <c r="A887" s="1">
        <v>2056</v>
      </c>
      <c r="B887" s="1" t="s">
        <v>9518</v>
      </c>
      <c r="C887" s="1" t="s">
        <v>9123</v>
      </c>
      <c r="D887" s="1" t="s">
        <v>2690</v>
      </c>
      <c r="E887" s="1" t="s">
        <v>2717</v>
      </c>
      <c r="F887" s="1" t="s">
        <v>2065</v>
      </c>
      <c r="G887" s="1" t="s">
        <v>2058</v>
      </c>
      <c r="H887" s="1" t="str">
        <f t="shared" si="52"/>
        <v/>
      </c>
      <c r="I887" s="1" t="str">
        <f t="shared" si="53"/>
        <v/>
      </c>
      <c r="J887" s="1" t="str">
        <f t="shared" si="54"/>
        <v>接口{#IFNAME}({#IFALIAS}): LTE调制解调器RSRP低(低于{$LTEMODEM.RSRP.MIN.WARN}dbm5分钟)</v>
      </c>
      <c r="K887" s="1" t="str">
        <f t="shared" si="55"/>
        <v/>
      </c>
    </row>
    <row r="888" spans="1:11">
      <c r="A888" s="1">
        <v>2057</v>
      </c>
      <c r="B888" s="1" t="s">
        <v>9518</v>
      </c>
      <c r="C888" s="1" t="s">
        <v>9124</v>
      </c>
      <c r="D888" s="1" t="s">
        <v>2690</v>
      </c>
      <c r="E888" s="1" t="s">
        <v>2719</v>
      </c>
      <c r="F888" s="1" t="s">
        <v>2068</v>
      </c>
      <c r="G888" s="1" t="s">
        <v>2062</v>
      </c>
      <c r="H888" s="1" t="str">
        <f t="shared" si="52"/>
        <v/>
      </c>
      <c r="I888" s="1" t="str">
        <f t="shared" si="53"/>
        <v/>
      </c>
      <c r="J888" s="1" t="str">
        <f t="shared" si="54"/>
        <v>接口{#IFNAME}({#IFALIAS}): LTE调制解调器RSRQ低(低于{$LTEMODEM.RSRQ.MIN.WARN}db5分钟)</v>
      </c>
      <c r="K888" s="1" t="str">
        <f t="shared" si="55"/>
        <v/>
      </c>
    </row>
    <row r="889" spans="1:11">
      <c r="A889" s="1">
        <v>2059</v>
      </c>
      <c r="B889" s="1" t="s">
        <v>9519</v>
      </c>
      <c r="C889" s="1" t="s">
        <v>9098</v>
      </c>
      <c r="D889" s="1" t="s">
        <v>2721</v>
      </c>
      <c r="E889" s="1" t="s">
        <v>2722</v>
      </c>
      <c r="F889" s="1" t="s">
        <v>541</v>
      </c>
      <c r="G889" s="1" t="s">
        <v>542</v>
      </c>
      <c r="H889" s="1" t="str">
        <f t="shared" si="52"/>
        <v/>
      </c>
      <c r="I889" s="1" t="str">
        <f t="shared" si="53"/>
        <v/>
      </c>
      <c r="J889" s="1" t="str">
        <f t="shared" si="54"/>
        <v>#{#SNMPINDEX}: CPU使用率高了(超过{$CPU.UTIL.CRIT}%达5分钟)</v>
      </c>
      <c r="K889" s="1" t="str">
        <f t="shared" si="55"/>
        <v/>
      </c>
    </row>
    <row r="890" spans="1:11">
      <c r="A890" s="1">
        <v>2060</v>
      </c>
      <c r="B890" s="1" t="s">
        <v>9519</v>
      </c>
      <c r="C890" s="1" t="s">
        <v>9100</v>
      </c>
      <c r="D890" s="1" t="s">
        <v>2721</v>
      </c>
      <c r="E890" s="1" t="s">
        <v>2724</v>
      </c>
      <c r="F890" s="1" t="s">
        <v>1557</v>
      </c>
      <c r="G890" s="1" t="s">
        <v>1558</v>
      </c>
      <c r="H890" s="1" t="str">
        <f t="shared" si="52"/>
        <v>CPU</v>
      </c>
      <c r="I890" s="1" t="str">
        <f t="shared" si="53"/>
        <v>温度高于临界阈值: &gt;{$TEMP_CRIT: "CPU"}</v>
      </c>
      <c r="J890" s="1" t="str">
        <f t="shared" si="54"/>
        <v>CPU: 温度高于临界阈值: &gt;{$TEMP_CRIT: "CPU"}</v>
      </c>
      <c r="K890" s="1" t="str">
        <f t="shared" si="55"/>
        <v>Temperature is above critical threshold: &gt;{$TEMP_CRIT:"CPU"}</v>
      </c>
    </row>
    <row r="891" spans="1:11">
      <c r="A891" s="1">
        <v>2061</v>
      </c>
      <c r="B891" s="1" t="s">
        <v>9519</v>
      </c>
      <c r="C891" s="1" t="s">
        <v>9102</v>
      </c>
      <c r="D891" s="1" t="s">
        <v>2721</v>
      </c>
      <c r="E891" s="1" t="s">
        <v>2726</v>
      </c>
      <c r="F891" s="1" t="s">
        <v>1553</v>
      </c>
      <c r="G891" s="1" t="s">
        <v>1554</v>
      </c>
      <c r="H891" s="1" t="str">
        <f t="shared" si="52"/>
        <v>CPU</v>
      </c>
      <c r="I891" s="1" t="str">
        <f t="shared" si="53"/>
        <v>温度高于告警阈值: &gt;{$TEMP_WARN: "CPU"}</v>
      </c>
      <c r="J891" s="1" t="str">
        <f t="shared" si="54"/>
        <v>CPU: 温度高于告警阈值: &gt;{$TEMP_WARN: "CPU"}</v>
      </c>
      <c r="K891" s="1" t="str">
        <f t="shared" si="55"/>
        <v>Temperature is above warning threshold: &gt;{$TEMP_WARN:"CPU"}</v>
      </c>
    </row>
    <row r="892" spans="1:11">
      <c r="A892" s="1">
        <v>2062</v>
      </c>
      <c r="B892" s="1" t="s">
        <v>9519</v>
      </c>
      <c r="C892" s="1" t="s">
        <v>9104</v>
      </c>
      <c r="D892" s="1" t="s">
        <v>2721</v>
      </c>
      <c r="E892" s="1" t="s">
        <v>2728</v>
      </c>
      <c r="F892" s="1" t="s">
        <v>1561</v>
      </c>
      <c r="G892" s="1" t="s">
        <v>1562</v>
      </c>
      <c r="H892" s="1" t="str">
        <f t="shared" si="52"/>
        <v>CPU</v>
      </c>
      <c r="I892" s="1" t="str">
        <f t="shared" si="53"/>
        <v>温度太低: &lt;{$TEMP_CRIT_LOW: "CPU"}</v>
      </c>
      <c r="J892" s="1" t="str">
        <f t="shared" si="54"/>
        <v>CPU: 温度太低: &lt;{$TEMP_CRIT_LOW: "CPU"}</v>
      </c>
      <c r="K892" s="1" t="str">
        <f t="shared" si="55"/>
        <v>Temperature is too low: &lt;{$TEMP_CRIT_LOW:"CPU"}</v>
      </c>
    </row>
    <row r="893" spans="1:11">
      <c r="A893" s="1">
        <v>2063</v>
      </c>
      <c r="B893" s="1" t="s">
        <v>9519</v>
      </c>
      <c r="C893" s="1" t="s">
        <v>9106</v>
      </c>
      <c r="D893" s="1" t="s">
        <v>2721</v>
      </c>
      <c r="E893" s="1" t="s">
        <v>2730</v>
      </c>
      <c r="F893" s="1" t="s">
        <v>2033</v>
      </c>
      <c r="G893" s="1" t="s">
        <v>2034</v>
      </c>
      <c r="H893" s="1" t="str">
        <f t="shared" si="52"/>
        <v>Device</v>
      </c>
      <c r="I893" s="1" t="str">
        <f t="shared" si="53"/>
        <v>温度高于临界阈值: &gt;{$TEMP_CRIT: "Device"}</v>
      </c>
      <c r="J893" s="1" t="str">
        <f t="shared" si="54"/>
        <v>Device: 温度高于临界阈值: &gt;{$TEMP_CRIT: "Device"}</v>
      </c>
      <c r="K893" s="1" t="str">
        <f t="shared" si="55"/>
        <v>Temperature is above critical threshold: &gt;{$TEMP_CRIT:"Device"}</v>
      </c>
    </row>
    <row r="894" spans="1:11">
      <c r="A894" s="1">
        <v>2064</v>
      </c>
      <c r="B894" s="1" t="s">
        <v>9519</v>
      </c>
      <c r="C894" s="1" t="s">
        <v>9108</v>
      </c>
      <c r="D894" s="1" t="s">
        <v>2721</v>
      </c>
      <c r="E894" s="1" t="s">
        <v>2732</v>
      </c>
      <c r="F894" s="1" t="s">
        <v>2037</v>
      </c>
      <c r="G894" s="1" t="s">
        <v>2038</v>
      </c>
      <c r="H894" s="1" t="str">
        <f t="shared" si="52"/>
        <v>Device</v>
      </c>
      <c r="I894" s="1" t="str">
        <f t="shared" si="53"/>
        <v>温度高于告警阈值: &gt;{$TEMP_WARN: "Device"}</v>
      </c>
      <c r="J894" s="1" t="str">
        <f t="shared" si="54"/>
        <v>Device: 温度高于告警阈值: &gt;{$TEMP_WARN: "Device"}</v>
      </c>
      <c r="K894" s="1" t="str">
        <f t="shared" si="55"/>
        <v>Temperature is above warning threshold: &gt;{$TEMP_WARN:"Device"}</v>
      </c>
    </row>
    <row r="895" spans="1:11">
      <c r="A895" s="1">
        <v>2065</v>
      </c>
      <c r="B895" s="1" t="s">
        <v>9519</v>
      </c>
      <c r="C895" s="1" t="s">
        <v>9110</v>
      </c>
      <c r="D895" s="1" t="s">
        <v>2721</v>
      </c>
      <c r="E895" s="1" t="s">
        <v>2734</v>
      </c>
      <c r="F895" s="1" t="s">
        <v>2041</v>
      </c>
      <c r="G895" s="1" t="s">
        <v>2042</v>
      </c>
      <c r="H895" s="1" t="str">
        <f t="shared" si="52"/>
        <v>Device</v>
      </c>
      <c r="I895" s="1" t="str">
        <f t="shared" si="53"/>
        <v>温度太低: &lt;{$TEMP_CRIT_LOW: "Device"}</v>
      </c>
      <c r="J895" s="1" t="str">
        <f t="shared" si="54"/>
        <v>Device: 温度太低: &lt;{$TEMP_CRIT_LOW: "Device"}</v>
      </c>
      <c r="K895" s="1" t="str">
        <f t="shared" si="55"/>
        <v>Temperature is too low: &lt;{$TEMP_CRIT_LOW:"Device"}</v>
      </c>
    </row>
    <row r="896" spans="1:11">
      <c r="A896" s="1">
        <v>2066</v>
      </c>
      <c r="B896" s="1" t="s">
        <v>9519</v>
      </c>
      <c r="C896" s="1" t="s">
        <v>9112</v>
      </c>
      <c r="D896" s="1" t="s">
        <v>2721</v>
      </c>
      <c r="E896" s="1" t="s">
        <v>2736</v>
      </c>
      <c r="F896" s="1" t="s">
        <v>2045</v>
      </c>
      <c r="G896" s="1" t="s">
        <v>2046</v>
      </c>
      <c r="H896" s="1" t="str">
        <f t="shared" si="52"/>
        <v/>
      </c>
      <c r="I896" s="1" t="str">
        <f t="shared" si="53"/>
        <v/>
      </c>
      <c r="J896" s="1" t="str">
        <f t="shared" si="54"/>
        <v>Disk-{#SNMPINDEX}: 磁盘空间严重不足(已使用率&gt;{$VFS.FS.PUSED.MAX.CRIT: "Disk-{#SNMPINDEX}"}%)</v>
      </c>
      <c r="K896" s="1" t="str">
        <f t="shared" si="55"/>
        <v/>
      </c>
    </row>
    <row r="897" spans="1:11">
      <c r="A897" s="1">
        <v>2067</v>
      </c>
      <c r="B897" s="1" t="s">
        <v>9519</v>
      </c>
      <c r="C897" s="1" t="s">
        <v>9114</v>
      </c>
      <c r="D897" s="1" t="s">
        <v>2721</v>
      </c>
      <c r="E897" s="1" t="s">
        <v>2738</v>
      </c>
      <c r="F897" s="1" t="s">
        <v>2049</v>
      </c>
      <c r="G897" s="1" t="s">
        <v>2050</v>
      </c>
      <c r="H897" s="1" t="str">
        <f t="shared" si="52"/>
        <v/>
      </c>
      <c r="I897" s="1" t="str">
        <f t="shared" si="53"/>
        <v/>
      </c>
      <c r="J897" s="1" t="str">
        <f t="shared" si="54"/>
        <v>Disk-{#SNMPINDEX}: 磁盘空间不足(已使用率&gt;{$VFS.FS.PUSED.MAX.WARN: "Disk-{#SNMPINDEX}"}%)</v>
      </c>
      <c r="K897" s="1" t="str">
        <f t="shared" si="55"/>
        <v/>
      </c>
    </row>
    <row r="898" spans="1:11">
      <c r="A898" s="1">
        <v>2069</v>
      </c>
      <c r="B898" s="1" t="s">
        <v>9519</v>
      </c>
      <c r="C898" s="1" t="s">
        <v>9117</v>
      </c>
      <c r="D898" s="1" t="s">
        <v>2721</v>
      </c>
      <c r="E898" s="1" t="s">
        <v>2740</v>
      </c>
      <c r="F898" s="1" t="s">
        <v>161</v>
      </c>
      <c r="G898" s="1" t="s">
        <v>162</v>
      </c>
      <c r="H898" s="1" t="str">
        <f t="shared" ref="H898:H961" si="56">IFERROR(IF(OR(MID(G898,FIND(":",G898)-1,1)="""",MID(G898,FIND(":",G898)-1,1)="}",MID(G898,FIND(":",G898)-1,1)=")",MID(G898,FIND(":",G898)-1,1)="]"),"",LEFT(F898,FIND(":",F898)-1)),"")</f>
        <v/>
      </c>
      <c r="I898" s="1" t="str">
        <f t="shared" ref="I898:I961" si="57">IFERROR(IF(OR(MID(G898,FIND(":",G898)-1,1)="""",MID(G898,FIND(":",G898)-1,1)="}",MID(G898,FIND(":",G898)-1,1)=")",MID(G898,FIND(":",G898)-1,1)="]"),"",RIGHT(G898,LEN(G898)-FIND(":",G898)-1)),"")</f>
        <v/>
      </c>
      <c r="J898" s="1" t="str">
        <f t="shared" ref="J898:J961" si="58">IF(AND(I898="",H898=""),G898,H898&amp;": "&amp;I898)</f>
        <v>接口{#IFNAME}({#IFALIAS}): 带宽使用率太高(&gt;{$IF.UTIL.MAX: "{#IFNAME}"}%)</v>
      </c>
      <c r="K898" s="1" t="str">
        <f t="shared" ref="K898:K961" si="59">IFERROR(IF(OR(MID(F898,FIND(":",F898)-1,1)="""",MID(F898,FIND(":",F898)-1,1)="}",MID(F898,FIND(":",F898)-1,1)=")",MID(F898,FIND(":",F898)-1,1)="]"),"",RIGHT(F898,LEN(F898)-FIND(":",F898)-1)),"")</f>
        <v/>
      </c>
    </row>
    <row r="899" spans="1:11">
      <c r="A899" s="1">
        <v>2070</v>
      </c>
      <c r="B899" s="1" t="s">
        <v>9519</v>
      </c>
      <c r="C899" s="1" t="s">
        <v>9119</v>
      </c>
      <c r="D899" s="1" t="s">
        <v>2721</v>
      </c>
      <c r="E899" s="1" t="s">
        <v>2742</v>
      </c>
      <c r="F899" s="1" t="s">
        <v>165</v>
      </c>
      <c r="G899" s="1" t="s">
        <v>166</v>
      </c>
      <c r="H899" s="1" t="str">
        <f t="shared" si="56"/>
        <v/>
      </c>
      <c r="I899" s="1" t="str">
        <f t="shared" si="57"/>
        <v/>
      </c>
      <c r="J899" s="1" t="str">
        <f t="shared" si="58"/>
        <v>接口{#IFNAME}({#IFALIAS}): 错误率太高(&gt;{$IF.ERRORS.WARN: "{#IFNAME}"}达5分钟)</v>
      </c>
      <c r="K899" s="1" t="str">
        <f t="shared" si="59"/>
        <v/>
      </c>
    </row>
    <row r="900" spans="1:11">
      <c r="A900" s="1">
        <v>2072</v>
      </c>
      <c r="B900" s="1" t="s">
        <v>9519</v>
      </c>
      <c r="C900" s="1" t="s">
        <v>9121</v>
      </c>
      <c r="D900" s="1" t="s">
        <v>2721</v>
      </c>
      <c r="E900" s="1" t="s">
        <v>2744</v>
      </c>
      <c r="F900" s="1" t="s">
        <v>2057</v>
      </c>
      <c r="G900" s="1" t="s">
        <v>2058</v>
      </c>
      <c r="H900" s="1" t="str">
        <f t="shared" si="56"/>
        <v/>
      </c>
      <c r="I900" s="1" t="str">
        <f t="shared" si="57"/>
        <v/>
      </c>
      <c r="J900" s="1" t="str">
        <f t="shared" si="58"/>
        <v>接口{#IFNAME}({#IFALIAS}): LTE调制解调器RSRP低(低于{$LTEMODEM.RSRP.MIN.WARN}dbm5分钟)</v>
      </c>
      <c r="K900" s="1" t="str">
        <f t="shared" si="59"/>
        <v/>
      </c>
    </row>
    <row r="901" spans="1:11">
      <c r="A901" s="1">
        <v>2073</v>
      </c>
      <c r="B901" s="1" t="s">
        <v>9519</v>
      </c>
      <c r="C901" s="1" t="s">
        <v>9122</v>
      </c>
      <c r="D901" s="1" t="s">
        <v>2721</v>
      </c>
      <c r="E901" s="1" t="s">
        <v>2746</v>
      </c>
      <c r="F901" s="1" t="s">
        <v>2061</v>
      </c>
      <c r="G901" s="1" t="s">
        <v>2062</v>
      </c>
      <c r="H901" s="1" t="str">
        <f t="shared" si="56"/>
        <v/>
      </c>
      <c r="I901" s="1" t="str">
        <f t="shared" si="57"/>
        <v/>
      </c>
      <c r="J901" s="1" t="str">
        <f t="shared" si="58"/>
        <v>接口{#IFNAME}({#IFALIAS}): LTE调制解调器RSRQ低(低于{$LTEMODEM.RSRQ.MIN.WARN}db5分钟)</v>
      </c>
      <c r="K901" s="1" t="str">
        <f t="shared" si="59"/>
        <v/>
      </c>
    </row>
    <row r="902" spans="1:11">
      <c r="A902" s="1">
        <v>2074</v>
      </c>
      <c r="B902" s="1" t="s">
        <v>9519</v>
      </c>
      <c r="C902" s="1" t="s">
        <v>9123</v>
      </c>
      <c r="D902" s="1" t="s">
        <v>2721</v>
      </c>
      <c r="E902" s="1" t="s">
        <v>2748</v>
      </c>
      <c r="F902" s="1" t="s">
        <v>2065</v>
      </c>
      <c r="G902" s="1" t="s">
        <v>2058</v>
      </c>
      <c r="H902" s="1" t="str">
        <f t="shared" si="56"/>
        <v/>
      </c>
      <c r="I902" s="1" t="str">
        <f t="shared" si="57"/>
        <v/>
      </c>
      <c r="J902" s="1" t="str">
        <f t="shared" si="58"/>
        <v>接口{#IFNAME}({#IFALIAS}): LTE调制解调器RSRP低(低于{$LTEMODEM.RSRP.MIN.WARN}dbm5分钟)</v>
      </c>
      <c r="K902" s="1" t="str">
        <f t="shared" si="59"/>
        <v/>
      </c>
    </row>
    <row r="903" spans="1:11">
      <c r="A903" s="1">
        <v>2075</v>
      </c>
      <c r="B903" s="1" t="s">
        <v>9519</v>
      </c>
      <c r="C903" s="1" t="s">
        <v>9124</v>
      </c>
      <c r="D903" s="1" t="s">
        <v>2721</v>
      </c>
      <c r="E903" s="1" t="s">
        <v>2750</v>
      </c>
      <c r="F903" s="1" t="s">
        <v>2068</v>
      </c>
      <c r="G903" s="1" t="s">
        <v>2062</v>
      </c>
      <c r="H903" s="1" t="str">
        <f t="shared" si="56"/>
        <v/>
      </c>
      <c r="I903" s="1" t="str">
        <f t="shared" si="57"/>
        <v/>
      </c>
      <c r="J903" s="1" t="str">
        <f t="shared" si="58"/>
        <v>接口{#IFNAME}({#IFALIAS}): LTE调制解调器RSRQ低(低于{$LTEMODEM.RSRQ.MIN.WARN}db5分钟)</v>
      </c>
      <c r="K903" s="1" t="str">
        <f t="shared" si="59"/>
        <v/>
      </c>
    </row>
    <row r="904" spans="1:11">
      <c r="A904" s="1">
        <v>2077</v>
      </c>
      <c r="B904" s="1" t="s">
        <v>9520</v>
      </c>
      <c r="C904" s="1" t="s">
        <v>9098</v>
      </c>
      <c r="D904" s="1" t="s">
        <v>2752</v>
      </c>
      <c r="E904" s="1" t="s">
        <v>2753</v>
      </c>
      <c r="F904" s="1" t="s">
        <v>541</v>
      </c>
      <c r="G904" s="1" t="s">
        <v>542</v>
      </c>
      <c r="H904" s="1" t="str">
        <f t="shared" si="56"/>
        <v/>
      </c>
      <c r="I904" s="1" t="str">
        <f t="shared" si="57"/>
        <v/>
      </c>
      <c r="J904" s="1" t="str">
        <f t="shared" si="58"/>
        <v>#{#SNMPINDEX}: CPU使用率高了(超过{$CPU.UTIL.CRIT}%达5分钟)</v>
      </c>
      <c r="K904" s="1" t="str">
        <f t="shared" si="59"/>
        <v/>
      </c>
    </row>
    <row r="905" spans="1:11">
      <c r="A905" s="1">
        <v>2078</v>
      </c>
      <c r="B905" s="1" t="s">
        <v>9520</v>
      </c>
      <c r="C905" s="1" t="s">
        <v>9100</v>
      </c>
      <c r="D905" s="1" t="s">
        <v>2752</v>
      </c>
      <c r="E905" s="1" t="s">
        <v>2755</v>
      </c>
      <c r="F905" s="1" t="s">
        <v>1557</v>
      </c>
      <c r="G905" s="1" t="s">
        <v>1558</v>
      </c>
      <c r="H905" s="1" t="str">
        <f t="shared" si="56"/>
        <v>CPU</v>
      </c>
      <c r="I905" s="1" t="str">
        <f t="shared" si="57"/>
        <v>温度高于临界阈值: &gt;{$TEMP_CRIT: "CPU"}</v>
      </c>
      <c r="J905" s="1" t="str">
        <f t="shared" si="58"/>
        <v>CPU: 温度高于临界阈值: &gt;{$TEMP_CRIT: "CPU"}</v>
      </c>
      <c r="K905" s="1" t="str">
        <f t="shared" si="59"/>
        <v>Temperature is above critical threshold: &gt;{$TEMP_CRIT:"CPU"}</v>
      </c>
    </row>
    <row r="906" spans="1:11">
      <c r="A906" s="1">
        <v>2079</v>
      </c>
      <c r="B906" s="1" t="s">
        <v>9520</v>
      </c>
      <c r="C906" s="1" t="s">
        <v>9102</v>
      </c>
      <c r="D906" s="1" t="s">
        <v>2752</v>
      </c>
      <c r="E906" s="1" t="s">
        <v>2757</v>
      </c>
      <c r="F906" s="1" t="s">
        <v>1553</v>
      </c>
      <c r="G906" s="1" t="s">
        <v>1554</v>
      </c>
      <c r="H906" s="1" t="str">
        <f t="shared" si="56"/>
        <v>CPU</v>
      </c>
      <c r="I906" s="1" t="str">
        <f t="shared" si="57"/>
        <v>温度高于告警阈值: &gt;{$TEMP_WARN: "CPU"}</v>
      </c>
      <c r="J906" s="1" t="str">
        <f t="shared" si="58"/>
        <v>CPU: 温度高于告警阈值: &gt;{$TEMP_WARN: "CPU"}</v>
      </c>
      <c r="K906" s="1" t="str">
        <f t="shared" si="59"/>
        <v>Temperature is above warning threshold: &gt;{$TEMP_WARN:"CPU"}</v>
      </c>
    </row>
    <row r="907" spans="1:11">
      <c r="A907" s="1">
        <v>2080</v>
      </c>
      <c r="B907" s="1" t="s">
        <v>9520</v>
      </c>
      <c r="C907" s="1" t="s">
        <v>9104</v>
      </c>
      <c r="D907" s="1" t="s">
        <v>2752</v>
      </c>
      <c r="E907" s="1" t="s">
        <v>2759</v>
      </c>
      <c r="F907" s="1" t="s">
        <v>1561</v>
      </c>
      <c r="G907" s="1" t="s">
        <v>1562</v>
      </c>
      <c r="H907" s="1" t="str">
        <f t="shared" si="56"/>
        <v>CPU</v>
      </c>
      <c r="I907" s="1" t="str">
        <f t="shared" si="57"/>
        <v>温度太低: &lt;{$TEMP_CRIT_LOW: "CPU"}</v>
      </c>
      <c r="J907" s="1" t="str">
        <f t="shared" si="58"/>
        <v>CPU: 温度太低: &lt;{$TEMP_CRIT_LOW: "CPU"}</v>
      </c>
      <c r="K907" s="1" t="str">
        <f t="shared" si="59"/>
        <v>Temperature is too low: &lt;{$TEMP_CRIT_LOW:"CPU"}</v>
      </c>
    </row>
    <row r="908" spans="1:11">
      <c r="A908" s="1">
        <v>2081</v>
      </c>
      <c r="B908" s="1" t="s">
        <v>9520</v>
      </c>
      <c r="C908" s="1" t="s">
        <v>9106</v>
      </c>
      <c r="D908" s="1" t="s">
        <v>2752</v>
      </c>
      <c r="E908" s="1" t="s">
        <v>2761</v>
      </c>
      <c r="F908" s="1" t="s">
        <v>2033</v>
      </c>
      <c r="G908" s="1" t="s">
        <v>2034</v>
      </c>
      <c r="H908" s="1" t="str">
        <f t="shared" si="56"/>
        <v>Device</v>
      </c>
      <c r="I908" s="1" t="str">
        <f t="shared" si="57"/>
        <v>温度高于临界阈值: &gt;{$TEMP_CRIT: "Device"}</v>
      </c>
      <c r="J908" s="1" t="str">
        <f t="shared" si="58"/>
        <v>Device: 温度高于临界阈值: &gt;{$TEMP_CRIT: "Device"}</v>
      </c>
      <c r="K908" s="1" t="str">
        <f t="shared" si="59"/>
        <v>Temperature is above critical threshold: &gt;{$TEMP_CRIT:"Device"}</v>
      </c>
    </row>
    <row r="909" spans="1:11">
      <c r="A909" s="1">
        <v>2082</v>
      </c>
      <c r="B909" s="1" t="s">
        <v>9520</v>
      </c>
      <c r="C909" s="1" t="s">
        <v>9108</v>
      </c>
      <c r="D909" s="1" t="s">
        <v>2752</v>
      </c>
      <c r="E909" s="1" t="s">
        <v>2763</v>
      </c>
      <c r="F909" s="1" t="s">
        <v>2037</v>
      </c>
      <c r="G909" s="1" t="s">
        <v>2038</v>
      </c>
      <c r="H909" s="1" t="str">
        <f t="shared" si="56"/>
        <v>Device</v>
      </c>
      <c r="I909" s="1" t="str">
        <f t="shared" si="57"/>
        <v>温度高于告警阈值: &gt;{$TEMP_WARN: "Device"}</v>
      </c>
      <c r="J909" s="1" t="str">
        <f t="shared" si="58"/>
        <v>Device: 温度高于告警阈值: &gt;{$TEMP_WARN: "Device"}</v>
      </c>
      <c r="K909" s="1" t="str">
        <f t="shared" si="59"/>
        <v>Temperature is above warning threshold: &gt;{$TEMP_WARN:"Device"}</v>
      </c>
    </row>
    <row r="910" spans="1:11">
      <c r="A910" s="1">
        <v>2083</v>
      </c>
      <c r="B910" s="1" t="s">
        <v>9520</v>
      </c>
      <c r="C910" s="1" t="s">
        <v>9110</v>
      </c>
      <c r="D910" s="1" t="s">
        <v>2752</v>
      </c>
      <c r="E910" s="1" t="s">
        <v>2765</v>
      </c>
      <c r="F910" s="1" t="s">
        <v>2041</v>
      </c>
      <c r="G910" s="1" t="s">
        <v>2042</v>
      </c>
      <c r="H910" s="1" t="str">
        <f t="shared" si="56"/>
        <v>Device</v>
      </c>
      <c r="I910" s="1" t="str">
        <f t="shared" si="57"/>
        <v>温度太低: &lt;{$TEMP_CRIT_LOW: "Device"}</v>
      </c>
      <c r="J910" s="1" t="str">
        <f t="shared" si="58"/>
        <v>Device: 温度太低: &lt;{$TEMP_CRIT_LOW: "Device"}</v>
      </c>
      <c r="K910" s="1" t="str">
        <f t="shared" si="59"/>
        <v>Temperature is too low: &lt;{$TEMP_CRIT_LOW:"Device"}</v>
      </c>
    </row>
    <row r="911" spans="1:11">
      <c r="A911" s="1">
        <v>2084</v>
      </c>
      <c r="B911" s="1" t="s">
        <v>9520</v>
      </c>
      <c r="C911" s="1" t="s">
        <v>9112</v>
      </c>
      <c r="D911" s="1" t="s">
        <v>2752</v>
      </c>
      <c r="E911" s="1" t="s">
        <v>2767</v>
      </c>
      <c r="F911" s="1" t="s">
        <v>2045</v>
      </c>
      <c r="G911" s="1" t="s">
        <v>2046</v>
      </c>
      <c r="H911" s="1" t="str">
        <f t="shared" si="56"/>
        <v/>
      </c>
      <c r="I911" s="1" t="str">
        <f t="shared" si="57"/>
        <v/>
      </c>
      <c r="J911" s="1" t="str">
        <f t="shared" si="58"/>
        <v>Disk-{#SNMPINDEX}: 磁盘空间严重不足(已使用率&gt;{$VFS.FS.PUSED.MAX.CRIT: "Disk-{#SNMPINDEX}"}%)</v>
      </c>
      <c r="K911" s="1" t="str">
        <f t="shared" si="59"/>
        <v/>
      </c>
    </row>
    <row r="912" spans="1:11">
      <c r="A912" s="1">
        <v>2085</v>
      </c>
      <c r="B912" s="1" t="s">
        <v>9520</v>
      </c>
      <c r="C912" s="1" t="s">
        <v>9114</v>
      </c>
      <c r="D912" s="1" t="s">
        <v>2752</v>
      </c>
      <c r="E912" s="1" t="s">
        <v>2769</v>
      </c>
      <c r="F912" s="1" t="s">
        <v>2049</v>
      </c>
      <c r="G912" s="1" t="s">
        <v>2050</v>
      </c>
      <c r="H912" s="1" t="str">
        <f t="shared" si="56"/>
        <v/>
      </c>
      <c r="I912" s="1" t="str">
        <f t="shared" si="57"/>
        <v/>
      </c>
      <c r="J912" s="1" t="str">
        <f t="shared" si="58"/>
        <v>Disk-{#SNMPINDEX}: 磁盘空间不足(已使用率&gt;{$VFS.FS.PUSED.MAX.WARN: "Disk-{#SNMPINDEX}"}%)</v>
      </c>
      <c r="K912" s="1" t="str">
        <f t="shared" si="59"/>
        <v/>
      </c>
    </row>
    <row r="913" spans="1:11">
      <c r="A913" s="1">
        <v>2087</v>
      </c>
      <c r="B913" s="1" t="s">
        <v>9520</v>
      </c>
      <c r="C913" s="1" t="s">
        <v>9117</v>
      </c>
      <c r="D913" s="1" t="s">
        <v>2752</v>
      </c>
      <c r="E913" s="1" t="s">
        <v>2771</v>
      </c>
      <c r="F913" s="1" t="s">
        <v>161</v>
      </c>
      <c r="G913" s="1" t="s">
        <v>162</v>
      </c>
      <c r="H913" s="1" t="str">
        <f t="shared" si="56"/>
        <v/>
      </c>
      <c r="I913" s="1" t="str">
        <f t="shared" si="57"/>
        <v/>
      </c>
      <c r="J913" s="1" t="str">
        <f t="shared" si="58"/>
        <v>接口{#IFNAME}({#IFALIAS}): 带宽使用率太高(&gt;{$IF.UTIL.MAX: "{#IFNAME}"}%)</v>
      </c>
      <c r="K913" s="1" t="str">
        <f t="shared" si="59"/>
        <v/>
      </c>
    </row>
    <row r="914" spans="1:11">
      <c r="A914" s="1">
        <v>2088</v>
      </c>
      <c r="B914" s="1" t="s">
        <v>9520</v>
      </c>
      <c r="C914" s="1" t="s">
        <v>9119</v>
      </c>
      <c r="D914" s="1" t="s">
        <v>2752</v>
      </c>
      <c r="E914" s="1" t="s">
        <v>2773</v>
      </c>
      <c r="F914" s="1" t="s">
        <v>165</v>
      </c>
      <c r="G914" s="1" t="s">
        <v>166</v>
      </c>
      <c r="H914" s="1" t="str">
        <f t="shared" si="56"/>
        <v/>
      </c>
      <c r="I914" s="1" t="str">
        <f t="shared" si="57"/>
        <v/>
      </c>
      <c r="J914" s="1" t="str">
        <f t="shared" si="58"/>
        <v>接口{#IFNAME}({#IFALIAS}): 错误率太高(&gt;{$IF.ERRORS.WARN: "{#IFNAME}"}达5分钟)</v>
      </c>
      <c r="K914" s="1" t="str">
        <f t="shared" si="59"/>
        <v/>
      </c>
    </row>
    <row r="915" spans="1:11">
      <c r="A915" s="1">
        <v>2090</v>
      </c>
      <c r="B915" s="1" t="s">
        <v>9520</v>
      </c>
      <c r="C915" s="1" t="s">
        <v>9121</v>
      </c>
      <c r="D915" s="1" t="s">
        <v>2752</v>
      </c>
      <c r="E915" s="1" t="s">
        <v>2775</v>
      </c>
      <c r="F915" s="1" t="s">
        <v>2057</v>
      </c>
      <c r="G915" s="1" t="s">
        <v>2058</v>
      </c>
      <c r="H915" s="1" t="str">
        <f t="shared" si="56"/>
        <v/>
      </c>
      <c r="I915" s="1" t="str">
        <f t="shared" si="57"/>
        <v/>
      </c>
      <c r="J915" s="1" t="str">
        <f t="shared" si="58"/>
        <v>接口{#IFNAME}({#IFALIAS}): LTE调制解调器RSRP低(低于{$LTEMODEM.RSRP.MIN.WARN}dbm5分钟)</v>
      </c>
      <c r="K915" s="1" t="str">
        <f t="shared" si="59"/>
        <v/>
      </c>
    </row>
    <row r="916" spans="1:11">
      <c r="A916" s="1">
        <v>2091</v>
      </c>
      <c r="B916" s="1" t="s">
        <v>9520</v>
      </c>
      <c r="C916" s="1" t="s">
        <v>9122</v>
      </c>
      <c r="D916" s="1" t="s">
        <v>2752</v>
      </c>
      <c r="E916" s="1" t="s">
        <v>2777</v>
      </c>
      <c r="F916" s="1" t="s">
        <v>2061</v>
      </c>
      <c r="G916" s="1" t="s">
        <v>2062</v>
      </c>
      <c r="H916" s="1" t="str">
        <f t="shared" si="56"/>
        <v/>
      </c>
      <c r="I916" s="1" t="str">
        <f t="shared" si="57"/>
        <v/>
      </c>
      <c r="J916" s="1" t="str">
        <f t="shared" si="58"/>
        <v>接口{#IFNAME}({#IFALIAS}): LTE调制解调器RSRQ低(低于{$LTEMODEM.RSRQ.MIN.WARN}db5分钟)</v>
      </c>
      <c r="K916" s="1" t="str">
        <f t="shared" si="59"/>
        <v/>
      </c>
    </row>
    <row r="917" spans="1:11">
      <c r="A917" s="1">
        <v>2092</v>
      </c>
      <c r="B917" s="1" t="s">
        <v>9520</v>
      </c>
      <c r="C917" s="1" t="s">
        <v>9123</v>
      </c>
      <c r="D917" s="1" t="s">
        <v>2752</v>
      </c>
      <c r="E917" s="1" t="s">
        <v>2779</v>
      </c>
      <c r="F917" s="1" t="s">
        <v>2065</v>
      </c>
      <c r="G917" s="1" t="s">
        <v>2058</v>
      </c>
      <c r="H917" s="1" t="str">
        <f t="shared" si="56"/>
        <v/>
      </c>
      <c r="I917" s="1" t="str">
        <f t="shared" si="57"/>
        <v/>
      </c>
      <c r="J917" s="1" t="str">
        <f t="shared" si="58"/>
        <v>接口{#IFNAME}({#IFALIAS}): LTE调制解调器RSRP低(低于{$LTEMODEM.RSRP.MIN.WARN}dbm5分钟)</v>
      </c>
      <c r="K917" s="1" t="str">
        <f t="shared" si="59"/>
        <v/>
      </c>
    </row>
    <row r="918" spans="1:11">
      <c r="A918" s="1">
        <v>2093</v>
      </c>
      <c r="B918" s="1" t="s">
        <v>9520</v>
      </c>
      <c r="C918" s="1" t="s">
        <v>9124</v>
      </c>
      <c r="D918" s="1" t="s">
        <v>2752</v>
      </c>
      <c r="E918" s="1" t="s">
        <v>2781</v>
      </c>
      <c r="F918" s="1" t="s">
        <v>2068</v>
      </c>
      <c r="G918" s="1" t="s">
        <v>2062</v>
      </c>
      <c r="H918" s="1" t="str">
        <f t="shared" si="56"/>
        <v/>
      </c>
      <c r="I918" s="1" t="str">
        <f t="shared" si="57"/>
        <v/>
      </c>
      <c r="J918" s="1" t="str">
        <f t="shared" si="58"/>
        <v>接口{#IFNAME}({#IFALIAS}): LTE调制解调器RSRQ低(低于{$LTEMODEM.RSRQ.MIN.WARN}db5分钟)</v>
      </c>
      <c r="K918" s="1" t="str">
        <f t="shared" si="59"/>
        <v/>
      </c>
    </row>
    <row r="919" spans="1:11">
      <c r="A919" s="1">
        <v>2095</v>
      </c>
      <c r="B919" s="1" t="s">
        <v>9521</v>
      </c>
      <c r="C919" s="1" t="s">
        <v>9098</v>
      </c>
      <c r="D919" s="1" t="s">
        <v>2783</v>
      </c>
      <c r="E919" s="1" t="s">
        <v>2784</v>
      </c>
      <c r="F919" s="1" t="s">
        <v>541</v>
      </c>
      <c r="G919" s="1" t="s">
        <v>542</v>
      </c>
      <c r="H919" s="1" t="str">
        <f t="shared" si="56"/>
        <v/>
      </c>
      <c r="I919" s="1" t="str">
        <f t="shared" si="57"/>
        <v/>
      </c>
      <c r="J919" s="1" t="str">
        <f t="shared" si="58"/>
        <v>#{#SNMPINDEX}: CPU使用率高了(超过{$CPU.UTIL.CRIT}%达5分钟)</v>
      </c>
      <c r="K919" s="1" t="str">
        <f t="shared" si="59"/>
        <v/>
      </c>
    </row>
    <row r="920" spans="1:11">
      <c r="A920" s="1">
        <v>2096</v>
      </c>
      <c r="B920" s="1" t="s">
        <v>9521</v>
      </c>
      <c r="C920" s="1" t="s">
        <v>9100</v>
      </c>
      <c r="D920" s="1" t="s">
        <v>2783</v>
      </c>
      <c r="E920" s="1" t="s">
        <v>2786</v>
      </c>
      <c r="F920" s="1" t="s">
        <v>1557</v>
      </c>
      <c r="G920" s="1" t="s">
        <v>1558</v>
      </c>
      <c r="H920" s="1" t="str">
        <f t="shared" si="56"/>
        <v>CPU</v>
      </c>
      <c r="I920" s="1" t="str">
        <f t="shared" si="57"/>
        <v>温度高于临界阈值: &gt;{$TEMP_CRIT: "CPU"}</v>
      </c>
      <c r="J920" s="1" t="str">
        <f t="shared" si="58"/>
        <v>CPU: 温度高于临界阈值: &gt;{$TEMP_CRIT: "CPU"}</v>
      </c>
      <c r="K920" s="1" t="str">
        <f t="shared" si="59"/>
        <v>Temperature is above critical threshold: &gt;{$TEMP_CRIT:"CPU"}</v>
      </c>
    </row>
    <row r="921" spans="1:11">
      <c r="A921" s="1">
        <v>2097</v>
      </c>
      <c r="B921" s="1" t="s">
        <v>9521</v>
      </c>
      <c r="C921" s="1" t="s">
        <v>9102</v>
      </c>
      <c r="D921" s="1" t="s">
        <v>2783</v>
      </c>
      <c r="E921" s="1" t="s">
        <v>2788</v>
      </c>
      <c r="F921" s="1" t="s">
        <v>1553</v>
      </c>
      <c r="G921" s="1" t="s">
        <v>1554</v>
      </c>
      <c r="H921" s="1" t="str">
        <f t="shared" si="56"/>
        <v>CPU</v>
      </c>
      <c r="I921" s="1" t="str">
        <f t="shared" si="57"/>
        <v>温度高于告警阈值: &gt;{$TEMP_WARN: "CPU"}</v>
      </c>
      <c r="J921" s="1" t="str">
        <f t="shared" si="58"/>
        <v>CPU: 温度高于告警阈值: &gt;{$TEMP_WARN: "CPU"}</v>
      </c>
      <c r="K921" s="1" t="str">
        <f t="shared" si="59"/>
        <v>Temperature is above warning threshold: &gt;{$TEMP_WARN:"CPU"}</v>
      </c>
    </row>
    <row r="922" spans="1:11">
      <c r="A922" s="1">
        <v>2098</v>
      </c>
      <c r="B922" s="1" t="s">
        <v>9521</v>
      </c>
      <c r="C922" s="1" t="s">
        <v>9104</v>
      </c>
      <c r="D922" s="1" t="s">
        <v>2783</v>
      </c>
      <c r="E922" s="1" t="s">
        <v>2790</v>
      </c>
      <c r="F922" s="1" t="s">
        <v>1561</v>
      </c>
      <c r="G922" s="1" t="s">
        <v>1562</v>
      </c>
      <c r="H922" s="1" t="str">
        <f t="shared" si="56"/>
        <v>CPU</v>
      </c>
      <c r="I922" s="1" t="str">
        <f t="shared" si="57"/>
        <v>温度太低: &lt;{$TEMP_CRIT_LOW: "CPU"}</v>
      </c>
      <c r="J922" s="1" t="str">
        <f t="shared" si="58"/>
        <v>CPU: 温度太低: &lt;{$TEMP_CRIT_LOW: "CPU"}</v>
      </c>
      <c r="K922" s="1" t="str">
        <f t="shared" si="59"/>
        <v>Temperature is too low: &lt;{$TEMP_CRIT_LOW:"CPU"}</v>
      </c>
    </row>
    <row r="923" spans="1:11">
      <c r="A923" s="1">
        <v>2099</v>
      </c>
      <c r="B923" s="1" t="s">
        <v>9521</v>
      </c>
      <c r="C923" s="1" t="s">
        <v>9106</v>
      </c>
      <c r="D923" s="1" t="s">
        <v>2783</v>
      </c>
      <c r="E923" s="1" t="s">
        <v>2792</v>
      </c>
      <c r="F923" s="1" t="s">
        <v>2033</v>
      </c>
      <c r="G923" s="1" t="s">
        <v>2034</v>
      </c>
      <c r="H923" s="1" t="str">
        <f t="shared" si="56"/>
        <v>Device</v>
      </c>
      <c r="I923" s="1" t="str">
        <f t="shared" si="57"/>
        <v>温度高于临界阈值: &gt;{$TEMP_CRIT: "Device"}</v>
      </c>
      <c r="J923" s="1" t="str">
        <f t="shared" si="58"/>
        <v>Device: 温度高于临界阈值: &gt;{$TEMP_CRIT: "Device"}</v>
      </c>
      <c r="K923" s="1" t="str">
        <f t="shared" si="59"/>
        <v>Temperature is above critical threshold: &gt;{$TEMP_CRIT:"Device"}</v>
      </c>
    </row>
    <row r="924" spans="1:11">
      <c r="A924" s="1">
        <v>2100</v>
      </c>
      <c r="B924" s="1" t="s">
        <v>9521</v>
      </c>
      <c r="C924" s="1" t="s">
        <v>9108</v>
      </c>
      <c r="D924" s="1" t="s">
        <v>2783</v>
      </c>
      <c r="E924" s="1" t="s">
        <v>2794</v>
      </c>
      <c r="F924" s="1" t="s">
        <v>2037</v>
      </c>
      <c r="G924" s="1" t="s">
        <v>2038</v>
      </c>
      <c r="H924" s="1" t="str">
        <f t="shared" si="56"/>
        <v>Device</v>
      </c>
      <c r="I924" s="1" t="str">
        <f t="shared" si="57"/>
        <v>温度高于告警阈值: &gt;{$TEMP_WARN: "Device"}</v>
      </c>
      <c r="J924" s="1" t="str">
        <f t="shared" si="58"/>
        <v>Device: 温度高于告警阈值: &gt;{$TEMP_WARN: "Device"}</v>
      </c>
      <c r="K924" s="1" t="str">
        <f t="shared" si="59"/>
        <v>Temperature is above warning threshold: &gt;{$TEMP_WARN:"Device"}</v>
      </c>
    </row>
    <row r="925" spans="1:11">
      <c r="A925" s="1">
        <v>2101</v>
      </c>
      <c r="B925" s="1" t="s">
        <v>9521</v>
      </c>
      <c r="C925" s="1" t="s">
        <v>9110</v>
      </c>
      <c r="D925" s="1" t="s">
        <v>2783</v>
      </c>
      <c r="E925" s="1" t="s">
        <v>2796</v>
      </c>
      <c r="F925" s="1" t="s">
        <v>2041</v>
      </c>
      <c r="G925" s="1" t="s">
        <v>2042</v>
      </c>
      <c r="H925" s="1" t="str">
        <f t="shared" si="56"/>
        <v>Device</v>
      </c>
      <c r="I925" s="1" t="str">
        <f t="shared" si="57"/>
        <v>温度太低: &lt;{$TEMP_CRIT_LOW: "Device"}</v>
      </c>
      <c r="J925" s="1" t="str">
        <f t="shared" si="58"/>
        <v>Device: 温度太低: &lt;{$TEMP_CRIT_LOW: "Device"}</v>
      </c>
      <c r="K925" s="1" t="str">
        <f t="shared" si="59"/>
        <v>Temperature is too low: &lt;{$TEMP_CRIT_LOW:"Device"}</v>
      </c>
    </row>
    <row r="926" spans="1:11">
      <c r="A926" s="1">
        <v>2102</v>
      </c>
      <c r="B926" s="1" t="s">
        <v>9521</v>
      </c>
      <c r="C926" s="1" t="s">
        <v>9112</v>
      </c>
      <c r="D926" s="1" t="s">
        <v>2783</v>
      </c>
      <c r="E926" s="1" t="s">
        <v>2798</v>
      </c>
      <c r="F926" s="1" t="s">
        <v>2045</v>
      </c>
      <c r="G926" s="1" t="s">
        <v>2046</v>
      </c>
      <c r="H926" s="1" t="str">
        <f t="shared" si="56"/>
        <v/>
      </c>
      <c r="I926" s="1" t="str">
        <f t="shared" si="57"/>
        <v/>
      </c>
      <c r="J926" s="1" t="str">
        <f t="shared" si="58"/>
        <v>Disk-{#SNMPINDEX}: 磁盘空间严重不足(已使用率&gt;{$VFS.FS.PUSED.MAX.CRIT: "Disk-{#SNMPINDEX}"}%)</v>
      </c>
      <c r="K926" s="1" t="str">
        <f t="shared" si="59"/>
        <v/>
      </c>
    </row>
    <row r="927" spans="1:11">
      <c r="A927" s="1">
        <v>2103</v>
      </c>
      <c r="B927" s="1" t="s">
        <v>9521</v>
      </c>
      <c r="C927" s="1" t="s">
        <v>9114</v>
      </c>
      <c r="D927" s="1" t="s">
        <v>2783</v>
      </c>
      <c r="E927" s="1" t="s">
        <v>2800</v>
      </c>
      <c r="F927" s="1" t="s">
        <v>2049</v>
      </c>
      <c r="G927" s="1" t="s">
        <v>2050</v>
      </c>
      <c r="H927" s="1" t="str">
        <f t="shared" si="56"/>
        <v/>
      </c>
      <c r="I927" s="1" t="str">
        <f t="shared" si="57"/>
        <v/>
      </c>
      <c r="J927" s="1" t="str">
        <f t="shared" si="58"/>
        <v>Disk-{#SNMPINDEX}: 磁盘空间不足(已使用率&gt;{$VFS.FS.PUSED.MAX.WARN: "Disk-{#SNMPINDEX}"}%)</v>
      </c>
      <c r="K927" s="1" t="str">
        <f t="shared" si="59"/>
        <v/>
      </c>
    </row>
    <row r="928" spans="1:11">
      <c r="A928" s="1">
        <v>2105</v>
      </c>
      <c r="B928" s="1" t="s">
        <v>9521</v>
      </c>
      <c r="C928" s="1" t="s">
        <v>9117</v>
      </c>
      <c r="D928" s="1" t="s">
        <v>2783</v>
      </c>
      <c r="E928" s="1" t="s">
        <v>2802</v>
      </c>
      <c r="F928" s="1" t="s">
        <v>161</v>
      </c>
      <c r="G928" s="1" t="s">
        <v>162</v>
      </c>
      <c r="H928" s="1" t="str">
        <f t="shared" si="56"/>
        <v/>
      </c>
      <c r="I928" s="1" t="str">
        <f t="shared" si="57"/>
        <v/>
      </c>
      <c r="J928" s="1" t="str">
        <f t="shared" si="58"/>
        <v>接口{#IFNAME}({#IFALIAS}): 带宽使用率太高(&gt;{$IF.UTIL.MAX: "{#IFNAME}"}%)</v>
      </c>
      <c r="K928" s="1" t="str">
        <f t="shared" si="59"/>
        <v/>
      </c>
    </row>
    <row r="929" spans="1:11">
      <c r="A929" s="1">
        <v>2106</v>
      </c>
      <c r="B929" s="1" t="s">
        <v>9521</v>
      </c>
      <c r="C929" s="1" t="s">
        <v>9119</v>
      </c>
      <c r="D929" s="1" t="s">
        <v>2783</v>
      </c>
      <c r="E929" s="1" t="s">
        <v>2804</v>
      </c>
      <c r="F929" s="1" t="s">
        <v>165</v>
      </c>
      <c r="G929" s="1" t="s">
        <v>166</v>
      </c>
      <c r="H929" s="1" t="str">
        <f t="shared" si="56"/>
        <v/>
      </c>
      <c r="I929" s="1" t="str">
        <f t="shared" si="57"/>
        <v/>
      </c>
      <c r="J929" s="1" t="str">
        <f t="shared" si="58"/>
        <v>接口{#IFNAME}({#IFALIAS}): 错误率太高(&gt;{$IF.ERRORS.WARN: "{#IFNAME}"}达5分钟)</v>
      </c>
      <c r="K929" s="1" t="str">
        <f t="shared" si="59"/>
        <v/>
      </c>
    </row>
    <row r="930" spans="1:11">
      <c r="A930" s="1">
        <v>2108</v>
      </c>
      <c r="B930" s="1" t="s">
        <v>9521</v>
      </c>
      <c r="C930" s="1" t="s">
        <v>9121</v>
      </c>
      <c r="D930" s="1" t="s">
        <v>2783</v>
      </c>
      <c r="E930" s="1" t="s">
        <v>2806</v>
      </c>
      <c r="F930" s="1" t="s">
        <v>2057</v>
      </c>
      <c r="G930" s="1" t="s">
        <v>2058</v>
      </c>
      <c r="H930" s="1" t="str">
        <f t="shared" si="56"/>
        <v/>
      </c>
      <c r="I930" s="1" t="str">
        <f t="shared" si="57"/>
        <v/>
      </c>
      <c r="J930" s="1" t="str">
        <f t="shared" si="58"/>
        <v>接口{#IFNAME}({#IFALIAS}): LTE调制解调器RSRP低(低于{$LTEMODEM.RSRP.MIN.WARN}dbm5分钟)</v>
      </c>
      <c r="K930" s="1" t="str">
        <f t="shared" si="59"/>
        <v/>
      </c>
    </row>
    <row r="931" spans="1:11">
      <c r="A931" s="1">
        <v>2109</v>
      </c>
      <c r="B931" s="1" t="s">
        <v>9521</v>
      </c>
      <c r="C931" s="1" t="s">
        <v>9122</v>
      </c>
      <c r="D931" s="1" t="s">
        <v>2783</v>
      </c>
      <c r="E931" s="1" t="s">
        <v>2808</v>
      </c>
      <c r="F931" s="1" t="s">
        <v>2061</v>
      </c>
      <c r="G931" s="1" t="s">
        <v>2062</v>
      </c>
      <c r="H931" s="1" t="str">
        <f t="shared" si="56"/>
        <v/>
      </c>
      <c r="I931" s="1" t="str">
        <f t="shared" si="57"/>
        <v/>
      </c>
      <c r="J931" s="1" t="str">
        <f t="shared" si="58"/>
        <v>接口{#IFNAME}({#IFALIAS}): LTE调制解调器RSRQ低(低于{$LTEMODEM.RSRQ.MIN.WARN}db5分钟)</v>
      </c>
      <c r="K931" s="1" t="str">
        <f t="shared" si="59"/>
        <v/>
      </c>
    </row>
    <row r="932" spans="1:11">
      <c r="A932" s="1">
        <v>2110</v>
      </c>
      <c r="B932" s="1" t="s">
        <v>9521</v>
      </c>
      <c r="C932" s="1" t="s">
        <v>9123</v>
      </c>
      <c r="D932" s="1" t="s">
        <v>2783</v>
      </c>
      <c r="E932" s="1" t="s">
        <v>2810</v>
      </c>
      <c r="F932" s="1" t="s">
        <v>2065</v>
      </c>
      <c r="G932" s="1" t="s">
        <v>2058</v>
      </c>
      <c r="H932" s="1" t="str">
        <f t="shared" si="56"/>
        <v/>
      </c>
      <c r="I932" s="1" t="str">
        <f t="shared" si="57"/>
        <v/>
      </c>
      <c r="J932" s="1" t="str">
        <f t="shared" si="58"/>
        <v>接口{#IFNAME}({#IFALIAS}): LTE调制解调器RSRP低(低于{$LTEMODEM.RSRP.MIN.WARN}dbm5分钟)</v>
      </c>
      <c r="K932" s="1" t="str">
        <f t="shared" si="59"/>
        <v/>
      </c>
    </row>
    <row r="933" spans="1:11">
      <c r="A933" s="1">
        <v>2111</v>
      </c>
      <c r="B933" s="1" t="s">
        <v>9521</v>
      </c>
      <c r="C933" s="1" t="s">
        <v>9124</v>
      </c>
      <c r="D933" s="1" t="s">
        <v>2783</v>
      </c>
      <c r="E933" s="1" t="s">
        <v>2812</v>
      </c>
      <c r="F933" s="1" t="s">
        <v>2068</v>
      </c>
      <c r="G933" s="1" t="s">
        <v>2062</v>
      </c>
      <c r="H933" s="1" t="str">
        <f t="shared" si="56"/>
        <v/>
      </c>
      <c r="I933" s="1" t="str">
        <f t="shared" si="57"/>
        <v/>
      </c>
      <c r="J933" s="1" t="str">
        <f t="shared" si="58"/>
        <v>接口{#IFNAME}({#IFALIAS}): LTE调制解调器RSRQ低(低于{$LTEMODEM.RSRQ.MIN.WARN}db5分钟)</v>
      </c>
      <c r="K933" s="1" t="str">
        <f t="shared" si="59"/>
        <v/>
      </c>
    </row>
    <row r="934" spans="1:11">
      <c r="A934" s="1">
        <v>2113</v>
      </c>
      <c r="B934" s="1" t="s">
        <v>9522</v>
      </c>
      <c r="C934" s="1" t="s">
        <v>9098</v>
      </c>
      <c r="D934" s="1" t="s">
        <v>2814</v>
      </c>
      <c r="E934" s="1" t="s">
        <v>2815</v>
      </c>
      <c r="F934" s="1" t="s">
        <v>541</v>
      </c>
      <c r="G934" s="1" t="s">
        <v>542</v>
      </c>
      <c r="H934" s="1" t="str">
        <f t="shared" si="56"/>
        <v/>
      </c>
      <c r="I934" s="1" t="str">
        <f t="shared" si="57"/>
        <v/>
      </c>
      <c r="J934" s="1" t="str">
        <f t="shared" si="58"/>
        <v>#{#SNMPINDEX}: CPU使用率高了(超过{$CPU.UTIL.CRIT}%达5分钟)</v>
      </c>
      <c r="K934" s="1" t="str">
        <f t="shared" si="59"/>
        <v/>
      </c>
    </row>
    <row r="935" spans="1:11">
      <c r="A935" s="1">
        <v>2114</v>
      </c>
      <c r="B935" s="1" t="s">
        <v>9522</v>
      </c>
      <c r="C935" s="1" t="s">
        <v>9100</v>
      </c>
      <c r="D935" s="1" t="s">
        <v>2814</v>
      </c>
      <c r="E935" s="1" t="s">
        <v>2817</v>
      </c>
      <c r="F935" s="1" t="s">
        <v>1557</v>
      </c>
      <c r="G935" s="1" t="s">
        <v>1558</v>
      </c>
      <c r="H935" s="1" t="str">
        <f t="shared" si="56"/>
        <v>CPU</v>
      </c>
      <c r="I935" s="1" t="str">
        <f t="shared" si="57"/>
        <v>温度高于临界阈值: &gt;{$TEMP_CRIT: "CPU"}</v>
      </c>
      <c r="J935" s="1" t="str">
        <f t="shared" si="58"/>
        <v>CPU: 温度高于临界阈值: &gt;{$TEMP_CRIT: "CPU"}</v>
      </c>
      <c r="K935" s="1" t="str">
        <f t="shared" si="59"/>
        <v>Temperature is above critical threshold: &gt;{$TEMP_CRIT:"CPU"}</v>
      </c>
    </row>
    <row r="936" spans="1:11">
      <c r="A936" s="1">
        <v>2115</v>
      </c>
      <c r="B936" s="1" t="s">
        <v>9522</v>
      </c>
      <c r="C936" s="1" t="s">
        <v>9102</v>
      </c>
      <c r="D936" s="1" t="s">
        <v>2814</v>
      </c>
      <c r="E936" s="1" t="s">
        <v>2819</v>
      </c>
      <c r="F936" s="1" t="s">
        <v>1553</v>
      </c>
      <c r="G936" s="1" t="s">
        <v>1554</v>
      </c>
      <c r="H936" s="1" t="str">
        <f t="shared" si="56"/>
        <v>CPU</v>
      </c>
      <c r="I936" s="1" t="str">
        <f t="shared" si="57"/>
        <v>温度高于告警阈值: &gt;{$TEMP_WARN: "CPU"}</v>
      </c>
      <c r="J936" s="1" t="str">
        <f t="shared" si="58"/>
        <v>CPU: 温度高于告警阈值: &gt;{$TEMP_WARN: "CPU"}</v>
      </c>
      <c r="K936" s="1" t="str">
        <f t="shared" si="59"/>
        <v>Temperature is above warning threshold: &gt;{$TEMP_WARN:"CPU"}</v>
      </c>
    </row>
    <row r="937" spans="1:11">
      <c r="A937" s="1">
        <v>2116</v>
      </c>
      <c r="B937" s="1" t="s">
        <v>9522</v>
      </c>
      <c r="C937" s="1" t="s">
        <v>9104</v>
      </c>
      <c r="D937" s="1" t="s">
        <v>2814</v>
      </c>
      <c r="E937" s="1" t="s">
        <v>2821</v>
      </c>
      <c r="F937" s="1" t="s">
        <v>1561</v>
      </c>
      <c r="G937" s="1" t="s">
        <v>1562</v>
      </c>
      <c r="H937" s="1" t="str">
        <f t="shared" si="56"/>
        <v>CPU</v>
      </c>
      <c r="I937" s="1" t="str">
        <f t="shared" si="57"/>
        <v>温度太低: &lt;{$TEMP_CRIT_LOW: "CPU"}</v>
      </c>
      <c r="J937" s="1" t="str">
        <f t="shared" si="58"/>
        <v>CPU: 温度太低: &lt;{$TEMP_CRIT_LOW: "CPU"}</v>
      </c>
      <c r="K937" s="1" t="str">
        <f t="shared" si="59"/>
        <v>Temperature is too low: &lt;{$TEMP_CRIT_LOW:"CPU"}</v>
      </c>
    </row>
    <row r="938" spans="1:11">
      <c r="A938" s="1">
        <v>2117</v>
      </c>
      <c r="B938" s="1" t="s">
        <v>9522</v>
      </c>
      <c r="C938" s="1" t="s">
        <v>9106</v>
      </c>
      <c r="D938" s="1" t="s">
        <v>2814</v>
      </c>
      <c r="E938" s="1" t="s">
        <v>2823</v>
      </c>
      <c r="F938" s="1" t="s">
        <v>2033</v>
      </c>
      <c r="G938" s="1" t="s">
        <v>2034</v>
      </c>
      <c r="H938" s="1" t="str">
        <f t="shared" si="56"/>
        <v>Device</v>
      </c>
      <c r="I938" s="1" t="str">
        <f t="shared" si="57"/>
        <v>温度高于临界阈值: &gt;{$TEMP_CRIT: "Device"}</v>
      </c>
      <c r="J938" s="1" t="str">
        <f t="shared" si="58"/>
        <v>Device: 温度高于临界阈值: &gt;{$TEMP_CRIT: "Device"}</v>
      </c>
      <c r="K938" s="1" t="str">
        <f t="shared" si="59"/>
        <v>Temperature is above critical threshold: &gt;{$TEMP_CRIT:"Device"}</v>
      </c>
    </row>
    <row r="939" spans="1:11">
      <c r="A939" s="1">
        <v>2118</v>
      </c>
      <c r="B939" s="1" t="s">
        <v>9522</v>
      </c>
      <c r="C939" s="1" t="s">
        <v>9108</v>
      </c>
      <c r="D939" s="1" t="s">
        <v>2814</v>
      </c>
      <c r="E939" s="1" t="s">
        <v>2825</v>
      </c>
      <c r="F939" s="1" t="s">
        <v>2037</v>
      </c>
      <c r="G939" s="1" t="s">
        <v>2038</v>
      </c>
      <c r="H939" s="1" t="str">
        <f t="shared" si="56"/>
        <v>Device</v>
      </c>
      <c r="I939" s="1" t="str">
        <f t="shared" si="57"/>
        <v>温度高于告警阈值: &gt;{$TEMP_WARN: "Device"}</v>
      </c>
      <c r="J939" s="1" t="str">
        <f t="shared" si="58"/>
        <v>Device: 温度高于告警阈值: &gt;{$TEMP_WARN: "Device"}</v>
      </c>
      <c r="K939" s="1" t="str">
        <f t="shared" si="59"/>
        <v>Temperature is above warning threshold: &gt;{$TEMP_WARN:"Device"}</v>
      </c>
    </row>
    <row r="940" spans="1:11">
      <c r="A940" s="1">
        <v>2119</v>
      </c>
      <c r="B940" s="1" t="s">
        <v>9522</v>
      </c>
      <c r="C940" s="1" t="s">
        <v>9110</v>
      </c>
      <c r="D940" s="1" t="s">
        <v>2814</v>
      </c>
      <c r="E940" s="1" t="s">
        <v>2827</v>
      </c>
      <c r="F940" s="1" t="s">
        <v>2041</v>
      </c>
      <c r="G940" s="1" t="s">
        <v>2042</v>
      </c>
      <c r="H940" s="1" t="str">
        <f t="shared" si="56"/>
        <v>Device</v>
      </c>
      <c r="I940" s="1" t="str">
        <f t="shared" si="57"/>
        <v>温度太低: &lt;{$TEMP_CRIT_LOW: "Device"}</v>
      </c>
      <c r="J940" s="1" t="str">
        <f t="shared" si="58"/>
        <v>Device: 温度太低: &lt;{$TEMP_CRIT_LOW: "Device"}</v>
      </c>
      <c r="K940" s="1" t="str">
        <f t="shared" si="59"/>
        <v>Temperature is too low: &lt;{$TEMP_CRIT_LOW:"Device"}</v>
      </c>
    </row>
    <row r="941" spans="1:11">
      <c r="A941" s="1">
        <v>2120</v>
      </c>
      <c r="B941" s="1" t="s">
        <v>9522</v>
      </c>
      <c r="C941" s="1" t="s">
        <v>9112</v>
      </c>
      <c r="D941" s="1" t="s">
        <v>2814</v>
      </c>
      <c r="E941" s="1" t="s">
        <v>2829</v>
      </c>
      <c r="F941" s="1" t="s">
        <v>2045</v>
      </c>
      <c r="G941" s="1" t="s">
        <v>2046</v>
      </c>
      <c r="H941" s="1" t="str">
        <f t="shared" si="56"/>
        <v/>
      </c>
      <c r="I941" s="1" t="str">
        <f t="shared" si="57"/>
        <v/>
      </c>
      <c r="J941" s="1" t="str">
        <f t="shared" si="58"/>
        <v>Disk-{#SNMPINDEX}: 磁盘空间严重不足(已使用率&gt;{$VFS.FS.PUSED.MAX.CRIT: "Disk-{#SNMPINDEX}"}%)</v>
      </c>
      <c r="K941" s="1" t="str">
        <f t="shared" si="59"/>
        <v/>
      </c>
    </row>
    <row r="942" spans="1:11">
      <c r="A942" s="1">
        <v>2121</v>
      </c>
      <c r="B942" s="1" t="s">
        <v>9522</v>
      </c>
      <c r="C942" s="1" t="s">
        <v>9114</v>
      </c>
      <c r="D942" s="1" t="s">
        <v>2814</v>
      </c>
      <c r="E942" s="1" t="s">
        <v>2831</v>
      </c>
      <c r="F942" s="1" t="s">
        <v>2049</v>
      </c>
      <c r="G942" s="1" t="s">
        <v>2050</v>
      </c>
      <c r="H942" s="1" t="str">
        <f t="shared" si="56"/>
        <v/>
      </c>
      <c r="I942" s="1" t="str">
        <f t="shared" si="57"/>
        <v/>
      </c>
      <c r="J942" s="1" t="str">
        <f t="shared" si="58"/>
        <v>Disk-{#SNMPINDEX}: 磁盘空间不足(已使用率&gt;{$VFS.FS.PUSED.MAX.WARN: "Disk-{#SNMPINDEX}"}%)</v>
      </c>
      <c r="K942" s="1" t="str">
        <f t="shared" si="59"/>
        <v/>
      </c>
    </row>
    <row r="943" spans="1:11">
      <c r="A943" s="1">
        <v>2123</v>
      </c>
      <c r="B943" s="1" t="s">
        <v>9522</v>
      </c>
      <c r="C943" s="1" t="s">
        <v>9117</v>
      </c>
      <c r="D943" s="1" t="s">
        <v>2814</v>
      </c>
      <c r="E943" s="1" t="s">
        <v>2833</v>
      </c>
      <c r="F943" s="1" t="s">
        <v>161</v>
      </c>
      <c r="G943" s="1" t="s">
        <v>162</v>
      </c>
      <c r="H943" s="1" t="str">
        <f t="shared" si="56"/>
        <v/>
      </c>
      <c r="I943" s="1" t="str">
        <f t="shared" si="57"/>
        <v/>
      </c>
      <c r="J943" s="1" t="str">
        <f t="shared" si="58"/>
        <v>接口{#IFNAME}({#IFALIAS}): 带宽使用率太高(&gt;{$IF.UTIL.MAX: "{#IFNAME}"}%)</v>
      </c>
      <c r="K943" s="1" t="str">
        <f t="shared" si="59"/>
        <v/>
      </c>
    </row>
    <row r="944" spans="1:11">
      <c r="A944" s="1">
        <v>2124</v>
      </c>
      <c r="B944" s="1" t="s">
        <v>9522</v>
      </c>
      <c r="C944" s="1" t="s">
        <v>9119</v>
      </c>
      <c r="D944" s="1" t="s">
        <v>2814</v>
      </c>
      <c r="E944" s="1" t="s">
        <v>2835</v>
      </c>
      <c r="F944" s="1" t="s">
        <v>165</v>
      </c>
      <c r="G944" s="1" t="s">
        <v>166</v>
      </c>
      <c r="H944" s="1" t="str">
        <f t="shared" si="56"/>
        <v/>
      </c>
      <c r="I944" s="1" t="str">
        <f t="shared" si="57"/>
        <v/>
      </c>
      <c r="J944" s="1" t="str">
        <f t="shared" si="58"/>
        <v>接口{#IFNAME}({#IFALIAS}): 错误率太高(&gt;{$IF.ERRORS.WARN: "{#IFNAME}"}达5分钟)</v>
      </c>
      <c r="K944" s="1" t="str">
        <f t="shared" si="59"/>
        <v/>
      </c>
    </row>
    <row r="945" spans="1:11">
      <c r="A945" s="1">
        <v>2126</v>
      </c>
      <c r="B945" s="1" t="s">
        <v>9522</v>
      </c>
      <c r="C945" s="1" t="s">
        <v>9121</v>
      </c>
      <c r="D945" s="1" t="s">
        <v>2814</v>
      </c>
      <c r="E945" s="1" t="s">
        <v>2837</v>
      </c>
      <c r="F945" s="1" t="s">
        <v>2057</v>
      </c>
      <c r="G945" s="1" t="s">
        <v>2058</v>
      </c>
      <c r="H945" s="1" t="str">
        <f t="shared" si="56"/>
        <v/>
      </c>
      <c r="I945" s="1" t="str">
        <f t="shared" si="57"/>
        <v/>
      </c>
      <c r="J945" s="1" t="str">
        <f t="shared" si="58"/>
        <v>接口{#IFNAME}({#IFALIAS}): LTE调制解调器RSRP低(低于{$LTEMODEM.RSRP.MIN.WARN}dbm5分钟)</v>
      </c>
      <c r="K945" s="1" t="str">
        <f t="shared" si="59"/>
        <v/>
      </c>
    </row>
    <row r="946" spans="1:11">
      <c r="A946" s="1">
        <v>2127</v>
      </c>
      <c r="B946" s="1" t="s">
        <v>9522</v>
      </c>
      <c r="C946" s="1" t="s">
        <v>9122</v>
      </c>
      <c r="D946" s="1" t="s">
        <v>2814</v>
      </c>
      <c r="E946" s="1" t="s">
        <v>2839</v>
      </c>
      <c r="F946" s="1" t="s">
        <v>2061</v>
      </c>
      <c r="G946" s="1" t="s">
        <v>2062</v>
      </c>
      <c r="H946" s="1" t="str">
        <f t="shared" si="56"/>
        <v/>
      </c>
      <c r="I946" s="1" t="str">
        <f t="shared" si="57"/>
        <v/>
      </c>
      <c r="J946" s="1" t="str">
        <f t="shared" si="58"/>
        <v>接口{#IFNAME}({#IFALIAS}): LTE调制解调器RSRQ低(低于{$LTEMODEM.RSRQ.MIN.WARN}db5分钟)</v>
      </c>
      <c r="K946" s="1" t="str">
        <f t="shared" si="59"/>
        <v/>
      </c>
    </row>
    <row r="947" spans="1:11">
      <c r="A947" s="1">
        <v>2128</v>
      </c>
      <c r="B947" s="1" t="s">
        <v>9522</v>
      </c>
      <c r="C947" s="1" t="s">
        <v>9123</v>
      </c>
      <c r="D947" s="1" t="s">
        <v>2814</v>
      </c>
      <c r="E947" s="1" t="s">
        <v>2841</v>
      </c>
      <c r="F947" s="1" t="s">
        <v>2065</v>
      </c>
      <c r="G947" s="1" t="s">
        <v>2058</v>
      </c>
      <c r="H947" s="1" t="str">
        <f t="shared" si="56"/>
        <v/>
      </c>
      <c r="I947" s="1" t="str">
        <f t="shared" si="57"/>
        <v/>
      </c>
      <c r="J947" s="1" t="str">
        <f t="shared" si="58"/>
        <v>接口{#IFNAME}({#IFALIAS}): LTE调制解调器RSRP低(低于{$LTEMODEM.RSRP.MIN.WARN}dbm5分钟)</v>
      </c>
      <c r="K947" s="1" t="str">
        <f t="shared" si="59"/>
        <v/>
      </c>
    </row>
    <row r="948" spans="1:11">
      <c r="A948" s="1">
        <v>2129</v>
      </c>
      <c r="B948" s="1" t="s">
        <v>9522</v>
      </c>
      <c r="C948" s="1" t="s">
        <v>9124</v>
      </c>
      <c r="D948" s="1" t="s">
        <v>2814</v>
      </c>
      <c r="E948" s="1" t="s">
        <v>2843</v>
      </c>
      <c r="F948" s="1" t="s">
        <v>2068</v>
      </c>
      <c r="G948" s="1" t="s">
        <v>2062</v>
      </c>
      <c r="H948" s="1" t="str">
        <f t="shared" si="56"/>
        <v/>
      </c>
      <c r="I948" s="1" t="str">
        <f t="shared" si="57"/>
        <v/>
      </c>
      <c r="J948" s="1" t="str">
        <f t="shared" si="58"/>
        <v>接口{#IFNAME}({#IFALIAS}): LTE调制解调器RSRQ低(低于{$LTEMODEM.RSRQ.MIN.WARN}db5分钟)</v>
      </c>
      <c r="K948" s="1" t="str">
        <f t="shared" si="59"/>
        <v/>
      </c>
    </row>
    <row r="949" spans="1:11">
      <c r="A949" s="1">
        <v>2131</v>
      </c>
      <c r="B949" s="1" t="s">
        <v>9523</v>
      </c>
      <c r="C949" s="1" t="s">
        <v>9098</v>
      </c>
      <c r="D949" s="1" t="s">
        <v>2845</v>
      </c>
      <c r="E949" s="1" t="s">
        <v>2846</v>
      </c>
      <c r="F949" s="1" t="s">
        <v>541</v>
      </c>
      <c r="G949" s="1" t="s">
        <v>542</v>
      </c>
      <c r="H949" s="1" t="str">
        <f t="shared" si="56"/>
        <v/>
      </c>
      <c r="I949" s="1" t="str">
        <f t="shared" si="57"/>
        <v/>
      </c>
      <c r="J949" s="1" t="str">
        <f t="shared" si="58"/>
        <v>#{#SNMPINDEX}: CPU使用率高了(超过{$CPU.UTIL.CRIT}%达5分钟)</v>
      </c>
      <c r="K949" s="1" t="str">
        <f t="shared" si="59"/>
        <v/>
      </c>
    </row>
    <row r="950" spans="1:11">
      <c r="A950" s="1">
        <v>2132</v>
      </c>
      <c r="B950" s="1" t="s">
        <v>9523</v>
      </c>
      <c r="C950" s="1" t="s">
        <v>9100</v>
      </c>
      <c r="D950" s="1" t="s">
        <v>2845</v>
      </c>
      <c r="E950" s="1" t="s">
        <v>2848</v>
      </c>
      <c r="F950" s="1" t="s">
        <v>1557</v>
      </c>
      <c r="G950" s="1" t="s">
        <v>1558</v>
      </c>
      <c r="H950" s="1" t="str">
        <f t="shared" si="56"/>
        <v>CPU</v>
      </c>
      <c r="I950" s="1" t="str">
        <f t="shared" si="57"/>
        <v>温度高于临界阈值: &gt;{$TEMP_CRIT: "CPU"}</v>
      </c>
      <c r="J950" s="1" t="str">
        <f t="shared" si="58"/>
        <v>CPU: 温度高于临界阈值: &gt;{$TEMP_CRIT: "CPU"}</v>
      </c>
      <c r="K950" s="1" t="str">
        <f t="shared" si="59"/>
        <v>Temperature is above critical threshold: &gt;{$TEMP_CRIT:"CPU"}</v>
      </c>
    </row>
    <row r="951" spans="1:11">
      <c r="A951" s="1">
        <v>2133</v>
      </c>
      <c r="B951" s="1" t="s">
        <v>9523</v>
      </c>
      <c r="C951" s="1" t="s">
        <v>9102</v>
      </c>
      <c r="D951" s="1" t="s">
        <v>2845</v>
      </c>
      <c r="E951" s="1" t="s">
        <v>2850</v>
      </c>
      <c r="F951" s="1" t="s">
        <v>1553</v>
      </c>
      <c r="G951" s="1" t="s">
        <v>1554</v>
      </c>
      <c r="H951" s="1" t="str">
        <f t="shared" si="56"/>
        <v>CPU</v>
      </c>
      <c r="I951" s="1" t="str">
        <f t="shared" si="57"/>
        <v>温度高于告警阈值: &gt;{$TEMP_WARN: "CPU"}</v>
      </c>
      <c r="J951" s="1" t="str">
        <f t="shared" si="58"/>
        <v>CPU: 温度高于告警阈值: &gt;{$TEMP_WARN: "CPU"}</v>
      </c>
      <c r="K951" s="1" t="str">
        <f t="shared" si="59"/>
        <v>Temperature is above warning threshold: &gt;{$TEMP_WARN:"CPU"}</v>
      </c>
    </row>
    <row r="952" spans="1:11">
      <c r="A952" s="1">
        <v>2134</v>
      </c>
      <c r="B952" s="1" t="s">
        <v>9523</v>
      </c>
      <c r="C952" s="1" t="s">
        <v>9104</v>
      </c>
      <c r="D952" s="1" t="s">
        <v>2845</v>
      </c>
      <c r="E952" s="1" t="s">
        <v>2852</v>
      </c>
      <c r="F952" s="1" t="s">
        <v>1561</v>
      </c>
      <c r="G952" s="1" t="s">
        <v>1562</v>
      </c>
      <c r="H952" s="1" t="str">
        <f t="shared" si="56"/>
        <v>CPU</v>
      </c>
      <c r="I952" s="1" t="str">
        <f t="shared" si="57"/>
        <v>温度太低: &lt;{$TEMP_CRIT_LOW: "CPU"}</v>
      </c>
      <c r="J952" s="1" t="str">
        <f t="shared" si="58"/>
        <v>CPU: 温度太低: &lt;{$TEMP_CRIT_LOW: "CPU"}</v>
      </c>
      <c r="K952" s="1" t="str">
        <f t="shared" si="59"/>
        <v>Temperature is too low: &lt;{$TEMP_CRIT_LOW:"CPU"}</v>
      </c>
    </row>
    <row r="953" spans="1:11">
      <c r="A953" s="1">
        <v>2135</v>
      </c>
      <c r="B953" s="1" t="s">
        <v>9523</v>
      </c>
      <c r="C953" s="1" t="s">
        <v>9106</v>
      </c>
      <c r="D953" s="1" t="s">
        <v>2845</v>
      </c>
      <c r="E953" s="1" t="s">
        <v>2854</v>
      </c>
      <c r="F953" s="1" t="s">
        <v>2033</v>
      </c>
      <c r="G953" s="1" t="s">
        <v>2034</v>
      </c>
      <c r="H953" s="1" t="str">
        <f t="shared" si="56"/>
        <v>Device</v>
      </c>
      <c r="I953" s="1" t="str">
        <f t="shared" si="57"/>
        <v>温度高于临界阈值: &gt;{$TEMP_CRIT: "Device"}</v>
      </c>
      <c r="J953" s="1" t="str">
        <f t="shared" si="58"/>
        <v>Device: 温度高于临界阈值: &gt;{$TEMP_CRIT: "Device"}</v>
      </c>
      <c r="K953" s="1" t="str">
        <f t="shared" si="59"/>
        <v>Temperature is above critical threshold: &gt;{$TEMP_CRIT:"Device"}</v>
      </c>
    </row>
    <row r="954" spans="1:11">
      <c r="A954" s="1">
        <v>2136</v>
      </c>
      <c r="B954" s="1" t="s">
        <v>9523</v>
      </c>
      <c r="C954" s="1" t="s">
        <v>9108</v>
      </c>
      <c r="D954" s="1" t="s">
        <v>2845</v>
      </c>
      <c r="E954" s="1" t="s">
        <v>2856</v>
      </c>
      <c r="F954" s="1" t="s">
        <v>2037</v>
      </c>
      <c r="G954" s="1" t="s">
        <v>2038</v>
      </c>
      <c r="H954" s="1" t="str">
        <f t="shared" si="56"/>
        <v>Device</v>
      </c>
      <c r="I954" s="1" t="str">
        <f t="shared" si="57"/>
        <v>温度高于告警阈值: &gt;{$TEMP_WARN: "Device"}</v>
      </c>
      <c r="J954" s="1" t="str">
        <f t="shared" si="58"/>
        <v>Device: 温度高于告警阈值: &gt;{$TEMP_WARN: "Device"}</v>
      </c>
      <c r="K954" s="1" t="str">
        <f t="shared" si="59"/>
        <v>Temperature is above warning threshold: &gt;{$TEMP_WARN:"Device"}</v>
      </c>
    </row>
    <row r="955" spans="1:11">
      <c r="A955" s="1">
        <v>2137</v>
      </c>
      <c r="B955" s="1" t="s">
        <v>9523</v>
      </c>
      <c r="C955" s="1" t="s">
        <v>9110</v>
      </c>
      <c r="D955" s="1" t="s">
        <v>2845</v>
      </c>
      <c r="E955" s="1" t="s">
        <v>2858</v>
      </c>
      <c r="F955" s="1" t="s">
        <v>2041</v>
      </c>
      <c r="G955" s="1" t="s">
        <v>2042</v>
      </c>
      <c r="H955" s="1" t="str">
        <f t="shared" si="56"/>
        <v>Device</v>
      </c>
      <c r="I955" s="1" t="str">
        <f t="shared" si="57"/>
        <v>温度太低: &lt;{$TEMP_CRIT_LOW: "Device"}</v>
      </c>
      <c r="J955" s="1" t="str">
        <f t="shared" si="58"/>
        <v>Device: 温度太低: &lt;{$TEMP_CRIT_LOW: "Device"}</v>
      </c>
      <c r="K955" s="1" t="str">
        <f t="shared" si="59"/>
        <v>Temperature is too low: &lt;{$TEMP_CRIT_LOW:"Device"}</v>
      </c>
    </row>
    <row r="956" spans="1:11">
      <c r="A956" s="1">
        <v>2138</v>
      </c>
      <c r="B956" s="1" t="s">
        <v>9523</v>
      </c>
      <c r="C956" s="1" t="s">
        <v>9112</v>
      </c>
      <c r="D956" s="1" t="s">
        <v>2845</v>
      </c>
      <c r="E956" s="1" t="s">
        <v>2860</v>
      </c>
      <c r="F956" s="1" t="s">
        <v>2045</v>
      </c>
      <c r="G956" s="1" t="s">
        <v>2046</v>
      </c>
      <c r="H956" s="1" t="str">
        <f t="shared" si="56"/>
        <v/>
      </c>
      <c r="I956" s="1" t="str">
        <f t="shared" si="57"/>
        <v/>
      </c>
      <c r="J956" s="1" t="str">
        <f t="shared" si="58"/>
        <v>Disk-{#SNMPINDEX}: 磁盘空间严重不足(已使用率&gt;{$VFS.FS.PUSED.MAX.CRIT: "Disk-{#SNMPINDEX}"}%)</v>
      </c>
      <c r="K956" s="1" t="str">
        <f t="shared" si="59"/>
        <v/>
      </c>
    </row>
    <row r="957" spans="1:11">
      <c r="A957" s="1">
        <v>2139</v>
      </c>
      <c r="B957" s="1" t="s">
        <v>9523</v>
      </c>
      <c r="C957" s="1" t="s">
        <v>9114</v>
      </c>
      <c r="D957" s="1" t="s">
        <v>2845</v>
      </c>
      <c r="E957" s="1" t="s">
        <v>2862</v>
      </c>
      <c r="F957" s="1" t="s">
        <v>2049</v>
      </c>
      <c r="G957" s="1" t="s">
        <v>2050</v>
      </c>
      <c r="H957" s="1" t="str">
        <f t="shared" si="56"/>
        <v/>
      </c>
      <c r="I957" s="1" t="str">
        <f t="shared" si="57"/>
        <v/>
      </c>
      <c r="J957" s="1" t="str">
        <f t="shared" si="58"/>
        <v>Disk-{#SNMPINDEX}: 磁盘空间不足(已使用率&gt;{$VFS.FS.PUSED.MAX.WARN: "Disk-{#SNMPINDEX}"}%)</v>
      </c>
      <c r="K957" s="1" t="str">
        <f t="shared" si="59"/>
        <v/>
      </c>
    </row>
    <row r="958" spans="1:11">
      <c r="A958" s="1">
        <v>2141</v>
      </c>
      <c r="B958" s="1" t="s">
        <v>9523</v>
      </c>
      <c r="C958" s="1" t="s">
        <v>9117</v>
      </c>
      <c r="D958" s="1" t="s">
        <v>2845</v>
      </c>
      <c r="E958" s="1" t="s">
        <v>2864</v>
      </c>
      <c r="F958" s="1" t="s">
        <v>161</v>
      </c>
      <c r="G958" s="1" t="s">
        <v>162</v>
      </c>
      <c r="H958" s="1" t="str">
        <f t="shared" si="56"/>
        <v/>
      </c>
      <c r="I958" s="1" t="str">
        <f t="shared" si="57"/>
        <v/>
      </c>
      <c r="J958" s="1" t="str">
        <f t="shared" si="58"/>
        <v>接口{#IFNAME}({#IFALIAS}): 带宽使用率太高(&gt;{$IF.UTIL.MAX: "{#IFNAME}"}%)</v>
      </c>
      <c r="K958" s="1" t="str">
        <f t="shared" si="59"/>
        <v/>
      </c>
    </row>
    <row r="959" spans="1:11">
      <c r="A959" s="1">
        <v>2142</v>
      </c>
      <c r="B959" s="1" t="s">
        <v>9523</v>
      </c>
      <c r="C959" s="1" t="s">
        <v>9119</v>
      </c>
      <c r="D959" s="1" t="s">
        <v>2845</v>
      </c>
      <c r="E959" s="1" t="s">
        <v>2866</v>
      </c>
      <c r="F959" s="1" t="s">
        <v>165</v>
      </c>
      <c r="G959" s="1" t="s">
        <v>166</v>
      </c>
      <c r="H959" s="1" t="str">
        <f t="shared" si="56"/>
        <v/>
      </c>
      <c r="I959" s="1" t="str">
        <f t="shared" si="57"/>
        <v/>
      </c>
      <c r="J959" s="1" t="str">
        <f t="shared" si="58"/>
        <v>接口{#IFNAME}({#IFALIAS}): 错误率太高(&gt;{$IF.ERRORS.WARN: "{#IFNAME}"}达5分钟)</v>
      </c>
      <c r="K959" s="1" t="str">
        <f t="shared" si="59"/>
        <v/>
      </c>
    </row>
    <row r="960" spans="1:11">
      <c r="A960" s="1">
        <v>2144</v>
      </c>
      <c r="B960" s="1" t="s">
        <v>9523</v>
      </c>
      <c r="C960" s="1" t="s">
        <v>9121</v>
      </c>
      <c r="D960" s="1" t="s">
        <v>2845</v>
      </c>
      <c r="E960" s="1" t="s">
        <v>2868</v>
      </c>
      <c r="F960" s="1" t="s">
        <v>2057</v>
      </c>
      <c r="G960" s="1" t="s">
        <v>2058</v>
      </c>
      <c r="H960" s="1" t="str">
        <f t="shared" si="56"/>
        <v/>
      </c>
      <c r="I960" s="1" t="str">
        <f t="shared" si="57"/>
        <v/>
      </c>
      <c r="J960" s="1" t="str">
        <f t="shared" si="58"/>
        <v>接口{#IFNAME}({#IFALIAS}): LTE调制解调器RSRP低(低于{$LTEMODEM.RSRP.MIN.WARN}dbm5分钟)</v>
      </c>
      <c r="K960" s="1" t="str">
        <f t="shared" si="59"/>
        <v/>
      </c>
    </row>
    <row r="961" spans="1:11">
      <c r="A961" s="1">
        <v>2145</v>
      </c>
      <c r="B961" s="1" t="s">
        <v>9523</v>
      </c>
      <c r="C961" s="1" t="s">
        <v>9122</v>
      </c>
      <c r="D961" s="1" t="s">
        <v>2845</v>
      </c>
      <c r="E961" s="1" t="s">
        <v>2870</v>
      </c>
      <c r="F961" s="1" t="s">
        <v>2061</v>
      </c>
      <c r="G961" s="1" t="s">
        <v>2062</v>
      </c>
      <c r="H961" s="1" t="str">
        <f t="shared" si="56"/>
        <v/>
      </c>
      <c r="I961" s="1" t="str">
        <f t="shared" si="57"/>
        <v/>
      </c>
      <c r="J961" s="1" t="str">
        <f t="shared" si="58"/>
        <v>接口{#IFNAME}({#IFALIAS}): LTE调制解调器RSRQ低(低于{$LTEMODEM.RSRQ.MIN.WARN}db5分钟)</v>
      </c>
      <c r="K961" s="1" t="str">
        <f t="shared" si="59"/>
        <v/>
      </c>
    </row>
    <row r="962" spans="1:11">
      <c r="A962" s="1">
        <v>2146</v>
      </c>
      <c r="B962" s="1" t="s">
        <v>9523</v>
      </c>
      <c r="C962" s="1" t="s">
        <v>9123</v>
      </c>
      <c r="D962" s="1" t="s">
        <v>2845</v>
      </c>
      <c r="E962" s="1" t="s">
        <v>2872</v>
      </c>
      <c r="F962" s="1" t="s">
        <v>2065</v>
      </c>
      <c r="G962" s="1" t="s">
        <v>2058</v>
      </c>
      <c r="H962" s="1" t="str">
        <f t="shared" ref="H962:H1025" si="60">IFERROR(IF(OR(MID(G962,FIND(":",G962)-1,1)="""",MID(G962,FIND(":",G962)-1,1)="}",MID(G962,FIND(":",G962)-1,1)=")",MID(G962,FIND(":",G962)-1,1)="]"),"",LEFT(F962,FIND(":",F962)-1)),"")</f>
        <v/>
      </c>
      <c r="I962" s="1" t="str">
        <f t="shared" ref="I962:I1025" si="61">IFERROR(IF(OR(MID(G962,FIND(":",G962)-1,1)="""",MID(G962,FIND(":",G962)-1,1)="}",MID(G962,FIND(":",G962)-1,1)=")",MID(G962,FIND(":",G962)-1,1)="]"),"",RIGHT(G962,LEN(G962)-FIND(":",G962)-1)),"")</f>
        <v/>
      </c>
      <c r="J962" s="1" t="str">
        <f t="shared" ref="J962:J1025" si="62">IF(AND(I962="",H962=""),G962,H962&amp;": "&amp;I962)</f>
        <v>接口{#IFNAME}({#IFALIAS}): LTE调制解调器RSRP低(低于{$LTEMODEM.RSRP.MIN.WARN}dbm5分钟)</v>
      </c>
      <c r="K962" s="1" t="str">
        <f t="shared" ref="K962:K1025" si="63">IFERROR(IF(OR(MID(F962,FIND(":",F962)-1,1)="""",MID(F962,FIND(":",F962)-1,1)="}",MID(F962,FIND(":",F962)-1,1)=")",MID(F962,FIND(":",F962)-1,1)="]"),"",RIGHT(F962,LEN(F962)-FIND(":",F962)-1)),"")</f>
        <v/>
      </c>
    </row>
    <row r="963" spans="1:11">
      <c r="A963" s="1">
        <v>2147</v>
      </c>
      <c r="B963" s="1" t="s">
        <v>9523</v>
      </c>
      <c r="C963" s="1" t="s">
        <v>9124</v>
      </c>
      <c r="D963" s="1" t="s">
        <v>2845</v>
      </c>
      <c r="E963" s="1" t="s">
        <v>2874</v>
      </c>
      <c r="F963" s="1" t="s">
        <v>2068</v>
      </c>
      <c r="G963" s="1" t="s">
        <v>2062</v>
      </c>
      <c r="H963" s="1" t="str">
        <f t="shared" si="60"/>
        <v/>
      </c>
      <c r="I963" s="1" t="str">
        <f t="shared" si="61"/>
        <v/>
      </c>
      <c r="J963" s="1" t="str">
        <f t="shared" si="62"/>
        <v>接口{#IFNAME}({#IFALIAS}): LTE调制解调器RSRQ低(低于{$LTEMODEM.RSRQ.MIN.WARN}db5分钟)</v>
      </c>
      <c r="K963" s="1" t="str">
        <f t="shared" si="63"/>
        <v/>
      </c>
    </row>
    <row r="964" spans="1:11">
      <c r="A964" s="1">
        <v>2149</v>
      </c>
      <c r="B964" s="1" t="s">
        <v>9524</v>
      </c>
      <c r="C964" s="1" t="s">
        <v>9098</v>
      </c>
      <c r="D964" s="1" t="s">
        <v>2876</v>
      </c>
      <c r="E964" s="1" t="s">
        <v>2877</v>
      </c>
      <c r="F964" s="1" t="s">
        <v>541</v>
      </c>
      <c r="G964" s="1" t="s">
        <v>542</v>
      </c>
      <c r="H964" s="1" t="str">
        <f t="shared" si="60"/>
        <v/>
      </c>
      <c r="I964" s="1" t="str">
        <f t="shared" si="61"/>
        <v/>
      </c>
      <c r="J964" s="1" t="str">
        <f t="shared" si="62"/>
        <v>#{#SNMPINDEX}: CPU使用率高了(超过{$CPU.UTIL.CRIT}%达5分钟)</v>
      </c>
      <c r="K964" s="1" t="str">
        <f t="shared" si="63"/>
        <v/>
      </c>
    </row>
    <row r="965" spans="1:11">
      <c r="A965" s="1">
        <v>2150</v>
      </c>
      <c r="B965" s="1" t="s">
        <v>9524</v>
      </c>
      <c r="C965" s="1" t="s">
        <v>9100</v>
      </c>
      <c r="D965" s="1" t="s">
        <v>2876</v>
      </c>
      <c r="E965" s="1" t="s">
        <v>2879</v>
      </c>
      <c r="F965" s="1" t="s">
        <v>1557</v>
      </c>
      <c r="G965" s="1" t="s">
        <v>1558</v>
      </c>
      <c r="H965" s="1" t="str">
        <f t="shared" si="60"/>
        <v>CPU</v>
      </c>
      <c r="I965" s="1" t="str">
        <f t="shared" si="61"/>
        <v>温度高于临界阈值: &gt;{$TEMP_CRIT: "CPU"}</v>
      </c>
      <c r="J965" s="1" t="str">
        <f t="shared" si="62"/>
        <v>CPU: 温度高于临界阈值: &gt;{$TEMP_CRIT: "CPU"}</v>
      </c>
      <c r="K965" s="1" t="str">
        <f t="shared" si="63"/>
        <v>Temperature is above critical threshold: &gt;{$TEMP_CRIT:"CPU"}</v>
      </c>
    </row>
    <row r="966" spans="1:11">
      <c r="A966" s="1">
        <v>2151</v>
      </c>
      <c r="B966" s="1" t="s">
        <v>9524</v>
      </c>
      <c r="C966" s="1" t="s">
        <v>9102</v>
      </c>
      <c r="D966" s="1" t="s">
        <v>2876</v>
      </c>
      <c r="E966" s="1" t="s">
        <v>2881</v>
      </c>
      <c r="F966" s="1" t="s">
        <v>1553</v>
      </c>
      <c r="G966" s="1" t="s">
        <v>1554</v>
      </c>
      <c r="H966" s="1" t="str">
        <f t="shared" si="60"/>
        <v>CPU</v>
      </c>
      <c r="I966" s="1" t="str">
        <f t="shared" si="61"/>
        <v>温度高于告警阈值: &gt;{$TEMP_WARN: "CPU"}</v>
      </c>
      <c r="J966" s="1" t="str">
        <f t="shared" si="62"/>
        <v>CPU: 温度高于告警阈值: &gt;{$TEMP_WARN: "CPU"}</v>
      </c>
      <c r="K966" s="1" t="str">
        <f t="shared" si="63"/>
        <v>Temperature is above warning threshold: &gt;{$TEMP_WARN:"CPU"}</v>
      </c>
    </row>
    <row r="967" spans="1:11">
      <c r="A967" s="1">
        <v>2152</v>
      </c>
      <c r="B967" s="1" t="s">
        <v>9524</v>
      </c>
      <c r="C967" s="1" t="s">
        <v>9104</v>
      </c>
      <c r="D967" s="1" t="s">
        <v>2876</v>
      </c>
      <c r="E967" s="1" t="s">
        <v>2883</v>
      </c>
      <c r="F967" s="1" t="s">
        <v>1561</v>
      </c>
      <c r="G967" s="1" t="s">
        <v>1562</v>
      </c>
      <c r="H967" s="1" t="str">
        <f t="shared" si="60"/>
        <v>CPU</v>
      </c>
      <c r="I967" s="1" t="str">
        <f t="shared" si="61"/>
        <v>温度太低: &lt;{$TEMP_CRIT_LOW: "CPU"}</v>
      </c>
      <c r="J967" s="1" t="str">
        <f t="shared" si="62"/>
        <v>CPU: 温度太低: &lt;{$TEMP_CRIT_LOW: "CPU"}</v>
      </c>
      <c r="K967" s="1" t="str">
        <f t="shared" si="63"/>
        <v>Temperature is too low: &lt;{$TEMP_CRIT_LOW:"CPU"}</v>
      </c>
    </row>
    <row r="968" spans="1:11">
      <c r="A968" s="1">
        <v>2153</v>
      </c>
      <c r="B968" s="1" t="s">
        <v>9524</v>
      </c>
      <c r="C968" s="1" t="s">
        <v>9106</v>
      </c>
      <c r="D968" s="1" t="s">
        <v>2876</v>
      </c>
      <c r="E968" s="1" t="s">
        <v>2885</v>
      </c>
      <c r="F968" s="1" t="s">
        <v>2033</v>
      </c>
      <c r="G968" s="1" t="s">
        <v>2034</v>
      </c>
      <c r="H968" s="1" t="str">
        <f t="shared" si="60"/>
        <v>Device</v>
      </c>
      <c r="I968" s="1" t="str">
        <f t="shared" si="61"/>
        <v>温度高于临界阈值: &gt;{$TEMP_CRIT: "Device"}</v>
      </c>
      <c r="J968" s="1" t="str">
        <f t="shared" si="62"/>
        <v>Device: 温度高于临界阈值: &gt;{$TEMP_CRIT: "Device"}</v>
      </c>
      <c r="K968" s="1" t="str">
        <f t="shared" si="63"/>
        <v>Temperature is above critical threshold: &gt;{$TEMP_CRIT:"Device"}</v>
      </c>
    </row>
    <row r="969" spans="1:11">
      <c r="A969" s="1">
        <v>2154</v>
      </c>
      <c r="B969" s="1" t="s">
        <v>9524</v>
      </c>
      <c r="C969" s="1" t="s">
        <v>9108</v>
      </c>
      <c r="D969" s="1" t="s">
        <v>2876</v>
      </c>
      <c r="E969" s="1" t="s">
        <v>2887</v>
      </c>
      <c r="F969" s="1" t="s">
        <v>2037</v>
      </c>
      <c r="G969" s="1" t="s">
        <v>2038</v>
      </c>
      <c r="H969" s="1" t="str">
        <f t="shared" si="60"/>
        <v>Device</v>
      </c>
      <c r="I969" s="1" t="str">
        <f t="shared" si="61"/>
        <v>温度高于告警阈值: &gt;{$TEMP_WARN: "Device"}</v>
      </c>
      <c r="J969" s="1" t="str">
        <f t="shared" si="62"/>
        <v>Device: 温度高于告警阈值: &gt;{$TEMP_WARN: "Device"}</v>
      </c>
      <c r="K969" s="1" t="str">
        <f t="shared" si="63"/>
        <v>Temperature is above warning threshold: &gt;{$TEMP_WARN:"Device"}</v>
      </c>
    </row>
    <row r="970" spans="1:11">
      <c r="A970" s="1">
        <v>2155</v>
      </c>
      <c r="B970" s="1" t="s">
        <v>9524</v>
      </c>
      <c r="C970" s="1" t="s">
        <v>9110</v>
      </c>
      <c r="D970" s="1" t="s">
        <v>2876</v>
      </c>
      <c r="E970" s="1" t="s">
        <v>2889</v>
      </c>
      <c r="F970" s="1" t="s">
        <v>2041</v>
      </c>
      <c r="G970" s="1" t="s">
        <v>2042</v>
      </c>
      <c r="H970" s="1" t="str">
        <f t="shared" si="60"/>
        <v>Device</v>
      </c>
      <c r="I970" s="1" t="str">
        <f t="shared" si="61"/>
        <v>温度太低: &lt;{$TEMP_CRIT_LOW: "Device"}</v>
      </c>
      <c r="J970" s="1" t="str">
        <f t="shared" si="62"/>
        <v>Device: 温度太低: &lt;{$TEMP_CRIT_LOW: "Device"}</v>
      </c>
      <c r="K970" s="1" t="str">
        <f t="shared" si="63"/>
        <v>Temperature is too low: &lt;{$TEMP_CRIT_LOW:"Device"}</v>
      </c>
    </row>
    <row r="971" spans="1:11">
      <c r="A971" s="1">
        <v>2156</v>
      </c>
      <c r="B971" s="1" t="s">
        <v>9524</v>
      </c>
      <c r="C971" s="1" t="s">
        <v>9112</v>
      </c>
      <c r="D971" s="1" t="s">
        <v>2876</v>
      </c>
      <c r="E971" s="1" t="s">
        <v>2891</v>
      </c>
      <c r="F971" s="1" t="s">
        <v>2045</v>
      </c>
      <c r="G971" s="1" t="s">
        <v>2046</v>
      </c>
      <c r="H971" s="1" t="str">
        <f t="shared" si="60"/>
        <v/>
      </c>
      <c r="I971" s="1" t="str">
        <f t="shared" si="61"/>
        <v/>
      </c>
      <c r="J971" s="1" t="str">
        <f t="shared" si="62"/>
        <v>Disk-{#SNMPINDEX}: 磁盘空间严重不足(已使用率&gt;{$VFS.FS.PUSED.MAX.CRIT: "Disk-{#SNMPINDEX}"}%)</v>
      </c>
      <c r="K971" s="1" t="str">
        <f t="shared" si="63"/>
        <v/>
      </c>
    </row>
    <row r="972" spans="1:11">
      <c r="A972" s="1">
        <v>2157</v>
      </c>
      <c r="B972" s="1" t="s">
        <v>9524</v>
      </c>
      <c r="C972" s="1" t="s">
        <v>9114</v>
      </c>
      <c r="D972" s="1" t="s">
        <v>2876</v>
      </c>
      <c r="E972" s="1" t="s">
        <v>2893</v>
      </c>
      <c r="F972" s="1" t="s">
        <v>2049</v>
      </c>
      <c r="G972" s="1" t="s">
        <v>2050</v>
      </c>
      <c r="H972" s="1" t="str">
        <f t="shared" si="60"/>
        <v/>
      </c>
      <c r="I972" s="1" t="str">
        <f t="shared" si="61"/>
        <v/>
      </c>
      <c r="J972" s="1" t="str">
        <f t="shared" si="62"/>
        <v>Disk-{#SNMPINDEX}: 磁盘空间不足(已使用率&gt;{$VFS.FS.PUSED.MAX.WARN: "Disk-{#SNMPINDEX}"}%)</v>
      </c>
      <c r="K972" s="1" t="str">
        <f t="shared" si="63"/>
        <v/>
      </c>
    </row>
    <row r="973" spans="1:11">
      <c r="A973" s="1">
        <v>2159</v>
      </c>
      <c r="B973" s="1" t="s">
        <v>9524</v>
      </c>
      <c r="C973" s="1" t="s">
        <v>9117</v>
      </c>
      <c r="D973" s="1" t="s">
        <v>2876</v>
      </c>
      <c r="E973" s="1" t="s">
        <v>2895</v>
      </c>
      <c r="F973" s="1" t="s">
        <v>161</v>
      </c>
      <c r="G973" s="1" t="s">
        <v>162</v>
      </c>
      <c r="H973" s="1" t="str">
        <f t="shared" si="60"/>
        <v/>
      </c>
      <c r="I973" s="1" t="str">
        <f t="shared" si="61"/>
        <v/>
      </c>
      <c r="J973" s="1" t="str">
        <f t="shared" si="62"/>
        <v>接口{#IFNAME}({#IFALIAS}): 带宽使用率太高(&gt;{$IF.UTIL.MAX: "{#IFNAME}"}%)</v>
      </c>
      <c r="K973" s="1" t="str">
        <f t="shared" si="63"/>
        <v/>
      </c>
    </row>
    <row r="974" spans="1:11">
      <c r="A974" s="1">
        <v>2160</v>
      </c>
      <c r="B974" s="1" t="s">
        <v>9524</v>
      </c>
      <c r="C974" s="1" t="s">
        <v>9119</v>
      </c>
      <c r="D974" s="1" t="s">
        <v>2876</v>
      </c>
      <c r="E974" s="1" t="s">
        <v>2897</v>
      </c>
      <c r="F974" s="1" t="s">
        <v>165</v>
      </c>
      <c r="G974" s="1" t="s">
        <v>166</v>
      </c>
      <c r="H974" s="1" t="str">
        <f t="shared" si="60"/>
        <v/>
      </c>
      <c r="I974" s="1" t="str">
        <f t="shared" si="61"/>
        <v/>
      </c>
      <c r="J974" s="1" t="str">
        <f t="shared" si="62"/>
        <v>接口{#IFNAME}({#IFALIAS}): 错误率太高(&gt;{$IF.ERRORS.WARN: "{#IFNAME}"}达5分钟)</v>
      </c>
      <c r="K974" s="1" t="str">
        <f t="shared" si="63"/>
        <v/>
      </c>
    </row>
    <row r="975" spans="1:11">
      <c r="A975" s="1">
        <v>2162</v>
      </c>
      <c r="B975" s="1" t="s">
        <v>9524</v>
      </c>
      <c r="C975" s="1" t="s">
        <v>9121</v>
      </c>
      <c r="D975" s="1" t="s">
        <v>2876</v>
      </c>
      <c r="E975" s="1" t="s">
        <v>2899</v>
      </c>
      <c r="F975" s="1" t="s">
        <v>2057</v>
      </c>
      <c r="G975" s="1" t="s">
        <v>2058</v>
      </c>
      <c r="H975" s="1" t="str">
        <f t="shared" si="60"/>
        <v/>
      </c>
      <c r="I975" s="1" t="str">
        <f t="shared" si="61"/>
        <v/>
      </c>
      <c r="J975" s="1" t="str">
        <f t="shared" si="62"/>
        <v>接口{#IFNAME}({#IFALIAS}): LTE调制解调器RSRP低(低于{$LTEMODEM.RSRP.MIN.WARN}dbm5分钟)</v>
      </c>
      <c r="K975" s="1" t="str">
        <f t="shared" si="63"/>
        <v/>
      </c>
    </row>
    <row r="976" spans="1:11">
      <c r="A976" s="1">
        <v>2163</v>
      </c>
      <c r="B976" s="1" t="s">
        <v>9524</v>
      </c>
      <c r="C976" s="1" t="s">
        <v>9122</v>
      </c>
      <c r="D976" s="1" t="s">
        <v>2876</v>
      </c>
      <c r="E976" s="1" t="s">
        <v>2901</v>
      </c>
      <c r="F976" s="1" t="s">
        <v>2061</v>
      </c>
      <c r="G976" s="1" t="s">
        <v>2062</v>
      </c>
      <c r="H976" s="1" t="str">
        <f t="shared" si="60"/>
        <v/>
      </c>
      <c r="I976" s="1" t="str">
        <f t="shared" si="61"/>
        <v/>
      </c>
      <c r="J976" s="1" t="str">
        <f t="shared" si="62"/>
        <v>接口{#IFNAME}({#IFALIAS}): LTE调制解调器RSRQ低(低于{$LTEMODEM.RSRQ.MIN.WARN}db5分钟)</v>
      </c>
      <c r="K976" s="1" t="str">
        <f t="shared" si="63"/>
        <v/>
      </c>
    </row>
    <row r="977" spans="1:11">
      <c r="A977" s="1">
        <v>2164</v>
      </c>
      <c r="B977" s="1" t="s">
        <v>9524</v>
      </c>
      <c r="C977" s="1" t="s">
        <v>9123</v>
      </c>
      <c r="D977" s="1" t="s">
        <v>2876</v>
      </c>
      <c r="E977" s="1" t="s">
        <v>2903</v>
      </c>
      <c r="F977" s="1" t="s">
        <v>2065</v>
      </c>
      <c r="G977" s="1" t="s">
        <v>2058</v>
      </c>
      <c r="H977" s="1" t="str">
        <f t="shared" si="60"/>
        <v/>
      </c>
      <c r="I977" s="1" t="str">
        <f t="shared" si="61"/>
        <v/>
      </c>
      <c r="J977" s="1" t="str">
        <f t="shared" si="62"/>
        <v>接口{#IFNAME}({#IFALIAS}): LTE调制解调器RSRP低(低于{$LTEMODEM.RSRP.MIN.WARN}dbm5分钟)</v>
      </c>
      <c r="K977" s="1" t="str">
        <f t="shared" si="63"/>
        <v/>
      </c>
    </row>
    <row r="978" spans="1:11">
      <c r="A978" s="1">
        <v>2165</v>
      </c>
      <c r="B978" s="1" t="s">
        <v>9524</v>
      </c>
      <c r="C978" s="1" t="s">
        <v>9124</v>
      </c>
      <c r="D978" s="1" t="s">
        <v>2876</v>
      </c>
      <c r="E978" s="1" t="s">
        <v>2905</v>
      </c>
      <c r="F978" s="1" t="s">
        <v>2068</v>
      </c>
      <c r="G978" s="1" t="s">
        <v>2062</v>
      </c>
      <c r="H978" s="1" t="str">
        <f t="shared" si="60"/>
        <v/>
      </c>
      <c r="I978" s="1" t="str">
        <f t="shared" si="61"/>
        <v/>
      </c>
      <c r="J978" s="1" t="str">
        <f t="shared" si="62"/>
        <v>接口{#IFNAME}({#IFALIAS}): LTE调制解调器RSRQ低(低于{$LTEMODEM.RSRQ.MIN.WARN}db5分钟)</v>
      </c>
      <c r="K978" s="1" t="str">
        <f t="shared" si="63"/>
        <v/>
      </c>
    </row>
    <row r="979" spans="1:11">
      <c r="A979" s="1">
        <v>2167</v>
      </c>
      <c r="B979" s="1" t="s">
        <v>9525</v>
      </c>
      <c r="C979" s="1" t="s">
        <v>9098</v>
      </c>
      <c r="D979" s="1" t="s">
        <v>2907</v>
      </c>
      <c r="E979" s="1" t="s">
        <v>2908</v>
      </c>
      <c r="F979" s="1" t="s">
        <v>541</v>
      </c>
      <c r="G979" s="1" t="s">
        <v>542</v>
      </c>
      <c r="H979" s="1" t="str">
        <f t="shared" si="60"/>
        <v/>
      </c>
      <c r="I979" s="1" t="str">
        <f t="shared" si="61"/>
        <v/>
      </c>
      <c r="J979" s="1" t="str">
        <f t="shared" si="62"/>
        <v>#{#SNMPINDEX}: CPU使用率高了(超过{$CPU.UTIL.CRIT}%达5分钟)</v>
      </c>
      <c r="K979" s="1" t="str">
        <f t="shared" si="63"/>
        <v/>
      </c>
    </row>
    <row r="980" spans="1:11">
      <c r="A980" s="1">
        <v>2168</v>
      </c>
      <c r="B980" s="1" t="s">
        <v>9525</v>
      </c>
      <c r="C980" s="1" t="s">
        <v>9100</v>
      </c>
      <c r="D980" s="1" t="s">
        <v>2907</v>
      </c>
      <c r="E980" s="1" t="s">
        <v>2910</v>
      </c>
      <c r="F980" s="1" t="s">
        <v>1557</v>
      </c>
      <c r="G980" s="1" t="s">
        <v>1558</v>
      </c>
      <c r="H980" s="1" t="str">
        <f t="shared" si="60"/>
        <v>CPU</v>
      </c>
      <c r="I980" s="1" t="str">
        <f t="shared" si="61"/>
        <v>温度高于临界阈值: &gt;{$TEMP_CRIT: "CPU"}</v>
      </c>
      <c r="J980" s="1" t="str">
        <f t="shared" si="62"/>
        <v>CPU: 温度高于临界阈值: &gt;{$TEMP_CRIT: "CPU"}</v>
      </c>
      <c r="K980" s="1" t="str">
        <f t="shared" si="63"/>
        <v>Temperature is above critical threshold: &gt;{$TEMP_CRIT:"CPU"}</v>
      </c>
    </row>
    <row r="981" spans="1:11">
      <c r="A981" s="1">
        <v>2169</v>
      </c>
      <c r="B981" s="1" t="s">
        <v>9525</v>
      </c>
      <c r="C981" s="1" t="s">
        <v>9102</v>
      </c>
      <c r="D981" s="1" t="s">
        <v>2907</v>
      </c>
      <c r="E981" s="1" t="s">
        <v>2912</v>
      </c>
      <c r="F981" s="1" t="s">
        <v>1553</v>
      </c>
      <c r="G981" s="1" t="s">
        <v>1554</v>
      </c>
      <c r="H981" s="1" t="str">
        <f t="shared" si="60"/>
        <v>CPU</v>
      </c>
      <c r="I981" s="1" t="str">
        <f t="shared" si="61"/>
        <v>温度高于告警阈值: &gt;{$TEMP_WARN: "CPU"}</v>
      </c>
      <c r="J981" s="1" t="str">
        <f t="shared" si="62"/>
        <v>CPU: 温度高于告警阈值: &gt;{$TEMP_WARN: "CPU"}</v>
      </c>
      <c r="K981" s="1" t="str">
        <f t="shared" si="63"/>
        <v>Temperature is above warning threshold: &gt;{$TEMP_WARN:"CPU"}</v>
      </c>
    </row>
    <row r="982" spans="1:11">
      <c r="A982" s="1">
        <v>2170</v>
      </c>
      <c r="B982" s="1" t="s">
        <v>9525</v>
      </c>
      <c r="C982" s="1" t="s">
        <v>9104</v>
      </c>
      <c r="D982" s="1" t="s">
        <v>2907</v>
      </c>
      <c r="E982" s="1" t="s">
        <v>2914</v>
      </c>
      <c r="F982" s="1" t="s">
        <v>1561</v>
      </c>
      <c r="G982" s="1" t="s">
        <v>1562</v>
      </c>
      <c r="H982" s="1" t="str">
        <f t="shared" si="60"/>
        <v>CPU</v>
      </c>
      <c r="I982" s="1" t="str">
        <f t="shared" si="61"/>
        <v>温度太低: &lt;{$TEMP_CRIT_LOW: "CPU"}</v>
      </c>
      <c r="J982" s="1" t="str">
        <f t="shared" si="62"/>
        <v>CPU: 温度太低: &lt;{$TEMP_CRIT_LOW: "CPU"}</v>
      </c>
      <c r="K982" s="1" t="str">
        <f t="shared" si="63"/>
        <v>Temperature is too low: &lt;{$TEMP_CRIT_LOW:"CPU"}</v>
      </c>
    </row>
    <row r="983" spans="1:11">
      <c r="A983" s="1">
        <v>2171</v>
      </c>
      <c r="B983" s="1" t="s">
        <v>9525</v>
      </c>
      <c r="C983" s="1" t="s">
        <v>9106</v>
      </c>
      <c r="D983" s="1" t="s">
        <v>2907</v>
      </c>
      <c r="E983" s="1" t="s">
        <v>2916</v>
      </c>
      <c r="F983" s="1" t="s">
        <v>2033</v>
      </c>
      <c r="G983" s="1" t="s">
        <v>2034</v>
      </c>
      <c r="H983" s="1" t="str">
        <f t="shared" si="60"/>
        <v>Device</v>
      </c>
      <c r="I983" s="1" t="str">
        <f t="shared" si="61"/>
        <v>温度高于临界阈值: &gt;{$TEMP_CRIT: "Device"}</v>
      </c>
      <c r="J983" s="1" t="str">
        <f t="shared" si="62"/>
        <v>Device: 温度高于临界阈值: &gt;{$TEMP_CRIT: "Device"}</v>
      </c>
      <c r="K983" s="1" t="str">
        <f t="shared" si="63"/>
        <v>Temperature is above critical threshold: &gt;{$TEMP_CRIT:"Device"}</v>
      </c>
    </row>
    <row r="984" spans="1:11">
      <c r="A984" s="1">
        <v>2172</v>
      </c>
      <c r="B984" s="1" t="s">
        <v>9525</v>
      </c>
      <c r="C984" s="1" t="s">
        <v>9108</v>
      </c>
      <c r="D984" s="1" t="s">
        <v>2907</v>
      </c>
      <c r="E984" s="1" t="s">
        <v>2918</v>
      </c>
      <c r="F984" s="1" t="s">
        <v>2037</v>
      </c>
      <c r="G984" s="1" t="s">
        <v>2038</v>
      </c>
      <c r="H984" s="1" t="str">
        <f t="shared" si="60"/>
        <v>Device</v>
      </c>
      <c r="I984" s="1" t="str">
        <f t="shared" si="61"/>
        <v>温度高于告警阈值: &gt;{$TEMP_WARN: "Device"}</v>
      </c>
      <c r="J984" s="1" t="str">
        <f t="shared" si="62"/>
        <v>Device: 温度高于告警阈值: &gt;{$TEMP_WARN: "Device"}</v>
      </c>
      <c r="K984" s="1" t="str">
        <f t="shared" si="63"/>
        <v>Temperature is above warning threshold: &gt;{$TEMP_WARN:"Device"}</v>
      </c>
    </row>
    <row r="985" spans="1:11">
      <c r="A985" s="1">
        <v>2173</v>
      </c>
      <c r="B985" s="1" t="s">
        <v>9525</v>
      </c>
      <c r="C985" s="1" t="s">
        <v>9110</v>
      </c>
      <c r="D985" s="1" t="s">
        <v>2907</v>
      </c>
      <c r="E985" s="1" t="s">
        <v>2920</v>
      </c>
      <c r="F985" s="1" t="s">
        <v>2041</v>
      </c>
      <c r="G985" s="1" t="s">
        <v>2042</v>
      </c>
      <c r="H985" s="1" t="str">
        <f t="shared" si="60"/>
        <v>Device</v>
      </c>
      <c r="I985" s="1" t="str">
        <f t="shared" si="61"/>
        <v>温度太低: &lt;{$TEMP_CRIT_LOW: "Device"}</v>
      </c>
      <c r="J985" s="1" t="str">
        <f t="shared" si="62"/>
        <v>Device: 温度太低: &lt;{$TEMP_CRIT_LOW: "Device"}</v>
      </c>
      <c r="K985" s="1" t="str">
        <f t="shared" si="63"/>
        <v>Temperature is too low: &lt;{$TEMP_CRIT_LOW:"Device"}</v>
      </c>
    </row>
    <row r="986" spans="1:11">
      <c r="A986" s="1">
        <v>2174</v>
      </c>
      <c r="B986" s="1" t="s">
        <v>9525</v>
      </c>
      <c r="C986" s="1" t="s">
        <v>9112</v>
      </c>
      <c r="D986" s="1" t="s">
        <v>2907</v>
      </c>
      <c r="E986" s="1" t="s">
        <v>2922</v>
      </c>
      <c r="F986" s="1" t="s">
        <v>2045</v>
      </c>
      <c r="G986" s="1" t="s">
        <v>2046</v>
      </c>
      <c r="H986" s="1" t="str">
        <f t="shared" si="60"/>
        <v/>
      </c>
      <c r="I986" s="1" t="str">
        <f t="shared" si="61"/>
        <v/>
      </c>
      <c r="J986" s="1" t="str">
        <f t="shared" si="62"/>
        <v>Disk-{#SNMPINDEX}: 磁盘空间严重不足(已使用率&gt;{$VFS.FS.PUSED.MAX.CRIT: "Disk-{#SNMPINDEX}"}%)</v>
      </c>
      <c r="K986" s="1" t="str">
        <f t="shared" si="63"/>
        <v/>
      </c>
    </row>
    <row r="987" spans="1:11">
      <c r="A987" s="1">
        <v>2175</v>
      </c>
      <c r="B987" s="1" t="s">
        <v>9525</v>
      </c>
      <c r="C987" s="1" t="s">
        <v>9114</v>
      </c>
      <c r="D987" s="1" t="s">
        <v>2907</v>
      </c>
      <c r="E987" s="1" t="s">
        <v>2924</v>
      </c>
      <c r="F987" s="1" t="s">
        <v>2049</v>
      </c>
      <c r="G987" s="1" t="s">
        <v>2050</v>
      </c>
      <c r="H987" s="1" t="str">
        <f t="shared" si="60"/>
        <v/>
      </c>
      <c r="I987" s="1" t="str">
        <f t="shared" si="61"/>
        <v/>
      </c>
      <c r="J987" s="1" t="str">
        <f t="shared" si="62"/>
        <v>Disk-{#SNMPINDEX}: 磁盘空间不足(已使用率&gt;{$VFS.FS.PUSED.MAX.WARN: "Disk-{#SNMPINDEX}"}%)</v>
      </c>
      <c r="K987" s="1" t="str">
        <f t="shared" si="63"/>
        <v/>
      </c>
    </row>
    <row r="988" spans="1:11">
      <c r="A988" s="1">
        <v>2177</v>
      </c>
      <c r="B988" s="1" t="s">
        <v>9525</v>
      </c>
      <c r="C988" s="1" t="s">
        <v>9117</v>
      </c>
      <c r="D988" s="1" t="s">
        <v>2907</v>
      </c>
      <c r="E988" s="1" t="s">
        <v>2926</v>
      </c>
      <c r="F988" s="1" t="s">
        <v>161</v>
      </c>
      <c r="G988" s="1" t="s">
        <v>162</v>
      </c>
      <c r="H988" s="1" t="str">
        <f t="shared" si="60"/>
        <v/>
      </c>
      <c r="I988" s="1" t="str">
        <f t="shared" si="61"/>
        <v/>
      </c>
      <c r="J988" s="1" t="str">
        <f t="shared" si="62"/>
        <v>接口{#IFNAME}({#IFALIAS}): 带宽使用率太高(&gt;{$IF.UTIL.MAX: "{#IFNAME}"}%)</v>
      </c>
      <c r="K988" s="1" t="str">
        <f t="shared" si="63"/>
        <v/>
      </c>
    </row>
    <row r="989" spans="1:11">
      <c r="A989" s="1">
        <v>2178</v>
      </c>
      <c r="B989" s="1" t="s">
        <v>9525</v>
      </c>
      <c r="C989" s="1" t="s">
        <v>9119</v>
      </c>
      <c r="D989" s="1" t="s">
        <v>2907</v>
      </c>
      <c r="E989" s="1" t="s">
        <v>2928</v>
      </c>
      <c r="F989" s="1" t="s">
        <v>165</v>
      </c>
      <c r="G989" s="1" t="s">
        <v>166</v>
      </c>
      <c r="H989" s="1" t="str">
        <f t="shared" si="60"/>
        <v/>
      </c>
      <c r="I989" s="1" t="str">
        <f t="shared" si="61"/>
        <v/>
      </c>
      <c r="J989" s="1" t="str">
        <f t="shared" si="62"/>
        <v>接口{#IFNAME}({#IFALIAS}): 错误率太高(&gt;{$IF.ERRORS.WARN: "{#IFNAME}"}达5分钟)</v>
      </c>
      <c r="K989" s="1" t="str">
        <f t="shared" si="63"/>
        <v/>
      </c>
    </row>
    <row r="990" spans="1:11">
      <c r="A990" s="1">
        <v>2180</v>
      </c>
      <c r="B990" s="1" t="s">
        <v>9525</v>
      </c>
      <c r="C990" s="1" t="s">
        <v>9121</v>
      </c>
      <c r="D990" s="1" t="s">
        <v>2907</v>
      </c>
      <c r="E990" s="1" t="s">
        <v>2930</v>
      </c>
      <c r="F990" s="1" t="s">
        <v>2057</v>
      </c>
      <c r="G990" s="1" t="s">
        <v>2058</v>
      </c>
      <c r="H990" s="1" t="str">
        <f t="shared" si="60"/>
        <v/>
      </c>
      <c r="I990" s="1" t="str">
        <f t="shared" si="61"/>
        <v/>
      </c>
      <c r="J990" s="1" t="str">
        <f t="shared" si="62"/>
        <v>接口{#IFNAME}({#IFALIAS}): LTE调制解调器RSRP低(低于{$LTEMODEM.RSRP.MIN.WARN}dbm5分钟)</v>
      </c>
      <c r="K990" s="1" t="str">
        <f t="shared" si="63"/>
        <v/>
      </c>
    </row>
    <row r="991" spans="1:11">
      <c r="A991" s="1">
        <v>2181</v>
      </c>
      <c r="B991" s="1" t="s">
        <v>9525</v>
      </c>
      <c r="C991" s="1" t="s">
        <v>9122</v>
      </c>
      <c r="D991" s="1" t="s">
        <v>2907</v>
      </c>
      <c r="E991" s="1" t="s">
        <v>2932</v>
      </c>
      <c r="F991" s="1" t="s">
        <v>2061</v>
      </c>
      <c r="G991" s="1" t="s">
        <v>2062</v>
      </c>
      <c r="H991" s="1" t="str">
        <f t="shared" si="60"/>
        <v/>
      </c>
      <c r="I991" s="1" t="str">
        <f t="shared" si="61"/>
        <v/>
      </c>
      <c r="J991" s="1" t="str">
        <f t="shared" si="62"/>
        <v>接口{#IFNAME}({#IFALIAS}): LTE调制解调器RSRQ低(低于{$LTEMODEM.RSRQ.MIN.WARN}db5分钟)</v>
      </c>
      <c r="K991" s="1" t="str">
        <f t="shared" si="63"/>
        <v/>
      </c>
    </row>
    <row r="992" spans="1:11">
      <c r="A992" s="1">
        <v>2182</v>
      </c>
      <c r="B992" s="1" t="s">
        <v>9525</v>
      </c>
      <c r="C992" s="1" t="s">
        <v>9123</v>
      </c>
      <c r="D992" s="1" t="s">
        <v>2907</v>
      </c>
      <c r="E992" s="1" t="s">
        <v>2934</v>
      </c>
      <c r="F992" s="1" t="s">
        <v>2065</v>
      </c>
      <c r="G992" s="1" t="s">
        <v>2058</v>
      </c>
      <c r="H992" s="1" t="str">
        <f t="shared" si="60"/>
        <v/>
      </c>
      <c r="I992" s="1" t="str">
        <f t="shared" si="61"/>
        <v/>
      </c>
      <c r="J992" s="1" t="str">
        <f t="shared" si="62"/>
        <v>接口{#IFNAME}({#IFALIAS}): LTE调制解调器RSRP低(低于{$LTEMODEM.RSRP.MIN.WARN}dbm5分钟)</v>
      </c>
      <c r="K992" s="1" t="str">
        <f t="shared" si="63"/>
        <v/>
      </c>
    </row>
    <row r="993" spans="1:11">
      <c r="A993" s="1">
        <v>2183</v>
      </c>
      <c r="B993" s="1" t="s">
        <v>9525</v>
      </c>
      <c r="C993" s="1" t="s">
        <v>9124</v>
      </c>
      <c r="D993" s="1" t="s">
        <v>2907</v>
      </c>
      <c r="E993" s="1" t="s">
        <v>2936</v>
      </c>
      <c r="F993" s="1" t="s">
        <v>2068</v>
      </c>
      <c r="G993" s="1" t="s">
        <v>2062</v>
      </c>
      <c r="H993" s="1" t="str">
        <f t="shared" si="60"/>
        <v/>
      </c>
      <c r="I993" s="1" t="str">
        <f t="shared" si="61"/>
        <v/>
      </c>
      <c r="J993" s="1" t="str">
        <f t="shared" si="62"/>
        <v>接口{#IFNAME}({#IFALIAS}): LTE调制解调器RSRQ低(低于{$LTEMODEM.RSRQ.MIN.WARN}db5分钟)</v>
      </c>
      <c r="K993" s="1" t="str">
        <f t="shared" si="63"/>
        <v/>
      </c>
    </row>
    <row r="994" spans="1:11">
      <c r="A994" s="1">
        <v>2185</v>
      </c>
      <c r="B994" s="1" t="s">
        <v>9526</v>
      </c>
      <c r="C994" s="1" t="s">
        <v>9098</v>
      </c>
      <c r="D994" s="1" t="s">
        <v>2938</v>
      </c>
      <c r="E994" s="1" t="s">
        <v>2939</v>
      </c>
      <c r="F994" s="1" t="s">
        <v>541</v>
      </c>
      <c r="G994" s="1" t="s">
        <v>542</v>
      </c>
      <c r="H994" s="1" t="str">
        <f t="shared" si="60"/>
        <v/>
      </c>
      <c r="I994" s="1" t="str">
        <f t="shared" si="61"/>
        <v/>
      </c>
      <c r="J994" s="1" t="str">
        <f t="shared" si="62"/>
        <v>#{#SNMPINDEX}: CPU使用率高了(超过{$CPU.UTIL.CRIT}%达5分钟)</v>
      </c>
      <c r="K994" s="1" t="str">
        <f t="shared" si="63"/>
        <v/>
      </c>
    </row>
    <row r="995" spans="1:11">
      <c r="A995" s="1">
        <v>2186</v>
      </c>
      <c r="B995" s="1" t="s">
        <v>9526</v>
      </c>
      <c r="C995" s="1" t="s">
        <v>9100</v>
      </c>
      <c r="D995" s="1" t="s">
        <v>2938</v>
      </c>
      <c r="E995" s="1" t="s">
        <v>2941</v>
      </c>
      <c r="F995" s="1" t="s">
        <v>1557</v>
      </c>
      <c r="G995" s="1" t="s">
        <v>1558</v>
      </c>
      <c r="H995" s="1" t="str">
        <f t="shared" si="60"/>
        <v>CPU</v>
      </c>
      <c r="I995" s="1" t="str">
        <f t="shared" si="61"/>
        <v>温度高于临界阈值: &gt;{$TEMP_CRIT: "CPU"}</v>
      </c>
      <c r="J995" s="1" t="str">
        <f t="shared" si="62"/>
        <v>CPU: 温度高于临界阈值: &gt;{$TEMP_CRIT: "CPU"}</v>
      </c>
      <c r="K995" s="1" t="str">
        <f t="shared" si="63"/>
        <v>Temperature is above critical threshold: &gt;{$TEMP_CRIT:"CPU"}</v>
      </c>
    </row>
    <row r="996" spans="1:11">
      <c r="A996" s="1">
        <v>2187</v>
      </c>
      <c r="B996" s="1" t="s">
        <v>9526</v>
      </c>
      <c r="C996" s="1" t="s">
        <v>9102</v>
      </c>
      <c r="D996" s="1" t="s">
        <v>2938</v>
      </c>
      <c r="E996" s="1" t="s">
        <v>2943</v>
      </c>
      <c r="F996" s="1" t="s">
        <v>1553</v>
      </c>
      <c r="G996" s="1" t="s">
        <v>1554</v>
      </c>
      <c r="H996" s="1" t="str">
        <f t="shared" si="60"/>
        <v>CPU</v>
      </c>
      <c r="I996" s="1" t="str">
        <f t="shared" si="61"/>
        <v>温度高于告警阈值: &gt;{$TEMP_WARN: "CPU"}</v>
      </c>
      <c r="J996" s="1" t="str">
        <f t="shared" si="62"/>
        <v>CPU: 温度高于告警阈值: &gt;{$TEMP_WARN: "CPU"}</v>
      </c>
      <c r="K996" s="1" t="str">
        <f t="shared" si="63"/>
        <v>Temperature is above warning threshold: &gt;{$TEMP_WARN:"CPU"}</v>
      </c>
    </row>
    <row r="997" spans="1:11">
      <c r="A997" s="1">
        <v>2188</v>
      </c>
      <c r="B997" s="1" t="s">
        <v>9526</v>
      </c>
      <c r="C997" s="1" t="s">
        <v>9104</v>
      </c>
      <c r="D997" s="1" t="s">
        <v>2938</v>
      </c>
      <c r="E997" s="1" t="s">
        <v>2945</v>
      </c>
      <c r="F997" s="1" t="s">
        <v>1561</v>
      </c>
      <c r="G997" s="1" t="s">
        <v>1562</v>
      </c>
      <c r="H997" s="1" t="str">
        <f t="shared" si="60"/>
        <v>CPU</v>
      </c>
      <c r="I997" s="1" t="str">
        <f t="shared" si="61"/>
        <v>温度太低: &lt;{$TEMP_CRIT_LOW: "CPU"}</v>
      </c>
      <c r="J997" s="1" t="str">
        <f t="shared" si="62"/>
        <v>CPU: 温度太低: &lt;{$TEMP_CRIT_LOW: "CPU"}</v>
      </c>
      <c r="K997" s="1" t="str">
        <f t="shared" si="63"/>
        <v>Temperature is too low: &lt;{$TEMP_CRIT_LOW:"CPU"}</v>
      </c>
    </row>
    <row r="998" spans="1:11">
      <c r="A998" s="1">
        <v>2189</v>
      </c>
      <c r="B998" s="1" t="s">
        <v>9526</v>
      </c>
      <c r="C998" s="1" t="s">
        <v>9106</v>
      </c>
      <c r="D998" s="1" t="s">
        <v>2938</v>
      </c>
      <c r="E998" s="1" t="s">
        <v>2947</v>
      </c>
      <c r="F998" s="1" t="s">
        <v>2033</v>
      </c>
      <c r="G998" s="1" t="s">
        <v>2034</v>
      </c>
      <c r="H998" s="1" t="str">
        <f t="shared" si="60"/>
        <v>Device</v>
      </c>
      <c r="I998" s="1" t="str">
        <f t="shared" si="61"/>
        <v>温度高于临界阈值: &gt;{$TEMP_CRIT: "Device"}</v>
      </c>
      <c r="J998" s="1" t="str">
        <f t="shared" si="62"/>
        <v>Device: 温度高于临界阈值: &gt;{$TEMP_CRIT: "Device"}</v>
      </c>
      <c r="K998" s="1" t="str">
        <f t="shared" si="63"/>
        <v>Temperature is above critical threshold: &gt;{$TEMP_CRIT:"Device"}</v>
      </c>
    </row>
    <row r="999" spans="1:11">
      <c r="A999" s="1">
        <v>2190</v>
      </c>
      <c r="B999" s="1" t="s">
        <v>9526</v>
      </c>
      <c r="C999" s="1" t="s">
        <v>9108</v>
      </c>
      <c r="D999" s="1" t="s">
        <v>2938</v>
      </c>
      <c r="E999" s="1" t="s">
        <v>2949</v>
      </c>
      <c r="F999" s="1" t="s">
        <v>2037</v>
      </c>
      <c r="G999" s="1" t="s">
        <v>2038</v>
      </c>
      <c r="H999" s="1" t="str">
        <f t="shared" si="60"/>
        <v>Device</v>
      </c>
      <c r="I999" s="1" t="str">
        <f t="shared" si="61"/>
        <v>温度高于告警阈值: &gt;{$TEMP_WARN: "Device"}</v>
      </c>
      <c r="J999" s="1" t="str">
        <f t="shared" si="62"/>
        <v>Device: 温度高于告警阈值: &gt;{$TEMP_WARN: "Device"}</v>
      </c>
      <c r="K999" s="1" t="str">
        <f t="shared" si="63"/>
        <v>Temperature is above warning threshold: &gt;{$TEMP_WARN:"Device"}</v>
      </c>
    </row>
    <row r="1000" spans="1:11">
      <c r="A1000" s="1">
        <v>2191</v>
      </c>
      <c r="B1000" s="1" t="s">
        <v>9526</v>
      </c>
      <c r="C1000" s="1" t="s">
        <v>9110</v>
      </c>
      <c r="D1000" s="1" t="s">
        <v>2938</v>
      </c>
      <c r="E1000" s="1" t="s">
        <v>2951</v>
      </c>
      <c r="F1000" s="1" t="s">
        <v>2041</v>
      </c>
      <c r="G1000" s="1" t="s">
        <v>2042</v>
      </c>
      <c r="H1000" s="1" t="str">
        <f t="shared" si="60"/>
        <v>Device</v>
      </c>
      <c r="I1000" s="1" t="str">
        <f t="shared" si="61"/>
        <v>温度太低: &lt;{$TEMP_CRIT_LOW: "Device"}</v>
      </c>
      <c r="J1000" s="1" t="str">
        <f t="shared" si="62"/>
        <v>Device: 温度太低: &lt;{$TEMP_CRIT_LOW: "Device"}</v>
      </c>
      <c r="K1000" s="1" t="str">
        <f t="shared" si="63"/>
        <v>Temperature is too low: &lt;{$TEMP_CRIT_LOW:"Device"}</v>
      </c>
    </row>
    <row r="1001" spans="1:11">
      <c r="A1001" s="1">
        <v>2192</v>
      </c>
      <c r="B1001" s="1" t="s">
        <v>9526</v>
      </c>
      <c r="C1001" s="1" t="s">
        <v>9112</v>
      </c>
      <c r="D1001" s="1" t="s">
        <v>2938</v>
      </c>
      <c r="E1001" s="1" t="s">
        <v>2953</v>
      </c>
      <c r="F1001" s="1" t="s">
        <v>2045</v>
      </c>
      <c r="G1001" s="1" t="s">
        <v>2046</v>
      </c>
      <c r="H1001" s="1" t="str">
        <f t="shared" si="60"/>
        <v/>
      </c>
      <c r="I1001" s="1" t="str">
        <f t="shared" si="61"/>
        <v/>
      </c>
      <c r="J1001" s="1" t="str">
        <f t="shared" si="62"/>
        <v>Disk-{#SNMPINDEX}: 磁盘空间严重不足(已使用率&gt;{$VFS.FS.PUSED.MAX.CRIT: "Disk-{#SNMPINDEX}"}%)</v>
      </c>
      <c r="K1001" s="1" t="str">
        <f t="shared" si="63"/>
        <v/>
      </c>
    </row>
    <row r="1002" spans="1:11">
      <c r="A1002" s="1">
        <v>2193</v>
      </c>
      <c r="B1002" s="1" t="s">
        <v>9526</v>
      </c>
      <c r="C1002" s="1" t="s">
        <v>9114</v>
      </c>
      <c r="D1002" s="1" t="s">
        <v>2938</v>
      </c>
      <c r="E1002" s="1" t="s">
        <v>2955</v>
      </c>
      <c r="F1002" s="1" t="s">
        <v>2049</v>
      </c>
      <c r="G1002" s="1" t="s">
        <v>2050</v>
      </c>
      <c r="H1002" s="1" t="str">
        <f t="shared" si="60"/>
        <v/>
      </c>
      <c r="I1002" s="1" t="str">
        <f t="shared" si="61"/>
        <v/>
      </c>
      <c r="J1002" s="1" t="str">
        <f t="shared" si="62"/>
        <v>Disk-{#SNMPINDEX}: 磁盘空间不足(已使用率&gt;{$VFS.FS.PUSED.MAX.WARN: "Disk-{#SNMPINDEX}"}%)</v>
      </c>
      <c r="K1002" s="1" t="str">
        <f t="shared" si="63"/>
        <v/>
      </c>
    </row>
    <row r="1003" spans="1:11">
      <c r="A1003" s="1">
        <v>2195</v>
      </c>
      <c r="B1003" s="1" t="s">
        <v>9526</v>
      </c>
      <c r="C1003" s="1" t="s">
        <v>9117</v>
      </c>
      <c r="D1003" s="1" t="s">
        <v>2938</v>
      </c>
      <c r="E1003" s="1" t="s">
        <v>2957</v>
      </c>
      <c r="F1003" s="1" t="s">
        <v>161</v>
      </c>
      <c r="G1003" s="1" t="s">
        <v>162</v>
      </c>
      <c r="H1003" s="1" t="str">
        <f t="shared" si="60"/>
        <v/>
      </c>
      <c r="I1003" s="1" t="str">
        <f t="shared" si="61"/>
        <v/>
      </c>
      <c r="J1003" s="1" t="str">
        <f t="shared" si="62"/>
        <v>接口{#IFNAME}({#IFALIAS}): 带宽使用率太高(&gt;{$IF.UTIL.MAX: "{#IFNAME}"}%)</v>
      </c>
      <c r="K1003" s="1" t="str">
        <f t="shared" si="63"/>
        <v/>
      </c>
    </row>
    <row r="1004" spans="1:11">
      <c r="A1004" s="1">
        <v>2196</v>
      </c>
      <c r="B1004" s="1" t="s">
        <v>9526</v>
      </c>
      <c r="C1004" s="1" t="s">
        <v>9119</v>
      </c>
      <c r="D1004" s="1" t="s">
        <v>2938</v>
      </c>
      <c r="E1004" s="1" t="s">
        <v>2959</v>
      </c>
      <c r="F1004" s="1" t="s">
        <v>165</v>
      </c>
      <c r="G1004" s="1" t="s">
        <v>166</v>
      </c>
      <c r="H1004" s="1" t="str">
        <f t="shared" si="60"/>
        <v/>
      </c>
      <c r="I1004" s="1" t="str">
        <f t="shared" si="61"/>
        <v/>
      </c>
      <c r="J1004" s="1" t="str">
        <f t="shared" si="62"/>
        <v>接口{#IFNAME}({#IFALIAS}): 错误率太高(&gt;{$IF.ERRORS.WARN: "{#IFNAME}"}达5分钟)</v>
      </c>
      <c r="K1004" s="1" t="str">
        <f t="shared" si="63"/>
        <v/>
      </c>
    </row>
    <row r="1005" spans="1:11">
      <c r="A1005" s="1">
        <v>2198</v>
      </c>
      <c r="B1005" s="1" t="s">
        <v>9526</v>
      </c>
      <c r="C1005" s="1" t="s">
        <v>9121</v>
      </c>
      <c r="D1005" s="1" t="s">
        <v>2938</v>
      </c>
      <c r="E1005" s="1" t="s">
        <v>2961</v>
      </c>
      <c r="F1005" s="1" t="s">
        <v>2057</v>
      </c>
      <c r="G1005" s="1" t="s">
        <v>2058</v>
      </c>
      <c r="H1005" s="1" t="str">
        <f t="shared" si="60"/>
        <v/>
      </c>
      <c r="I1005" s="1" t="str">
        <f t="shared" si="61"/>
        <v/>
      </c>
      <c r="J1005" s="1" t="str">
        <f t="shared" si="62"/>
        <v>接口{#IFNAME}({#IFALIAS}): LTE调制解调器RSRP低(低于{$LTEMODEM.RSRP.MIN.WARN}dbm5分钟)</v>
      </c>
      <c r="K1005" s="1" t="str">
        <f t="shared" si="63"/>
        <v/>
      </c>
    </row>
    <row r="1006" spans="1:11">
      <c r="A1006" s="1">
        <v>2199</v>
      </c>
      <c r="B1006" s="1" t="s">
        <v>9526</v>
      </c>
      <c r="C1006" s="1" t="s">
        <v>9122</v>
      </c>
      <c r="D1006" s="1" t="s">
        <v>2938</v>
      </c>
      <c r="E1006" s="1" t="s">
        <v>2963</v>
      </c>
      <c r="F1006" s="1" t="s">
        <v>2061</v>
      </c>
      <c r="G1006" s="1" t="s">
        <v>2062</v>
      </c>
      <c r="H1006" s="1" t="str">
        <f t="shared" si="60"/>
        <v/>
      </c>
      <c r="I1006" s="1" t="str">
        <f t="shared" si="61"/>
        <v/>
      </c>
      <c r="J1006" s="1" t="str">
        <f t="shared" si="62"/>
        <v>接口{#IFNAME}({#IFALIAS}): LTE调制解调器RSRQ低(低于{$LTEMODEM.RSRQ.MIN.WARN}db5分钟)</v>
      </c>
      <c r="K1006" s="1" t="str">
        <f t="shared" si="63"/>
        <v/>
      </c>
    </row>
    <row r="1007" spans="1:11">
      <c r="A1007" s="1">
        <v>2200</v>
      </c>
      <c r="B1007" s="1" t="s">
        <v>9526</v>
      </c>
      <c r="C1007" s="1" t="s">
        <v>9123</v>
      </c>
      <c r="D1007" s="1" t="s">
        <v>2938</v>
      </c>
      <c r="E1007" s="1" t="s">
        <v>2965</v>
      </c>
      <c r="F1007" s="1" t="s">
        <v>2065</v>
      </c>
      <c r="G1007" s="1" t="s">
        <v>2058</v>
      </c>
      <c r="H1007" s="1" t="str">
        <f t="shared" si="60"/>
        <v/>
      </c>
      <c r="I1007" s="1" t="str">
        <f t="shared" si="61"/>
        <v/>
      </c>
      <c r="J1007" s="1" t="str">
        <f t="shared" si="62"/>
        <v>接口{#IFNAME}({#IFALIAS}): LTE调制解调器RSRP低(低于{$LTEMODEM.RSRP.MIN.WARN}dbm5分钟)</v>
      </c>
      <c r="K1007" s="1" t="str">
        <f t="shared" si="63"/>
        <v/>
      </c>
    </row>
    <row r="1008" spans="1:11">
      <c r="A1008" s="1">
        <v>2201</v>
      </c>
      <c r="B1008" s="1" t="s">
        <v>9526</v>
      </c>
      <c r="C1008" s="1" t="s">
        <v>9124</v>
      </c>
      <c r="D1008" s="1" t="s">
        <v>2938</v>
      </c>
      <c r="E1008" s="1" t="s">
        <v>2967</v>
      </c>
      <c r="F1008" s="1" t="s">
        <v>2068</v>
      </c>
      <c r="G1008" s="1" t="s">
        <v>2062</v>
      </c>
      <c r="H1008" s="1" t="str">
        <f t="shared" si="60"/>
        <v/>
      </c>
      <c r="I1008" s="1" t="str">
        <f t="shared" si="61"/>
        <v/>
      </c>
      <c r="J1008" s="1" t="str">
        <f t="shared" si="62"/>
        <v>接口{#IFNAME}({#IFALIAS}): LTE调制解调器RSRQ低(低于{$LTEMODEM.RSRQ.MIN.WARN}db5分钟)</v>
      </c>
      <c r="K1008" s="1" t="str">
        <f t="shared" si="63"/>
        <v/>
      </c>
    </row>
    <row r="1009" spans="1:11">
      <c r="A1009" s="1">
        <v>2203</v>
      </c>
      <c r="B1009" s="1" t="s">
        <v>9527</v>
      </c>
      <c r="C1009" s="1" t="s">
        <v>9098</v>
      </c>
      <c r="D1009" s="1" t="s">
        <v>2969</v>
      </c>
      <c r="E1009" s="1" t="s">
        <v>2970</v>
      </c>
      <c r="F1009" s="1" t="s">
        <v>541</v>
      </c>
      <c r="G1009" s="1" t="s">
        <v>542</v>
      </c>
      <c r="H1009" s="1" t="str">
        <f t="shared" si="60"/>
        <v/>
      </c>
      <c r="I1009" s="1" t="str">
        <f t="shared" si="61"/>
        <v/>
      </c>
      <c r="J1009" s="1" t="str">
        <f t="shared" si="62"/>
        <v>#{#SNMPINDEX}: CPU使用率高了(超过{$CPU.UTIL.CRIT}%达5分钟)</v>
      </c>
      <c r="K1009" s="1" t="str">
        <f t="shared" si="63"/>
        <v/>
      </c>
    </row>
    <row r="1010" spans="1:11">
      <c r="A1010" s="1">
        <v>2204</v>
      </c>
      <c r="B1010" s="1" t="s">
        <v>9527</v>
      </c>
      <c r="C1010" s="1" t="s">
        <v>9100</v>
      </c>
      <c r="D1010" s="1" t="s">
        <v>2969</v>
      </c>
      <c r="E1010" s="1" t="s">
        <v>2972</v>
      </c>
      <c r="F1010" s="1" t="s">
        <v>1557</v>
      </c>
      <c r="G1010" s="1" t="s">
        <v>1558</v>
      </c>
      <c r="H1010" s="1" t="str">
        <f t="shared" si="60"/>
        <v>CPU</v>
      </c>
      <c r="I1010" s="1" t="str">
        <f t="shared" si="61"/>
        <v>温度高于临界阈值: &gt;{$TEMP_CRIT: "CPU"}</v>
      </c>
      <c r="J1010" s="1" t="str">
        <f t="shared" si="62"/>
        <v>CPU: 温度高于临界阈值: &gt;{$TEMP_CRIT: "CPU"}</v>
      </c>
      <c r="K1010" s="1" t="str">
        <f t="shared" si="63"/>
        <v>Temperature is above critical threshold: &gt;{$TEMP_CRIT:"CPU"}</v>
      </c>
    </row>
    <row r="1011" spans="1:11">
      <c r="A1011" s="1">
        <v>2205</v>
      </c>
      <c r="B1011" s="1" t="s">
        <v>9527</v>
      </c>
      <c r="C1011" s="1" t="s">
        <v>9102</v>
      </c>
      <c r="D1011" s="1" t="s">
        <v>2969</v>
      </c>
      <c r="E1011" s="1" t="s">
        <v>2974</v>
      </c>
      <c r="F1011" s="1" t="s">
        <v>1553</v>
      </c>
      <c r="G1011" s="1" t="s">
        <v>1554</v>
      </c>
      <c r="H1011" s="1" t="str">
        <f t="shared" si="60"/>
        <v>CPU</v>
      </c>
      <c r="I1011" s="1" t="str">
        <f t="shared" si="61"/>
        <v>温度高于告警阈值: &gt;{$TEMP_WARN: "CPU"}</v>
      </c>
      <c r="J1011" s="1" t="str">
        <f t="shared" si="62"/>
        <v>CPU: 温度高于告警阈值: &gt;{$TEMP_WARN: "CPU"}</v>
      </c>
      <c r="K1011" s="1" t="str">
        <f t="shared" si="63"/>
        <v>Temperature is above warning threshold: &gt;{$TEMP_WARN:"CPU"}</v>
      </c>
    </row>
    <row r="1012" spans="1:11">
      <c r="A1012" s="1">
        <v>2206</v>
      </c>
      <c r="B1012" s="1" t="s">
        <v>9527</v>
      </c>
      <c r="C1012" s="1" t="s">
        <v>9104</v>
      </c>
      <c r="D1012" s="1" t="s">
        <v>2969</v>
      </c>
      <c r="E1012" s="1" t="s">
        <v>2976</v>
      </c>
      <c r="F1012" s="1" t="s">
        <v>1561</v>
      </c>
      <c r="G1012" s="1" t="s">
        <v>1562</v>
      </c>
      <c r="H1012" s="1" t="str">
        <f t="shared" si="60"/>
        <v>CPU</v>
      </c>
      <c r="I1012" s="1" t="str">
        <f t="shared" si="61"/>
        <v>温度太低: &lt;{$TEMP_CRIT_LOW: "CPU"}</v>
      </c>
      <c r="J1012" s="1" t="str">
        <f t="shared" si="62"/>
        <v>CPU: 温度太低: &lt;{$TEMP_CRIT_LOW: "CPU"}</v>
      </c>
      <c r="K1012" s="1" t="str">
        <f t="shared" si="63"/>
        <v>Temperature is too low: &lt;{$TEMP_CRIT_LOW:"CPU"}</v>
      </c>
    </row>
    <row r="1013" spans="1:11">
      <c r="A1013" s="1">
        <v>2207</v>
      </c>
      <c r="B1013" s="1" t="s">
        <v>9527</v>
      </c>
      <c r="C1013" s="1" t="s">
        <v>9106</v>
      </c>
      <c r="D1013" s="1" t="s">
        <v>2969</v>
      </c>
      <c r="E1013" s="1" t="s">
        <v>2978</v>
      </c>
      <c r="F1013" s="1" t="s">
        <v>2033</v>
      </c>
      <c r="G1013" s="1" t="s">
        <v>2034</v>
      </c>
      <c r="H1013" s="1" t="str">
        <f t="shared" si="60"/>
        <v>Device</v>
      </c>
      <c r="I1013" s="1" t="str">
        <f t="shared" si="61"/>
        <v>温度高于临界阈值: &gt;{$TEMP_CRIT: "Device"}</v>
      </c>
      <c r="J1013" s="1" t="str">
        <f t="shared" si="62"/>
        <v>Device: 温度高于临界阈值: &gt;{$TEMP_CRIT: "Device"}</v>
      </c>
      <c r="K1013" s="1" t="str">
        <f t="shared" si="63"/>
        <v>Temperature is above critical threshold: &gt;{$TEMP_CRIT:"Device"}</v>
      </c>
    </row>
    <row r="1014" spans="1:11">
      <c r="A1014" s="1">
        <v>2208</v>
      </c>
      <c r="B1014" s="1" t="s">
        <v>9527</v>
      </c>
      <c r="C1014" s="1" t="s">
        <v>9108</v>
      </c>
      <c r="D1014" s="1" t="s">
        <v>2969</v>
      </c>
      <c r="E1014" s="1" t="s">
        <v>2980</v>
      </c>
      <c r="F1014" s="1" t="s">
        <v>2037</v>
      </c>
      <c r="G1014" s="1" t="s">
        <v>2038</v>
      </c>
      <c r="H1014" s="1" t="str">
        <f t="shared" si="60"/>
        <v>Device</v>
      </c>
      <c r="I1014" s="1" t="str">
        <f t="shared" si="61"/>
        <v>温度高于告警阈值: &gt;{$TEMP_WARN: "Device"}</v>
      </c>
      <c r="J1014" s="1" t="str">
        <f t="shared" si="62"/>
        <v>Device: 温度高于告警阈值: &gt;{$TEMP_WARN: "Device"}</v>
      </c>
      <c r="K1014" s="1" t="str">
        <f t="shared" si="63"/>
        <v>Temperature is above warning threshold: &gt;{$TEMP_WARN:"Device"}</v>
      </c>
    </row>
    <row r="1015" spans="1:11">
      <c r="A1015" s="1">
        <v>2209</v>
      </c>
      <c r="B1015" s="1" t="s">
        <v>9527</v>
      </c>
      <c r="C1015" s="1" t="s">
        <v>9110</v>
      </c>
      <c r="D1015" s="1" t="s">
        <v>2969</v>
      </c>
      <c r="E1015" s="1" t="s">
        <v>2982</v>
      </c>
      <c r="F1015" s="1" t="s">
        <v>2041</v>
      </c>
      <c r="G1015" s="1" t="s">
        <v>2042</v>
      </c>
      <c r="H1015" s="1" t="str">
        <f t="shared" si="60"/>
        <v>Device</v>
      </c>
      <c r="I1015" s="1" t="str">
        <f t="shared" si="61"/>
        <v>温度太低: &lt;{$TEMP_CRIT_LOW: "Device"}</v>
      </c>
      <c r="J1015" s="1" t="str">
        <f t="shared" si="62"/>
        <v>Device: 温度太低: &lt;{$TEMP_CRIT_LOW: "Device"}</v>
      </c>
      <c r="K1015" s="1" t="str">
        <f t="shared" si="63"/>
        <v>Temperature is too low: &lt;{$TEMP_CRIT_LOW:"Device"}</v>
      </c>
    </row>
    <row r="1016" spans="1:11">
      <c r="A1016" s="1">
        <v>2210</v>
      </c>
      <c r="B1016" s="1" t="s">
        <v>9527</v>
      </c>
      <c r="C1016" s="1" t="s">
        <v>9112</v>
      </c>
      <c r="D1016" s="1" t="s">
        <v>2969</v>
      </c>
      <c r="E1016" s="1" t="s">
        <v>2984</v>
      </c>
      <c r="F1016" s="1" t="s">
        <v>2045</v>
      </c>
      <c r="G1016" s="1" t="s">
        <v>2046</v>
      </c>
      <c r="H1016" s="1" t="str">
        <f t="shared" si="60"/>
        <v/>
      </c>
      <c r="I1016" s="1" t="str">
        <f t="shared" si="61"/>
        <v/>
      </c>
      <c r="J1016" s="1" t="str">
        <f t="shared" si="62"/>
        <v>Disk-{#SNMPINDEX}: 磁盘空间严重不足(已使用率&gt;{$VFS.FS.PUSED.MAX.CRIT: "Disk-{#SNMPINDEX}"}%)</v>
      </c>
      <c r="K1016" s="1" t="str">
        <f t="shared" si="63"/>
        <v/>
      </c>
    </row>
    <row r="1017" spans="1:11">
      <c r="A1017" s="1">
        <v>2211</v>
      </c>
      <c r="B1017" s="1" t="s">
        <v>9527</v>
      </c>
      <c r="C1017" s="1" t="s">
        <v>9114</v>
      </c>
      <c r="D1017" s="1" t="s">
        <v>2969</v>
      </c>
      <c r="E1017" s="1" t="s">
        <v>2986</v>
      </c>
      <c r="F1017" s="1" t="s">
        <v>2049</v>
      </c>
      <c r="G1017" s="1" t="s">
        <v>2050</v>
      </c>
      <c r="H1017" s="1" t="str">
        <f t="shared" si="60"/>
        <v/>
      </c>
      <c r="I1017" s="1" t="str">
        <f t="shared" si="61"/>
        <v/>
      </c>
      <c r="J1017" s="1" t="str">
        <f t="shared" si="62"/>
        <v>Disk-{#SNMPINDEX}: 磁盘空间不足(已使用率&gt;{$VFS.FS.PUSED.MAX.WARN: "Disk-{#SNMPINDEX}"}%)</v>
      </c>
      <c r="K1017" s="1" t="str">
        <f t="shared" si="63"/>
        <v/>
      </c>
    </row>
    <row r="1018" spans="1:11">
      <c r="A1018" s="1">
        <v>2213</v>
      </c>
      <c r="B1018" s="1" t="s">
        <v>9527</v>
      </c>
      <c r="C1018" s="1" t="s">
        <v>9117</v>
      </c>
      <c r="D1018" s="1" t="s">
        <v>2969</v>
      </c>
      <c r="E1018" s="1" t="s">
        <v>2988</v>
      </c>
      <c r="F1018" s="1" t="s">
        <v>161</v>
      </c>
      <c r="G1018" s="1" t="s">
        <v>162</v>
      </c>
      <c r="H1018" s="1" t="str">
        <f t="shared" si="60"/>
        <v/>
      </c>
      <c r="I1018" s="1" t="str">
        <f t="shared" si="61"/>
        <v/>
      </c>
      <c r="J1018" s="1" t="str">
        <f t="shared" si="62"/>
        <v>接口{#IFNAME}({#IFALIAS}): 带宽使用率太高(&gt;{$IF.UTIL.MAX: "{#IFNAME}"}%)</v>
      </c>
      <c r="K1018" s="1" t="str">
        <f t="shared" si="63"/>
        <v/>
      </c>
    </row>
    <row r="1019" spans="1:11">
      <c r="A1019" s="1">
        <v>2214</v>
      </c>
      <c r="B1019" s="1" t="s">
        <v>9527</v>
      </c>
      <c r="C1019" s="1" t="s">
        <v>9119</v>
      </c>
      <c r="D1019" s="1" t="s">
        <v>2969</v>
      </c>
      <c r="E1019" s="1" t="s">
        <v>2990</v>
      </c>
      <c r="F1019" s="1" t="s">
        <v>165</v>
      </c>
      <c r="G1019" s="1" t="s">
        <v>166</v>
      </c>
      <c r="H1019" s="1" t="str">
        <f t="shared" si="60"/>
        <v/>
      </c>
      <c r="I1019" s="1" t="str">
        <f t="shared" si="61"/>
        <v/>
      </c>
      <c r="J1019" s="1" t="str">
        <f t="shared" si="62"/>
        <v>接口{#IFNAME}({#IFALIAS}): 错误率太高(&gt;{$IF.ERRORS.WARN: "{#IFNAME}"}达5分钟)</v>
      </c>
      <c r="K1019" s="1" t="str">
        <f t="shared" si="63"/>
        <v/>
      </c>
    </row>
    <row r="1020" spans="1:11">
      <c r="A1020" s="1">
        <v>2216</v>
      </c>
      <c r="B1020" s="1" t="s">
        <v>9527</v>
      </c>
      <c r="C1020" s="1" t="s">
        <v>9121</v>
      </c>
      <c r="D1020" s="1" t="s">
        <v>2969</v>
      </c>
      <c r="E1020" s="1" t="s">
        <v>2992</v>
      </c>
      <c r="F1020" s="1" t="s">
        <v>2057</v>
      </c>
      <c r="G1020" s="1" t="s">
        <v>2058</v>
      </c>
      <c r="H1020" s="1" t="str">
        <f t="shared" si="60"/>
        <v/>
      </c>
      <c r="I1020" s="1" t="str">
        <f t="shared" si="61"/>
        <v/>
      </c>
      <c r="J1020" s="1" t="str">
        <f t="shared" si="62"/>
        <v>接口{#IFNAME}({#IFALIAS}): LTE调制解调器RSRP低(低于{$LTEMODEM.RSRP.MIN.WARN}dbm5分钟)</v>
      </c>
      <c r="K1020" s="1" t="str">
        <f t="shared" si="63"/>
        <v/>
      </c>
    </row>
    <row r="1021" spans="1:11">
      <c r="A1021" s="1">
        <v>2217</v>
      </c>
      <c r="B1021" s="1" t="s">
        <v>9527</v>
      </c>
      <c r="C1021" s="1" t="s">
        <v>9122</v>
      </c>
      <c r="D1021" s="1" t="s">
        <v>2969</v>
      </c>
      <c r="E1021" s="1" t="s">
        <v>2994</v>
      </c>
      <c r="F1021" s="1" t="s">
        <v>2061</v>
      </c>
      <c r="G1021" s="1" t="s">
        <v>2062</v>
      </c>
      <c r="H1021" s="1" t="str">
        <f t="shared" si="60"/>
        <v/>
      </c>
      <c r="I1021" s="1" t="str">
        <f t="shared" si="61"/>
        <v/>
      </c>
      <c r="J1021" s="1" t="str">
        <f t="shared" si="62"/>
        <v>接口{#IFNAME}({#IFALIAS}): LTE调制解调器RSRQ低(低于{$LTEMODEM.RSRQ.MIN.WARN}db5分钟)</v>
      </c>
      <c r="K1021" s="1" t="str">
        <f t="shared" si="63"/>
        <v/>
      </c>
    </row>
    <row r="1022" spans="1:11">
      <c r="A1022" s="1">
        <v>2218</v>
      </c>
      <c r="B1022" s="1" t="s">
        <v>9527</v>
      </c>
      <c r="C1022" s="1" t="s">
        <v>9123</v>
      </c>
      <c r="D1022" s="1" t="s">
        <v>2969</v>
      </c>
      <c r="E1022" s="1" t="s">
        <v>2996</v>
      </c>
      <c r="F1022" s="1" t="s">
        <v>2065</v>
      </c>
      <c r="G1022" s="1" t="s">
        <v>2058</v>
      </c>
      <c r="H1022" s="1" t="str">
        <f t="shared" si="60"/>
        <v/>
      </c>
      <c r="I1022" s="1" t="str">
        <f t="shared" si="61"/>
        <v/>
      </c>
      <c r="J1022" s="1" t="str">
        <f t="shared" si="62"/>
        <v>接口{#IFNAME}({#IFALIAS}): LTE调制解调器RSRP低(低于{$LTEMODEM.RSRP.MIN.WARN}dbm5分钟)</v>
      </c>
      <c r="K1022" s="1" t="str">
        <f t="shared" si="63"/>
        <v/>
      </c>
    </row>
    <row r="1023" spans="1:11">
      <c r="A1023" s="1">
        <v>2219</v>
      </c>
      <c r="B1023" s="1" t="s">
        <v>9527</v>
      </c>
      <c r="C1023" s="1" t="s">
        <v>9124</v>
      </c>
      <c r="D1023" s="1" t="s">
        <v>2969</v>
      </c>
      <c r="E1023" s="1" t="s">
        <v>2998</v>
      </c>
      <c r="F1023" s="1" t="s">
        <v>2068</v>
      </c>
      <c r="G1023" s="1" t="s">
        <v>2062</v>
      </c>
      <c r="H1023" s="1" t="str">
        <f t="shared" si="60"/>
        <v/>
      </c>
      <c r="I1023" s="1" t="str">
        <f t="shared" si="61"/>
        <v/>
      </c>
      <c r="J1023" s="1" t="str">
        <f t="shared" si="62"/>
        <v>接口{#IFNAME}({#IFALIAS}): LTE调制解调器RSRQ低(低于{$LTEMODEM.RSRQ.MIN.WARN}db5分钟)</v>
      </c>
      <c r="K1023" s="1" t="str">
        <f t="shared" si="63"/>
        <v/>
      </c>
    </row>
    <row r="1024" spans="1:11">
      <c r="A1024" s="1">
        <v>2221</v>
      </c>
      <c r="B1024" s="1" t="s">
        <v>9528</v>
      </c>
      <c r="C1024" s="1" t="s">
        <v>9098</v>
      </c>
      <c r="D1024" s="1" t="s">
        <v>3000</v>
      </c>
      <c r="E1024" s="1" t="s">
        <v>3001</v>
      </c>
      <c r="F1024" s="1" t="s">
        <v>541</v>
      </c>
      <c r="G1024" s="1" t="s">
        <v>542</v>
      </c>
      <c r="H1024" s="1" t="str">
        <f t="shared" si="60"/>
        <v/>
      </c>
      <c r="I1024" s="1" t="str">
        <f t="shared" si="61"/>
        <v/>
      </c>
      <c r="J1024" s="1" t="str">
        <f t="shared" si="62"/>
        <v>#{#SNMPINDEX}: CPU使用率高了(超过{$CPU.UTIL.CRIT}%达5分钟)</v>
      </c>
      <c r="K1024" s="1" t="str">
        <f t="shared" si="63"/>
        <v/>
      </c>
    </row>
    <row r="1025" spans="1:11">
      <c r="A1025" s="1">
        <v>2222</v>
      </c>
      <c r="B1025" s="1" t="s">
        <v>9528</v>
      </c>
      <c r="C1025" s="1" t="s">
        <v>9100</v>
      </c>
      <c r="D1025" s="1" t="s">
        <v>3000</v>
      </c>
      <c r="E1025" s="1" t="s">
        <v>3003</v>
      </c>
      <c r="F1025" s="1" t="s">
        <v>1557</v>
      </c>
      <c r="G1025" s="1" t="s">
        <v>1558</v>
      </c>
      <c r="H1025" s="1" t="str">
        <f t="shared" si="60"/>
        <v>CPU</v>
      </c>
      <c r="I1025" s="1" t="str">
        <f t="shared" si="61"/>
        <v>温度高于临界阈值: &gt;{$TEMP_CRIT: "CPU"}</v>
      </c>
      <c r="J1025" s="1" t="str">
        <f t="shared" si="62"/>
        <v>CPU: 温度高于临界阈值: &gt;{$TEMP_CRIT: "CPU"}</v>
      </c>
      <c r="K1025" s="1" t="str">
        <f t="shared" si="63"/>
        <v>Temperature is above critical threshold: &gt;{$TEMP_CRIT:"CPU"}</v>
      </c>
    </row>
    <row r="1026" spans="1:11">
      <c r="A1026" s="1">
        <v>2223</v>
      </c>
      <c r="B1026" s="1" t="s">
        <v>9528</v>
      </c>
      <c r="C1026" s="1" t="s">
        <v>9102</v>
      </c>
      <c r="D1026" s="1" t="s">
        <v>3000</v>
      </c>
      <c r="E1026" s="1" t="s">
        <v>3005</v>
      </c>
      <c r="F1026" s="1" t="s">
        <v>1553</v>
      </c>
      <c r="G1026" s="1" t="s">
        <v>1554</v>
      </c>
      <c r="H1026" s="1" t="str">
        <f t="shared" ref="H1026:H1089" si="64">IFERROR(IF(OR(MID(G1026,FIND(":",G1026)-1,1)="""",MID(G1026,FIND(":",G1026)-1,1)="}",MID(G1026,FIND(":",G1026)-1,1)=")",MID(G1026,FIND(":",G1026)-1,1)="]"),"",LEFT(F1026,FIND(":",F1026)-1)),"")</f>
        <v>CPU</v>
      </c>
      <c r="I1026" s="1" t="str">
        <f t="shared" ref="I1026:I1089" si="65">IFERROR(IF(OR(MID(G1026,FIND(":",G1026)-1,1)="""",MID(G1026,FIND(":",G1026)-1,1)="}",MID(G1026,FIND(":",G1026)-1,1)=")",MID(G1026,FIND(":",G1026)-1,1)="]"),"",RIGHT(G1026,LEN(G1026)-FIND(":",G1026)-1)),"")</f>
        <v>温度高于告警阈值: &gt;{$TEMP_WARN: "CPU"}</v>
      </c>
      <c r="J1026" s="1" t="str">
        <f t="shared" ref="J1026:J1089" si="66">IF(AND(I1026="",H1026=""),G1026,H1026&amp;": "&amp;I1026)</f>
        <v>CPU: 温度高于告警阈值: &gt;{$TEMP_WARN: "CPU"}</v>
      </c>
      <c r="K1026" s="1" t="str">
        <f t="shared" ref="K1026:K1089" si="67">IFERROR(IF(OR(MID(F1026,FIND(":",F1026)-1,1)="""",MID(F1026,FIND(":",F1026)-1,1)="}",MID(F1026,FIND(":",F1026)-1,1)=")",MID(F1026,FIND(":",F1026)-1,1)="]"),"",RIGHT(F1026,LEN(F1026)-FIND(":",F1026)-1)),"")</f>
        <v>Temperature is above warning threshold: &gt;{$TEMP_WARN:"CPU"}</v>
      </c>
    </row>
    <row r="1027" spans="1:11">
      <c r="A1027" s="1">
        <v>2224</v>
      </c>
      <c r="B1027" s="1" t="s">
        <v>9528</v>
      </c>
      <c r="C1027" s="1" t="s">
        <v>9104</v>
      </c>
      <c r="D1027" s="1" t="s">
        <v>3000</v>
      </c>
      <c r="E1027" s="1" t="s">
        <v>3007</v>
      </c>
      <c r="F1027" s="1" t="s">
        <v>1561</v>
      </c>
      <c r="G1027" s="1" t="s">
        <v>1562</v>
      </c>
      <c r="H1027" s="1" t="str">
        <f t="shared" si="64"/>
        <v>CPU</v>
      </c>
      <c r="I1027" s="1" t="str">
        <f t="shared" si="65"/>
        <v>温度太低: &lt;{$TEMP_CRIT_LOW: "CPU"}</v>
      </c>
      <c r="J1027" s="1" t="str">
        <f t="shared" si="66"/>
        <v>CPU: 温度太低: &lt;{$TEMP_CRIT_LOW: "CPU"}</v>
      </c>
      <c r="K1027" s="1" t="str">
        <f t="shared" si="67"/>
        <v>Temperature is too low: &lt;{$TEMP_CRIT_LOW:"CPU"}</v>
      </c>
    </row>
    <row r="1028" spans="1:11">
      <c r="A1028" s="1">
        <v>2225</v>
      </c>
      <c r="B1028" s="1" t="s">
        <v>9528</v>
      </c>
      <c r="C1028" s="1" t="s">
        <v>9106</v>
      </c>
      <c r="D1028" s="1" t="s">
        <v>3000</v>
      </c>
      <c r="E1028" s="1" t="s">
        <v>3009</v>
      </c>
      <c r="F1028" s="1" t="s">
        <v>2033</v>
      </c>
      <c r="G1028" s="1" t="s">
        <v>2034</v>
      </c>
      <c r="H1028" s="1" t="str">
        <f t="shared" si="64"/>
        <v>Device</v>
      </c>
      <c r="I1028" s="1" t="str">
        <f t="shared" si="65"/>
        <v>温度高于临界阈值: &gt;{$TEMP_CRIT: "Device"}</v>
      </c>
      <c r="J1028" s="1" t="str">
        <f t="shared" si="66"/>
        <v>Device: 温度高于临界阈值: &gt;{$TEMP_CRIT: "Device"}</v>
      </c>
      <c r="K1028" s="1" t="str">
        <f t="shared" si="67"/>
        <v>Temperature is above critical threshold: &gt;{$TEMP_CRIT:"Device"}</v>
      </c>
    </row>
    <row r="1029" spans="1:11">
      <c r="A1029" s="1">
        <v>2226</v>
      </c>
      <c r="B1029" s="1" t="s">
        <v>9528</v>
      </c>
      <c r="C1029" s="1" t="s">
        <v>9108</v>
      </c>
      <c r="D1029" s="1" t="s">
        <v>3000</v>
      </c>
      <c r="E1029" s="1" t="s">
        <v>3011</v>
      </c>
      <c r="F1029" s="1" t="s">
        <v>2037</v>
      </c>
      <c r="G1029" s="1" t="s">
        <v>2038</v>
      </c>
      <c r="H1029" s="1" t="str">
        <f t="shared" si="64"/>
        <v>Device</v>
      </c>
      <c r="I1029" s="1" t="str">
        <f t="shared" si="65"/>
        <v>温度高于告警阈值: &gt;{$TEMP_WARN: "Device"}</v>
      </c>
      <c r="J1029" s="1" t="str">
        <f t="shared" si="66"/>
        <v>Device: 温度高于告警阈值: &gt;{$TEMP_WARN: "Device"}</v>
      </c>
      <c r="K1029" s="1" t="str">
        <f t="shared" si="67"/>
        <v>Temperature is above warning threshold: &gt;{$TEMP_WARN:"Device"}</v>
      </c>
    </row>
    <row r="1030" spans="1:11">
      <c r="A1030" s="1">
        <v>2227</v>
      </c>
      <c r="B1030" s="1" t="s">
        <v>9528</v>
      </c>
      <c r="C1030" s="1" t="s">
        <v>9110</v>
      </c>
      <c r="D1030" s="1" t="s">
        <v>3000</v>
      </c>
      <c r="E1030" s="1" t="s">
        <v>3013</v>
      </c>
      <c r="F1030" s="1" t="s">
        <v>2041</v>
      </c>
      <c r="G1030" s="1" t="s">
        <v>2042</v>
      </c>
      <c r="H1030" s="1" t="str">
        <f t="shared" si="64"/>
        <v>Device</v>
      </c>
      <c r="I1030" s="1" t="str">
        <f t="shared" si="65"/>
        <v>温度太低: &lt;{$TEMP_CRIT_LOW: "Device"}</v>
      </c>
      <c r="J1030" s="1" t="str">
        <f t="shared" si="66"/>
        <v>Device: 温度太低: &lt;{$TEMP_CRIT_LOW: "Device"}</v>
      </c>
      <c r="K1030" s="1" t="str">
        <f t="shared" si="67"/>
        <v>Temperature is too low: &lt;{$TEMP_CRIT_LOW:"Device"}</v>
      </c>
    </row>
    <row r="1031" spans="1:11">
      <c r="A1031" s="1">
        <v>2228</v>
      </c>
      <c r="B1031" s="1" t="s">
        <v>9528</v>
      </c>
      <c r="C1031" s="1" t="s">
        <v>9112</v>
      </c>
      <c r="D1031" s="1" t="s">
        <v>3000</v>
      </c>
      <c r="E1031" s="1" t="s">
        <v>3015</v>
      </c>
      <c r="F1031" s="1" t="s">
        <v>2045</v>
      </c>
      <c r="G1031" s="1" t="s">
        <v>2046</v>
      </c>
      <c r="H1031" s="1" t="str">
        <f t="shared" si="64"/>
        <v/>
      </c>
      <c r="I1031" s="1" t="str">
        <f t="shared" si="65"/>
        <v/>
      </c>
      <c r="J1031" s="1" t="str">
        <f t="shared" si="66"/>
        <v>Disk-{#SNMPINDEX}: 磁盘空间严重不足(已使用率&gt;{$VFS.FS.PUSED.MAX.CRIT: "Disk-{#SNMPINDEX}"}%)</v>
      </c>
      <c r="K1031" s="1" t="str">
        <f t="shared" si="67"/>
        <v/>
      </c>
    </row>
    <row r="1032" spans="1:11">
      <c r="A1032" s="1">
        <v>2229</v>
      </c>
      <c r="B1032" s="1" t="s">
        <v>9528</v>
      </c>
      <c r="C1032" s="1" t="s">
        <v>9114</v>
      </c>
      <c r="D1032" s="1" t="s">
        <v>3000</v>
      </c>
      <c r="E1032" s="1" t="s">
        <v>3017</v>
      </c>
      <c r="F1032" s="1" t="s">
        <v>2049</v>
      </c>
      <c r="G1032" s="1" t="s">
        <v>2050</v>
      </c>
      <c r="H1032" s="1" t="str">
        <f t="shared" si="64"/>
        <v/>
      </c>
      <c r="I1032" s="1" t="str">
        <f t="shared" si="65"/>
        <v/>
      </c>
      <c r="J1032" s="1" t="str">
        <f t="shared" si="66"/>
        <v>Disk-{#SNMPINDEX}: 磁盘空间不足(已使用率&gt;{$VFS.FS.PUSED.MAX.WARN: "Disk-{#SNMPINDEX}"}%)</v>
      </c>
      <c r="K1032" s="1" t="str">
        <f t="shared" si="67"/>
        <v/>
      </c>
    </row>
    <row r="1033" spans="1:11">
      <c r="A1033" s="1">
        <v>2231</v>
      </c>
      <c r="B1033" s="1" t="s">
        <v>9528</v>
      </c>
      <c r="C1033" s="1" t="s">
        <v>9117</v>
      </c>
      <c r="D1033" s="1" t="s">
        <v>3000</v>
      </c>
      <c r="E1033" s="1" t="s">
        <v>3019</v>
      </c>
      <c r="F1033" s="1" t="s">
        <v>161</v>
      </c>
      <c r="G1033" s="1" t="s">
        <v>162</v>
      </c>
      <c r="H1033" s="1" t="str">
        <f t="shared" si="64"/>
        <v/>
      </c>
      <c r="I1033" s="1" t="str">
        <f t="shared" si="65"/>
        <v/>
      </c>
      <c r="J1033" s="1" t="str">
        <f t="shared" si="66"/>
        <v>接口{#IFNAME}({#IFALIAS}): 带宽使用率太高(&gt;{$IF.UTIL.MAX: "{#IFNAME}"}%)</v>
      </c>
      <c r="K1033" s="1" t="str">
        <f t="shared" si="67"/>
        <v/>
      </c>
    </row>
    <row r="1034" spans="1:11">
      <c r="A1034" s="1">
        <v>2232</v>
      </c>
      <c r="B1034" s="1" t="s">
        <v>9528</v>
      </c>
      <c r="C1034" s="1" t="s">
        <v>9119</v>
      </c>
      <c r="D1034" s="1" t="s">
        <v>3000</v>
      </c>
      <c r="E1034" s="1" t="s">
        <v>3021</v>
      </c>
      <c r="F1034" s="1" t="s">
        <v>165</v>
      </c>
      <c r="G1034" s="1" t="s">
        <v>166</v>
      </c>
      <c r="H1034" s="1" t="str">
        <f t="shared" si="64"/>
        <v/>
      </c>
      <c r="I1034" s="1" t="str">
        <f t="shared" si="65"/>
        <v/>
      </c>
      <c r="J1034" s="1" t="str">
        <f t="shared" si="66"/>
        <v>接口{#IFNAME}({#IFALIAS}): 错误率太高(&gt;{$IF.ERRORS.WARN: "{#IFNAME}"}达5分钟)</v>
      </c>
      <c r="K1034" s="1" t="str">
        <f t="shared" si="67"/>
        <v/>
      </c>
    </row>
    <row r="1035" spans="1:11">
      <c r="A1035" s="1">
        <v>2234</v>
      </c>
      <c r="B1035" s="1" t="s">
        <v>9528</v>
      </c>
      <c r="C1035" s="1" t="s">
        <v>9121</v>
      </c>
      <c r="D1035" s="1" t="s">
        <v>3000</v>
      </c>
      <c r="E1035" s="1" t="s">
        <v>3023</v>
      </c>
      <c r="F1035" s="1" t="s">
        <v>2057</v>
      </c>
      <c r="G1035" s="1" t="s">
        <v>2058</v>
      </c>
      <c r="H1035" s="1" t="str">
        <f t="shared" si="64"/>
        <v/>
      </c>
      <c r="I1035" s="1" t="str">
        <f t="shared" si="65"/>
        <v/>
      </c>
      <c r="J1035" s="1" t="str">
        <f t="shared" si="66"/>
        <v>接口{#IFNAME}({#IFALIAS}): LTE调制解调器RSRP低(低于{$LTEMODEM.RSRP.MIN.WARN}dbm5分钟)</v>
      </c>
      <c r="K1035" s="1" t="str">
        <f t="shared" si="67"/>
        <v/>
      </c>
    </row>
    <row r="1036" spans="1:11">
      <c r="A1036" s="1">
        <v>2235</v>
      </c>
      <c r="B1036" s="1" t="s">
        <v>9528</v>
      </c>
      <c r="C1036" s="1" t="s">
        <v>9122</v>
      </c>
      <c r="D1036" s="1" t="s">
        <v>3000</v>
      </c>
      <c r="E1036" s="1" t="s">
        <v>3025</v>
      </c>
      <c r="F1036" s="1" t="s">
        <v>2061</v>
      </c>
      <c r="G1036" s="1" t="s">
        <v>2062</v>
      </c>
      <c r="H1036" s="1" t="str">
        <f t="shared" si="64"/>
        <v/>
      </c>
      <c r="I1036" s="1" t="str">
        <f t="shared" si="65"/>
        <v/>
      </c>
      <c r="J1036" s="1" t="str">
        <f t="shared" si="66"/>
        <v>接口{#IFNAME}({#IFALIAS}): LTE调制解调器RSRQ低(低于{$LTEMODEM.RSRQ.MIN.WARN}db5分钟)</v>
      </c>
      <c r="K1036" s="1" t="str">
        <f t="shared" si="67"/>
        <v/>
      </c>
    </row>
    <row r="1037" spans="1:11">
      <c r="A1037" s="1">
        <v>2236</v>
      </c>
      <c r="B1037" s="1" t="s">
        <v>9528</v>
      </c>
      <c r="C1037" s="1" t="s">
        <v>9123</v>
      </c>
      <c r="D1037" s="1" t="s">
        <v>3000</v>
      </c>
      <c r="E1037" s="1" t="s">
        <v>3027</v>
      </c>
      <c r="F1037" s="1" t="s">
        <v>2065</v>
      </c>
      <c r="G1037" s="1" t="s">
        <v>2058</v>
      </c>
      <c r="H1037" s="1" t="str">
        <f t="shared" si="64"/>
        <v/>
      </c>
      <c r="I1037" s="1" t="str">
        <f t="shared" si="65"/>
        <v/>
      </c>
      <c r="J1037" s="1" t="str">
        <f t="shared" si="66"/>
        <v>接口{#IFNAME}({#IFALIAS}): LTE调制解调器RSRP低(低于{$LTEMODEM.RSRP.MIN.WARN}dbm5分钟)</v>
      </c>
      <c r="K1037" s="1" t="str">
        <f t="shared" si="67"/>
        <v/>
      </c>
    </row>
    <row r="1038" spans="1:11">
      <c r="A1038" s="1">
        <v>2237</v>
      </c>
      <c r="B1038" s="1" t="s">
        <v>9528</v>
      </c>
      <c r="C1038" s="1" t="s">
        <v>9124</v>
      </c>
      <c r="D1038" s="1" t="s">
        <v>3000</v>
      </c>
      <c r="E1038" s="1" t="s">
        <v>3029</v>
      </c>
      <c r="F1038" s="1" t="s">
        <v>2068</v>
      </c>
      <c r="G1038" s="1" t="s">
        <v>2062</v>
      </c>
      <c r="H1038" s="1" t="str">
        <f t="shared" si="64"/>
        <v/>
      </c>
      <c r="I1038" s="1" t="str">
        <f t="shared" si="65"/>
        <v/>
      </c>
      <c r="J1038" s="1" t="str">
        <f t="shared" si="66"/>
        <v>接口{#IFNAME}({#IFALIAS}): LTE调制解调器RSRQ低(低于{$LTEMODEM.RSRQ.MIN.WARN}db5分钟)</v>
      </c>
      <c r="K1038" s="1" t="str">
        <f t="shared" si="67"/>
        <v/>
      </c>
    </row>
    <row r="1039" spans="1:11">
      <c r="A1039" s="1">
        <v>2239</v>
      </c>
      <c r="B1039" s="1" t="s">
        <v>9529</v>
      </c>
      <c r="C1039" s="1" t="s">
        <v>9098</v>
      </c>
      <c r="D1039" s="1" t="s">
        <v>3031</v>
      </c>
      <c r="E1039" s="1" t="s">
        <v>3032</v>
      </c>
      <c r="F1039" s="1" t="s">
        <v>541</v>
      </c>
      <c r="G1039" s="1" t="s">
        <v>542</v>
      </c>
      <c r="H1039" s="1" t="str">
        <f t="shared" si="64"/>
        <v/>
      </c>
      <c r="I1039" s="1" t="str">
        <f t="shared" si="65"/>
        <v/>
      </c>
      <c r="J1039" s="1" t="str">
        <f t="shared" si="66"/>
        <v>#{#SNMPINDEX}: CPU使用率高了(超过{$CPU.UTIL.CRIT}%达5分钟)</v>
      </c>
      <c r="K1039" s="1" t="str">
        <f t="shared" si="67"/>
        <v/>
      </c>
    </row>
    <row r="1040" spans="1:11">
      <c r="A1040" s="1">
        <v>2240</v>
      </c>
      <c r="B1040" s="1" t="s">
        <v>9529</v>
      </c>
      <c r="C1040" s="1" t="s">
        <v>9100</v>
      </c>
      <c r="D1040" s="1" t="s">
        <v>3031</v>
      </c>
      <c r="E1040" s="1" t="s">
        <v>3034</v>
      </c>
      <c r="F1040" s="1" t="s">
        <v>1557</v>
      </c>
      <c r="G1040" s="1" t="s">
        <v>1558</v>
      </c>
      <c r="H1040" s="1" t="str">
        <f t="shared" si="64"/>
        <v>CPU</v>
      </c>
      <c r="I1040" s="1" t="str">
        <f t="shared" si="65"/>
        <v>温度高于临界阈值: &gt;{$TEMP_CRIT: "CPU"}</v>
      </c>
      <c r="J1040" s="1" t="str">
        <f t="shared" si="66"/>
        <v>CPU: 温度高于临界阈值: &gt;{$TEMP_CRIT: "CPU"}</v>
      </c>
      <c r="K1040" s="1" t="str">
        <f t="shared" si="67"/>
        <v>Temperature is above critical threshold: &gt;{$TEMP_CRIT:"CPU"}</v>
      </c>
    </row>
    <row r="1041" spans="1:11">
      <c r="A1041" s="1">
        <v>2241</v>
      </c>
      <c r="B1041" s="1" t="s">
        <v>9529</v>
      </c>
      <c r="C1041" s="1" t="s">
        <v>9102</v>
      </c>
      <c r="D1041" s="1" t="s">
        <v>3031</v>
      </c>
      <c r="E1041" s="1" t="s">
        <v>3036</v>
      </c>
      <c r="F1041" s="1" t="s">
        <v>1553</v>
      </c>
      <c r="G1041" s="1" t="s">
        <v>1554</v>
      </c>
      <c r="H1041" s="1" t="str">
        <f t="shared" si="64"/>
        <v>CPU</v>
      </c>
      <c r="I1041" s="1" t="str">
        <f t="shared" si="65"/>
        <v>温度高于告警阈值: &gt;{$TEMP_WARN: "CPU"}</v>
      </c>
      <c r="J1041" s="1" t="str">
        <f t="shared" si="66"/>
        <v>CPU: 温度高于告警阈值: &gt;{$TEMP_WARN: "CPU"}</v>
      </c>
      <c r="K1041" s="1" t="str">
        <f t="shared" si="67"/>
        <v>Temperature is above warning threshold: &gt;{$TEMP_WARN:"CPU"}</v>
      </c>
    </row>
    <row r="1042" spans="1:11">
      <c r="A1042" s="1">
        <v>2242</v>
      </c>
      <c r="B1042" s="1" t="s">
        <v>9529</v>
      </c>
      <c r="C1042" s="1" t="s">
        <v>9104</v>
      </c>
      <c r="D1042" s="1" t="s">
        <v>3031</v>
      </c>
      <c r="E1042" s="1" t="s">
        <v>3038</v>
      </c>
      <c r="F1042" s="1" t="s">
        <v>1561</v>
      </c>
      <c r="G1042" s="1" t="s">
        <v>1562</v>
      </c>
      <c r="H1042" s="1" t="str">
        <f t="shared" si="64"/>
        <v>CPU</v>
      </c>
      <c r="I1042" s="1" t="str">
        <f t="shared" si="65"/>
        <v>温度太低: &lt;{$TEMP_CRIT_LOW: "CPU"}</v>
      </c>
      <c r="J1042" s="1" t="str">
        <f t="shared" si="66"/>
        <v>CPU: 温度太低: &lt;{$TEMP_CRIT_LOW: "CPU"}</v>
      </c>
      <c r="K1042" s="1" t="str">
        <f t="shared" si="67"/>
        <v>Temperature is too low: &lt;{$TEMP_CRIT_LOW:"CPU"}</v>
      </c>
    </row>
    <row r="1043" spans="1:11">
      <c r="A1043" s="1">
        <v>2243</v>
      </c>
      <c r="B1043" s="1" t="s">
        <v>9529</v>
      </c>
      <c r="C1043" s="1" t="s">
        <v>9106</v>
      </c>
      <c r="D1043" s="1" t="s">
        <v>3031</v>
      </c>
      <c r="E1043" s="1" t="s">
        <v>3040</v>
      </c>
      <c r="F1043" s="1" t="s">
        <v>2033</v>
      </c>
      <c r="G1043" s="1" t="s">
        <v>2034</v>
      </c>
      <c r="H1043" s="1" t="str">
        <f t="shared" si="64"/>
        <v>Device</v>
      </c>
      <c r="I1043" s="1" t="str">
        <f t="shared" si="65"/>
        <v>温度高于临界阈值: &gt;{$TEMP_CRIT: "Device"}</v>
      </c>
      <c r="J1043" s="1" t="str">
        <f t="shared" si="66"/>
        <v>Device: 温度高于临界阈值: &gt;{$TEMP_CRIT: "Device"}</v>
      </c>
      <c r="K1043" s="1" t="str">
        <f t="shared" si="67"/>
        <v>Temperature is above critical threshold: &gt;{$TEMP_CRIT:"Device"}</v>
      </c>
    </row>
    <row r="1044" spans="1:11">
      <c r="A1044" s="1">
        <v>2244</v>
      </c>
      <c r="B1044" s="1" t="s">
        <v>9529</v>
      </c>
      <c r="C1044" s="1" t="s">
        <v>9108</v>
      </c>
      <c r="D1044" s="1" t="s">
        <v>3031</v>
      </c>
      <c r="E1044" s="1" t="s">
        <v>3042</v>
      </c>
      <c r="F1044" s="1" t="s">
        <v>2037</v>
      </c>
      <c r="G1044" s="1" t="s">
        <v>2038</v>
      </c>
      <c r="H1044" s="1" t="str">
        <f t="shared" si="64"/>
        <v>Device</v>
      </c>
      <c r="I1044" s="1" t="str">
        <f t="shared" si="65"/>
        <v>温度高于告警阈值: &gt;{$TEMP_WARN: "Device"}</v>
      </c>
      <c r="J1044" s="1" t="str">
        <f t="shared" si="66"/>
        <v>Device: 温度高于告警阈值: &gt;{$TEMP_WARN: "Device"}</v>
      </c>
      <c r="K1044" s="1" t="str">
        <f t="shared" si="67"/>
        <v>Temperature is above warning threshold: &gt;{$TEMP_WARN:"Device"}</v>
      </c>
    </row>
    <row r="1045" spans="1:11">
      <c r="A1045" s="1">
        <v>2245</v>
      </c>
      <c r="B1045" s="1" t="s">
        <v>9529</v>
      </c>
      <c r="C1045" s="1" t="s">
        <v>9110</v>
      </c>
      <c r="D1045" s="1" t="s">
        <v>3031</v>
      </c>
      <c r="E1045" s="1" t="s">
        <v>3044</v>
      </c>
      <c r="F1045" s="1" t="s">
        <v>2041</v>
      </c>
      <c r="G1045" s="1" t="s">
        <v>2042</v>
      </c>
      <c r="H1045" s="1" t="str">
        <f t="shared" si="64"/>
        <v>Device</v>
      </c>
      <c r="I1045" s="1" t="str">
        <f t="shared" si="65"/>
        <v>温度太低: &lt;{$TEMP_CRIT_LOW: "Device"}</v>
      </c>
      <c r="J1045" s="1" t="str">
        <f t="shared" si="66"/>
        <v>Device: 温度太低: &lt;{$TEMP_CRIT_LOW: "Device"}</v>
      </c>
      <c r="K1045" s="1" t="str">
        <f t="shared" si="67"/>
        <v>Temperature is too low: &lt;{$TEMP_CRIT_LOW:"Device"}</v>
      </c>
    </row>
    <row r="1046" spans="1:11">
      <c r="A1046" s="1">
        <v>2246</v>
      </c>
      <c r="B1046" s="1" t="s">
        <v>9529</v>
      </c>
      <c r="C1046" s="1" t="s">
        <v>9112</v>
      </c>
      <c r="D1046" s="1" t="s">
        <v>3031</v>
      </c>
      <c r="E1046" s="1" t="s">
        <v>3046</v>
      </c>
      <c r="F1046" s="1" t="s">
        <v>2045</v>
      </c>
      <c r="G1046" s="1" t="s">
        <v>2046</v>
      </c>
      <c r="H1046" s="1" t="str">
        <f t="shared" si="64"/>
        <v/>
      </c>
      <c r="I1046" s="1" t="str">
        <f t="shared" si="65"/>
        <v/>
      </c>
      <c r="J1046" s="1" t="str">
        <f t="shared" si="66"/>
        <v>Disk-{#SNMPINDEX}: 磁盘空间严重不足(已使用率&gt;{$VFS.FS.PUSED.MAX.CRIT: "Disk-{#SNMPINDEX}"}%)</v>
      </c>
      <c r="K1046" s="1" t="str">
        <f t="shared" si="67"/>
        <v/>
      </c>
    </row>
    <row r="1047" spans="1:11">
      <c r="A1047" s="1">
        <v>2247</v>
      </c>
      <c r="B1047" s="1" t="s">
        <v>9529</v>
      </c>
      <c r="C1047" s="1" t="s">
        <v>9114</v>
      </c>
      <c r="D1047" s="1" t="s">
        <v>3031</v>
      </c>
      <c r="E1047" s="1" t="s">
        <v>3048</v>
      </c>
      <c r="F1047" s="1" t="s">
        <v>2049</v>
      </c>
      <c r="G1047" s="1" t="s">
        <v>2050</v>
      </c>
      <c r="H1047" s="1" t="str">
        <f t="shared" si="64"/>
        <v/>
      </c>
      <c r="I1047" s="1" t="str">
        <f t="shared" si="65"/>
        <v/>
      </c>
      <c r="J1047" s="1" t="str">
        <f t="shared" si="66"/>
        <v>Disk-{#SNMPINDEX}: 磁盘空间不足(已使用率&gt;{$VFS.FS.PUSED.MAX.WARN: "Disk-{#SNMPINDEX}"}%)</v>
      </c>
      <c r="K1047" s="1" t="str">
        <f t="shared" si="67"/>
        <v/>
      </c>
    </row>
    <row r="1048" spans="1:11">
      <c r="A1048" s="1">
        <v>2249</v>
      </c>
      <c r="B1048" s="1" t="s">
        <v>9529</v>
      </c>
      <c r="C1048" s="1" t="s">
        <v>9117</v>
      </c>
      <c r="D1048" s="1" t="s">
        <v>3031</v>
      </c>
      <c r="E1048" s="1" t="s">
        <v>3050</v>
      </c>
      <c r="F1048" s="1" t="s">
        <v>161</v>
      </c>
      <c r="G1048" s="1" t="s">
        <v>162</v>
      </c>
      <c r="H1048" s="1" t="str">
        <f t="shared" si="64"/>
        <v/>
      </c>
      <c r="I1048" s="1" t="str">
        <f t="shared" si="65"/>
        <v/>
      </c>
      <c r="J1048" s="1" t="str">
        <f t="shared" si="66"/>
        <v>接口{#IFNAME}({#IFALIAS}): 带宽使用率太高(&gt;{$IF.UTIL.MAX: "{#IFNAME}"}%)</v>
      </c>
      <c r="K1048" s="1" t="str">
        <f t="shared" si="67"/>
        <v/>
      </c>
    </row>
    <row r="1049" spans="1:11">
      <c r="A1049" s="1">
        <v>2250</v>
      </c>
      <c r="B1049" s="1" t="s">
        <v>9529</v>
      </c>
      <c r="C1049" s="1" t="s">
        <v>9119</v>
      </c>
      <c r="D1049" s="1" t="s">
        <v>3031</v>
      </c>
      <c r="E1049" s="1" t="s">
        <v>3052</v>
      </c>
      <c r="F1049" s="1" t="s">
        <v>165</v>
      </c>
      <c r="G1049" s="1" t="s">
        <v>166</v>
      </c>
      <c r="H1049" s="1" t="str">
        <f t="shared" si="64"/>
        <v/>
      </c>
      <c r="I1049" s="1" t="str">
        <f t="shared" si="65"/>
        <v/>
      </c>
      <c r="J1049" s="1" t="str">
        <f t="shared" si="66"/>
        <v>接口{#IFNAME}({#IFALIAS}): 错误率太高(&gt;{$IF.ERRORS.WARN: "{#IFNAME}"}达5分钟)</v>
      </c>
      <c r="K1049" s="1" t="str">
        <f t="shared" si="67"/>
        <v/>
      </c>
    </row>
    <row r="1050" spans="1:11">
      <c r="A1050" s="1">
        <v>2252</v>
      </c>
      <c r="B1050" s="1" t="s">
        <v>9529</v>
      </c>
      <c r="C1050" s="1" t="s">
        <v>9121</v>
      </c>
      <c r="D1050" s="1" t="s">
        <v>3031</v>
      </c>
      <c r="E1050" s="1" t="s">
        <v>3054</v>
      </c>
      <c r="F1050" s="1" t="s">
        <v>2057</v>
      </c>
      <c r="G1050" s="1" t="s">
        <v>2058</v>
      </c>
      <c r="H1050" s="1" t="str">
        <f t="shared" si="64"/>
        <v/>
      </c>
      <c r="I1050" s="1" t="str">
        <f t="shared" si="65"/>
        <v/>
      </c>
      <c r="J1050" s="1" t="str">
        <f t="shared" si="66"/>
        <v>接口{#IFNAME}({#IFALIAS}): LTE调制解调器RSRP低(低于{$LTEMODEM.RSRP.MIN.WARN}dbm5分钟)</v>
      </c>
      <c r="K1050" s="1" t="str">
        <f t="shared" si="67"/>
        <v/>
      </c>
    </row>
    <row r="1051" spans="1:11">
      <c r="A1051" s="1">
        <v>2253</v>
      </c>
      <c r="B1051" s="1" t="s">
        <v>9529</v>
      </c>
      <c r="C1051" s="1" t="s">
        <v>9122</v>
      </c>
      <c r="D1051" s="1" t="s">
        <v>3031</v>
      </c>
      <c r="E1051" s="1" t="s">
        <v>3056</v>
      </c>
      <c r="F1051" s="1" t="s">
        <v>2061</v>
      </c>
      <c r="G1051" s="1" t="s">
        <v>2062</v>
      </c>
      <c r="H1051" s="1" t="str">
        <f t="shared" si="64"/>
        <v/>
      </c>
      <c r="I1051" s="1" t="str">
        <f t="shared" si="65"/>
        <v/>
      </c>
      <c r="J1051" s="1" t="str">
        <f t="shared" si="66"/>
        <v>接口{#IFNAME}({#IFALIAS}): LTE调制解调器RSRQ低(低于{$LTEMODEM.RSRQ.MIN.WARN}db5分钟)</v>
      </c>
      <c r="K1051" s="1" t="str">
        <f t="shared" si="67"/>
        <v/>
      </c>
    </row>
    <row r="1052" spans="1:11">
      <c r="A1052" s="1">
        <v>2254</v>
      </c>
      <c r="B1052" s="1" t="s">
        <v>9529</v>
      </c>
      <c r="C1052" s="1" t="s">
        <v>9123</v>
      </c>
      <c r="D1052" s="1" t="s">
        <v>3031</v>
      </c>
      <c r="E1052" s="1" t="s">
        <v>3058</v>
      </c>
      <c r="F1052" s="1" t="s">
        <v>2065</v>
      </c>
      <c r="G1052" s="1" t="s">
        <v>2058</v>
      </c>
      <c r="H1052" s="1" t="str">
        <f t="shared" si="64"/>
        <v/>
      </c>
      <c r="I1052" s="1" t="str">
        <f t="shared" si="65"/>
        <v/>
      </c>
      <c r="J1052" s="1" t="str">
        <f t="shared" si="66"/>
        <v>接口{#IFNAME}({#IFALIAS}): LTE调制解调器RSRP低(低于{$LTEMODEM.RSRP.MIN.WARN}dbm5分钟)</v>
      </c>
      <c r="K1052" s="1" t="str">
        <f t="shared" si="67"/>
        <v/>
      </c>
    </row>
    <row r="1053" spans="1:11">
      <c r="A1053" s="1">
        <v>2255</v>
      </c>
      <c r="B1053" s="1" t="s">
        <v>9529</v>
      </c>
      <c r="C1053" s="1" t="s">
        <v>9124</v>
      </c>
      <c r="D1053" s="1" t="s">
        <v>3031</v>
      </c>
      <c r="E1053" s="1" t="s">
        <v>3060</v>
      </c>
      <c r="F1053" s="1" t="s">
        <v>2068</v>
      </c>
      <c r="G1053" s="1" t="s">
        <v>2062</v>
      </c>
      <c r="H1053" s="1" t="str">
        <f t="shared" si="64"/>
        <v/>
      </c>
      <c r="I1053" s="1" t="str">
        <f t="shared" si="65"/>
        <v/>
      </c>
      <c r="J1053" s="1" t="str">
        <f t="shared" si="66"/>
        <v>接口{#IFNAME}({#IFALIAS}): LTE调制解调器RSRQ低(低于{$LTEMODEM.RSRQ.MIN.WARN}db5分钟)</v>
      </c>
      <c r="K1053" s="1" t="str">
        <f t="shared" si="67"/>
        <v/>
      </c>
    </row>
    <row r="1054" spans="1:11">
      <c r="A1054" s="1">
        <v>2257</v>
      </c>
      <c r="B1054" s="1" t="s">
        <v>9530</v>
      </c>
      <c r="C1054" s="1" t="s">
        <v>9098</v>
      </c>
      <c r="D1054" s="1" t="s">
        <v>3062</v>
      </c>
      <c r="E1054" s="1" t="s">
        <v>3063</v>
      </c>
      <c r="F1054" s="1" t="s">
        <v>541</v>
      </c>
      <c r="G1054" s="1" t="s">
        <v>542</v>
      </c>
      <c r="H1054" s="1" t="str">
        <f t="shared" si="64"/>
        <v/>
      </c>
      <c r="I1054" s="1" t="str">
        <f t="shared" si="65"/>
        <v/>
      </c>
      <c r="J1054" s="1" t="str">
        <f t="shared" si="66"/>
        <v>#{#SNMPINDEX}: CPU使用率高了(超过{$CPU.UTIL.CRIT}%达5分钟)</v>
      </c>
      <c r="K1054" s="1" t="str">
        <f t="shared" si="67"/>
        <v/>
      </c>
    </row>
    <row r="1055" spans="1:11">
      <c r="A1055" s="1">
        <v>2258</v>
      </c>
      <c r="B1055" s="1" t="s">
        <v>9530</v>
      </c>
      <c r="C1055" s="1" t="s">
        <v>9100</v>
      </c>
      <c r="D1055" s="1" t="s">
        <v>3062</v>
      </c>
      <c r="E1055" s="1" t="s">
        <v>3065</v>
      </c>
      <c r="F1055" s="1" t="s">
        <v>1557</v>
      </c>
      <c r="G1055" s="1" t="s">
        <v>1558</v>
      </c>
      <c r="H1055" s="1" t="str">
        <f t="shared" si="64"/>
        <v>CPU</v>
      </c>
      <c r="I1055" s="1" t="str">
        <f t="shared" si="65"/>
        <v>温度高于临界阈值: &gt;{$TEMP_CRIT: "CPU"}</v>
      </c>
      <c r="J1055" s="1" t="str">
        <f t="shared" si="66"/>
        <v>CPU: 温度高于临界阈值: &gt;{$TEMP_CRIT: "CPU"}</v>
      </c>
      <c r="K1055" s="1" t="str">
        <f t="shared" si="67"/>
        <v>Temperature is above critical threshold: &gt;{$TEMP_CRIT:"CPU"}</v>
      </c>
    </row>
    <row r="1056" spans="1:11">
      <c r="A1056" s="1">
        <v>2259</v>
      </c>
      <c r="B1056" s="1" t="s">
        <v>9530</v>
      </c>
      <c r="C1056" s="1" t="s">
        <v>9102</v>
      </c>
      <c r="D1056" s="1" t="s">
        <v>3062</v>
      </c>
      <c r="E1056" s="1" t="s">
        <v>3067</v>
      </c>
      <c r="F1056" s="1" t="s">
        <v>1553</v>
      </c>
      <c r="G1056" s="1" t="s">
        <v>1554</v>
      </c>
      <c r="H1056" s="1" t="str">
        <f t="shared" si="64"/>
        <v>CPU</v>
      </c>
      <c r="I1056" s="1" t="str">
        <f t="shared" si="65"/>
        <v>温度高于告警阈值: &gt;{$TEMP_WARN: "CPU"}</v>
      </c>
      <c r="J1056" s="1" t="str">
        <f t="shared" si="66"/>
        <v>CPU: 温度高于告警阈值: &gt;{$TEMP_WARN: "CPU"}</v>
      </c>
      <c r="K1056" s="1" t="str">
        <f t="shared" si="67"/>
        <v>Temperature is above warning threshold: &gt;{$TEMP_WARN:"CPU"}</v>
      </c>
    </row>
    <row r="1057" spans="1:11">
      <c r="A1057" s="1">
        <v>2260</v>
      </c>
      <c r="B1057" s="1" t="s">
        <v>9530</v>
      </c>
      <c r="C1057" s="1" t="s">
        <v>9104</v>
      </c>
      <c r="D1057" s="1" t="s">
        <v>3062</v>
      </c>
      <c r="E1057" s="1" t="s">
        <v>3069</v>
      </c>
      <c r="F1057" s="1" t="s">
        <v>1561</v>
      </c>
      <c r="G1057" s="1" t="s">
        <v>1562</v>
      </c>
      <c r="H1057" s="1" t="str">
        <f t="shared" si="64"/>
        <v>CPU</v>
      </c>
      <c r="I1057" s="1" t="str">
        <f t="shared" si="65"/>
        <v>温度太低: &lt;{$TEMP_CRIT_LOW: "CPU"}</v>
      </c>
      <c r="J1057" s="1" t="str">
        <f t="shared" si="66"/>
        <v>CPU: 温度太低: &lt;{$TEMP_CRIT_LOW: "CPU"}</v>
      </c>
      <c r="K1057" s="1" t="str">
        <f t="shared" si="67"/>
        <v>Temperature is too low: &lt;{$TEMP_CRIT_LOW:"CPU"}</v>
      </c>
    </row>
    <row r="1058" spans="1:11">
      <c r="A1058" s="1">
        <v>2261</v>
      </c>
      <c r="B1058" s="1" t="s">
        <v>9530</v>
      </c>
      <c r="C1058" s="1" t="s">
        <v>9106</v>
      </c>
      <c r="D1058" s="1" t="s">
        <v>3062</v>
      </c>
      <c r="E1058" s="1" t="s">
        <v>3071</v>
      </c>
      <c r="F1058" s="1" t="s">
        <v>2033</v>
      </c>
      <c r="G1058" s="1" t="s">
        <v>2034</v>
      </c>
      <c r="H1058" s="1" t="str">
        <f t="shared" si="64"/>
        <v>Device</v>
      </c>
      <c r="I1058" s="1" t="str">
        <f t="shared" si="65"/>
        <v>温度高于临界阈值: &gt;{$TEMP_CRIT: "Device"}</v>
      </c>
      <c r="J1058" s="1" t="str">
        <f t="shared" si="66"/>
        <v>Device: 温度高于临界阈值: &gt;{$TEMP_CRIT: "Device"}</v>
      </c>
      <c r="K1058" s="1" t="str">
        <f t="shared" si="67"/>
        <v>Temperature is above critical threshold: &gt;{$TEMP_CRIT:"Device"}</v>
      </c>
    </row>
    <row r="1059" spans="1:11">
      <c r="A1059" s="1">
        <v>2262</v>
      </c>
      <c r="B1059" s="1" t="s">
        <v>9530</v>
      </c>
      <c r="C1059" s="1" t="s">
        <v>9108</v>
      </c>
      <c r="D1059" s="1" t="s">
        <v>3062</v>
      </c>
      <c r="E1059" s="1" t="s">
        <v>3073</v>
      </c>
      <c r="F1059" s="1" t="s">
        <v>2037</v>
      </c>
      <c r="G1059" s="1" t="s">
        <v>2038</v>
      </c>
      <c r="H1059" s="1" t="str">
        <f t="shared" si="64"/>
        <v>Device</v>
      </c>
      <c r="I1059" s="1" t="str">
        <f t="shared" si="65"/>
        <v>温度高于告警阈值: &gt;{$TEMP_WARN: "Device"}</v>
      </c>
      <c r="J1059" s="1" t="str">
        <f t="shared" si="66"/>
        <v>Device: 温度高于告警阈值: &gt;{$TEMP_WARN: "Device"}</v>
      </c>
      <c r="K1059" s="1" t="str">
        <f t="shared" si="67"/>
        <v>Temperature is above warning threshold: &gt;{$TEMP_WARN:"Device"}</v>
      </c>
    </row>
    <row r="1060" spans="1:11">
      <c r="A1060" s="1">
        <v>2263</v>
      </c>
      <c r="B1060" s="1" t="s">
        <v>9530</v>
      </c>
      <c r="C1060" s="1" t="s">
        <v>9110</v>
      </c>
      <c r="D1060" s="1" t="s">
        <v>3062</v>
      </c>
      <c r="E1060" s="1" t="s">
        <v>3075</v>
      </c>
      <c r="F1060" s="1" t="s">
        <v>2041</v>
      </c>
      <c r="G1060" s="1" t="s">
        <v>2042</v>
      </c>
      <c r="H1060" s="1" t="str">
        <f t="shared" si="64"/>
        <v>Device</v>
      </c>
      <c r="I1060" s="1" t="str">
        <f t="shared" si="65"/>
        <v>温度太低: &lt;{$TEMP_CRIT_LOW: "Device"}</v>
      </c>
      <c r="J1060" s="1" t="str">
        <f t="shared" si="66"/>
        <v>Device: 温度太低: &lt;{$TEMP_CRIT_LOW: "Device"}</v>
      </c>
      <c r="K1060" s="1" t="str">
        <f t="shared" si="67"/>
        <v>Temperature is too low: &lt;{$TEMP_CRIT_LOW:"Device"}</v>
      </c>
    </row>
    <row r="1061" spans="1:11">
      <c r="A1061" s="1">
        <v>2264</v>
      </c>
      <c r="B1061" s="1" t="s">
        <v>9530</v>
      </c>
      <c r="C1061" s="1" t="s">
        <v>9112</v>
      </c>
      <c r="D1061" s="1" t="s">
        <v>3062</v>
      </c>
      <c r="E1061" s="1" t="s">
        <v>3077</v>
      </c>
      <c r="F1061" s="1" t="s">
        <v>2045</v>
      </c>
      <c r="G1061" s="1" t="s">
        <v>2046</v>
      </c>
      <c r="H1061" s="1" t="str">
        <f t="shared" si="64"/>
        <v/>
      </c>
      <c r="I1061" s="1" t="str">
        <f t="shared" si="65"/>
        <v/>
      </c>
      <c r="J1061" s="1" t="str">
        <f t="shared" si="66"/>
        <v>Disk-{#SNMPINDEX}: 磁盘空间严重不足(已使用率&gt;{$VFS.FS.PUSED.MAX.CRIT: "Disk-{#SNMPINDEX}"}%)</v>
      </c>
      <c r="K1061" s="1" t="str">
        <f t="shared" si="67"/>
        <v/>
      </c>
    </row>
    <row r="1062" spans="1:11">
      <c r="A1062" s="1">
        <v>2265</v>
      </c>
      <c r="B1062" s="1" t="s">
        <v>9530</v>
      </c>
      <c r="C1062" s="1" t="s">
        <v>9114</v>
      </c>
      <c r="D1062" s="1" t="s">
        <v>3062</v>
      </c>
      <c r="E1062" s="1" t="s">
        <v>3079</v>
      </c>
      <c r="F1062" s="1" t="s">
        <v>2049</v>
      </c>
      <c r="G1062" s="1" t="s">
        <v>2050</v>
      </c>
      <c r="H1062" s="1" t="str">
        <f t="shared" si="64"/>
        <v/>
      </c>
      <c r="I1062" s="1" t="str">
        <f t="shared" si="65"/>
        <v/>
      </c>
      <c r="J1062" s="1" t="str">
        <f t="shared" si="66"/>
        <v>Disk-{#SNMPINDEX}: 磁盘空间不足(已使用率&gt;{$VFS.FS.PUSED.MAX.WARN: "Disk-{#SNMPINDEX}"}%)</v>
      </c>
      <c r="K1062" s="1" t="str">
        <f t="shared" si="67"/>
        <v/>
      </c>
    </row>
    <row r="1063" spans="1:11">
      <c r="A1063" s="1">
        <v>2267</v>
      </c>
      <c r="B1063" s="1" t="s">
        <v>9530</v>
      </c>
      <c r="C1063" s="1" t="s">
        <v>9117</v>
      </c>
      <c r="D1063" s="1" t="s">
        <v>3062</v>
      </c>
      <c r="E1063" s="1" t="s">
        <v>3081</v>
      </c>
      <c r="F1063" s="1" t="s">
        <v>161</v>
      </c>
      <c r="G1063" s="1" t="s">
        <v>162</v>
      </c>
      <c r="H1063" s="1" t="str">
        <f t="shared" si="64"/>
        <v/>
      </c>
      <c r="I1063" s="1" t="str">
        <f t="shared" si="65"/>
        <v/>
      </c>
      <c r="J1063" s="1" t="str">
        <f t="shared" si="66"/>
        <v>接口{#IFNAME}({#IFALIAS}): 带宽使用率太高(&gt;{$IF.UTIL.MAX: "{#IFNAME}"}%)</v>
      </c>
      <c r="K1063" s="1" t="str">
        <f t="shared" si="67"/>
        <v/>
      </c>
    </row>
    <row r="1064" spans="1:11">
      <c r="A1064" s="1">
        <v>2268</v>
      </c>
      <c r="B1064" s="1" t="s">
        <v>9530</v>
      </c>
      <c r="C1064" s="1" t="s">
        <v>9119</v>
      </c>
      <c r="D1064" s="1" t="s">
        <v>3062</v>
      </c>
      <c r="E1064" s="1" t="s">
        <v>3083</v>
      </c>
      <c r="F1064" s="1" t="s">
        <v>165</v>
      </c>
      <c r="G1064" s="1" t="s">
        <v>166</v>
      </c>
      <c r="H1064" s="1" t="str">
        <f t="shared" si="64"/>
        <v/>
      </c>
      <c r="I1064" s="1" t="str">
        <f t="shared" si="65"/>
        <v/>
      </c>
      <c r="J1064" s="1" t="str">
        <f t="shared" si="66"/>
        <v>接口{#IFNAME}({#IFALIAS}): 错误率太高(&gt;{$IF.ERRORS.WARN: "{#IFNAME}"}达5分钟)</v>
      </c>
      <c r="K1064" s="1" t="str">
        <f t="shared" si="67"/>
        <v/>
      </c>
    </row>
    <row r="1065" spans="1:11">
      <c r="A1065" s="1">
        <v>2270</v>
      </c>
      <c r="B1065" s="1" t="s">
        <v>9530</v>
      </c>
      <c r="C1065" s="1" t="s">
        <v>9121</v>
      </c>
      <c r="D1065" s="1" t="s">
        <v>3062</v>
      </c>
      <c r="E1065" s="1" t="s">
        <v>3085</v>
      </c>
      <c r="F1065" s="1" t="s">
        <v>2057</v>
      </c>
      <c r="G1065" s="1" t="s">
        <v>2058</v>
      </c>
      <c r="H1065" s="1" t="str">
        <f t="shared" si="64"/>
        <v/>
      </c>
      <c r="I1065" s="1" t="str">
        <f t="shared" si="65"/>
        <v/>
      </c>
      <c r="J1065" s="1" t="str">
        <f t="shared" si="66"/>
        <v>接口{#IFNAME}({#IFALIAS}): LTE调制解调器RSRP低(低于{$LTEMODEM.RSRP.MIN.WARN}dbm5分钟)</v>
      </c>
      <c r="K1065" s="1" t="str">
        <f t="shared" si="67"/>
        <v/>
      </c>
    </row>
    <row r="1066" spans="1:11">
      <c r="A1066" s="1">
        <v>2271</v>
      </c>
      <c r="B1066" s="1" t="s">
        <v>9530</v>
      </c>
      <c r="C1066" s="1" t="s">
        <v>9122</v>
      </c>
      <c r="D1066" s="1" t="s">
        <v>3062</v>
      </c>
      <c r="E1066" s="1" t="s">
        <v>3087</v>
      </c>
      <c r="F1066" s="1" t="s">
        <v>2061</v>
      </c>
      <c r="G1066" s="1" t="s">
        <v>2062</v>
      </c>
      <c r="H1066" s="1" t="str">
        <f t="shared" si="64"/>
        <v/>
      </c>
      <c r="I1066" s="1" t="str">
        <f t="shared" si="65"/>
        <v/>
      </c>
      <c r="J1066" s="1" t="str">
        <f t="shared" si="66"/>
        <v>接口{#IFNAME}({#IFALIAS}): LTE调制解调器RSRQ低(低于{$LTEMODEM.RSRQ.MIN.WARN}db5分钟)</v>
      </c>
      <c r="K1066" s="1" t="str">
        <f t="shared" si="67"/>
        <v/>
      </c>
    </row>
    <row r="1067" spans="1:11">
      <c r="A1067" s="1">
        <v>2272</v>
      </c>
      <c r="B1067" s="1" t="s">
        <v>9530</v>
      </c>
      <c r="C1067" s="1" t="s">
        <v>9123</v>
      </c>
      <c r="D1067" s="1" t="s">
        <v>3062</v>
      </c>
      <c r="E1067" s="1" t="s">
        <v>3089</v>
      </c>
      <c r="F1067" s="1" t="s">
        <v>2065</v>
      </c>
      <c r="G1067" s="1" t="s">
        <v>2058</v>
      </c>
      <c r="H1067" s="1" t="str">
        <f t="shared" si="64"/>
        <v/>
      </c>
      <c r="I1067" s="1" t="str">
        <f t="shared" si="65"/>
        <v/>
      </c>
      <c r="J1067" s="1" t="str">
        <f t="shared" si="66"/>
        <v>接口{#IFNAME}({#IFALIAS}): LTE调制解调器RSRP低(低于{$LTEMODEM.RSRP.MIN.WARN}dbm5分钟)</v>
      </c>
      <c r="K1067" s="1" t="str">
        <f t="shared" si="67"/>
        <v/>
      </c>
    </row>
    <row r="1068" spans="1:11">
      <c r="A1068" s="1">
        <v>2273</v>
      </c>
      <c r="B1068" s="1" t="s">
        <v>9530</v>
      </c>
      <c r="C1068" s="1" t="s">
        <v>9124</v>
      </c>
      <c r="D1068" s="1" t="s">
        <v>3062</v>
      </c>
      <c r="E1068" s="1" t="s">
        <v>3091</v>
      </c>
      <c r="F1068" s="1" t="s">
        <v>2068</v>
      </c>
      <c r="G1068" s="1" t="s">
        <v>2062</v>
      </c>
      <c r="H1068" s="1" t="str">
        <f t="shared" si="64"/>
        <v/>
      </c>
      <c r="I1068" s="1" t="str">
        <f t="shared" si="65"/>
        <v/>
      </c>
      <c r="J1068" s="1" t="str">
        <f t="shared" si="66"/>
        <v>接口{#IFNAME}({#IFALIAS}): LTE调制解调器RSRQ低(低于{$LTEMODEM.RSRQ.MIN.WARN}db5分钟)</v>
      </c>
      <c r="K1068" s="1" t="str">
        <f t="shared" si="67"/>
        <v/>
      </c>
    </row>
    <row r="1069" spans="1:11">
      <c r="A1069" s="1">
        <v>2275</v>
      </c>
      <c r="B1069" s="1" t="s">
        <v>9531</v>
      </c>
      <c r="C1069" s="1" t="s">
        <v>9098</v>
      </c>
      <c r="D1069" s="1" t="s">
        <v>3093</v>
      </c>
      <c r="E1069" s="1" t="s">
        <v>3094</v>
      </c>
      <c r="F1069" s="1" t="s">
        <v>541</v>
      </c>
      <c r="G1069" s="1" t="s">
        <v>542</v>
      </c>
      <c r="H1069" s="1" t="str">
        <f t="shared" si="64"/>
        <v/>
      </c>
      <c r="I1069" s="1" t="str">
        <f t="shared" si="65"/>
        <v/>
      </c>
      <c r="J1069" s="1" t="str">
        <f t="shared" si="66"/>
        <v>#{#SNMPINDEX}: CPU使用率高了(超过{$CPU.UTIL.CRIT}%达5分钟)</v>
      </c>
      <c r="K1069" s="1" t="str">
        <f t="shared" si="67"/>
        <v/>
      </c>
    </row>
    <row r="1070" spans="1:11">
      <c r="A1070" s="1">
        <v>2276</v>
      </c>
      <c r="B1070" s="1" t="s">
        <v>9531</v>
      </c>
      <c r="C1070" s="1" t="s">
        <v>9100</v>
      </c>
      <c r="D1070" s="1" t="s">
        <v>3093</v>
      </c>
      <c r="E1070" s="1" t="s">
        <v>3096</v>
      </c>
      <c r="F1070" s="1" t="s">
        <v>1557</v>
      </c>
      <c r="G1070" s="1" t="s">
        <v>1558</v>
      </c>
      <c r="H1070" s="1" t="str">
        <f t="shared" si="64"/>
        <v>CPU</v>
      </c>
      <c r="I1070" s="1" t="str">
        <f t="shared" si="65"/>
        <v>温度高于临界阈值: &gt;{$TEMP_CRIT: "CPU"}</v>
      </c>
      <c r="J1070" s="1" t="str">
        <f t="shared" si="66"/>
        <v>CPU: 温度高于临界阈值: &gt;{$TEMP_CRIT: "CPU"}</v>
      </c>
      <c r="K1070" s="1" t="str">
        <f t="shared" si="67"/>
        <v>Temperature is above critical threshold: &gt;{$TEMP_CRIT:"CPU"}</v>
      </c>
    </row>
    <row r="1071" spans="1:11">
      <c r="A1071" s="1">
        <v>2277</v>
      </c>
      <c r="B1071" s="1" t="s">
        <v>9531</v>
      </c>
      <c r="C1071" s="1" t="s">
        <v>9102</v>
      </c>
      <c r="D1071" s="1" t="s">
        <v>3093</v>
      </c>
      <c r="E1071" s="1" t="s">
        <v>3098</v>
      </c>
      <c r="F1071" s="1" t="s">
        <v>1553</v>
      </c>
      <c r="G1071" s="1" t="s">
        <v>1554</v>
      </c>
      <c r="H1071" s="1" t="str">
        <f t="shared" si="64"/>
        <v>CPU</v>
      </c>
      <c r="I1071" s="1" t="str">
        <f t="shared" si="65"/>
        <v>温度高于告警阈值: &gt;{$TEMP_WARN: "CPU"}</v>
      </c>
      <c r="J1071" s="1" t="str">
        <f t="shared" si="66"/>
        <v>CPU: 温度高于告警阈值: &gt;{$TEMP_WARN: "CPU"}</v>
      </c>
      <c r="K1071" s="1" t="str">
        <f t="shared" si="67"/>
        <v>Temperature is above warning threshold: &gt;{$TEMP_WARN:"CPU"}</v>
      </c>
    </row>
    <row r="1072" spans="1:11">
      <c r="A1072" s="1">
        <v>2278</v>
      </c>
      <c r="B1072" s="1" t="s">
        <v>9531</v>
      </c>
      <c r="C1072" s="1" t="s">
        <v>9104</v>
      </c>
      <c r="D1072" s="1" t="s">
        <v>3093</v>
      </c>
      <c r="E1072" s="1" t="s">
        <v>3100</v>
      </c>
      <c r="F1072" s="1" t="s">
        <v>1561</v>
      </c>
      <c r="G1072" s="1" t="s">
        <v>1562</v>
      </c>
      <c r="H1072" s="1" t="str">
        <f t="shared" si="64"/>
        <v>CPU</v>
      </c>
      <c r="I1072" s="1" t="str">
        <f t="shared" si="65"/>
        <v>温度太低: &lt;{$TEMP_CRIT_LOW: "CPU"}</v>
      </c>
      <c r="J1072" s="1" t="str">
        <f t="shared" si="66"/>
        <v>CPU: 温度太低: &lt;{$TEMP_CRIT_LOW: "CPU"}</v>
      </c>
      <c r="K1072" s="1" t="str">
        <f t="shared" si="67"/>
        <v>Temperature is too low: &lt;{$TEMP_CRIT_LOW:"CPU"}</v>
      </c>
    </row>
    <row r="1073" spans="1:11">
      <c r="A1073" s="1">
        <v>2279</v>
      </c>
      <c r="B1073" s="1" t="s">
        <v>9531</v>
      </c>
      <c r="C1073" s="1" t="s">
        <v>9106</v>
      </c>
      <c r="D1073" s="1" t="s">
        <v>3093</v>
      </c>
      <c r="E1073" s="1" t="s">
        <v>3102</v>
      </c>
      <c r="F1073" s="1" t="s">
        <v>2033</v>
      </c>
      <c r="G1073" s="1" t="s">
        <v>2034</v>
      </c>
      <c r="H1073" s="1" t="str">
        <f t="shared" si="64"/>
        <v>Device</v>
      </c>
      <c r="I1073" s="1" t="str">
        <f t="shared" si="65"/>
        <v>温度高于临界阈值: &gt;{$TEMP_CRIT: "Device"}</v>
      </c>
      <c r="J1073" s="1" t="str">
        <f t="shared" si="66"/>
        <v>Device: 温度高于临界阈值: &gt;{$TEMP_CRIT: "Device"}</v>
      </c>
      <c r="K1073" s="1" t="str">
        <f t="shared" si="67"/>
        <v>Temperature is above critical threshold: &gt;{$TEMP_CRIT:"Device"}</v>
      </c>
    </row>
    <row r="1074" spans="1:11">
      <c r="A1074" s="1">
        <v>2280</v>
      </c>
      <c r="B1074" s="1" t="s">
        <v>9531</v>
      </c>
      <c r="C1074" s="1" t="s">
        <v>9108</v>
      </c>
      <c r="D1074" s="1" t="s">
        <v>3093</v>
      </c>
      <c r="E1074" s="1" t="s">
        <v>3104</v>
      </c>
      <c r="F1074" s="1" t="s">
        <v>2037</v>
      </c>
      <c r="G1074" s="1" t="s">
        <v>2038</v>
      </c>
      <c r="H1074" s="1" t="str">
        <f t="shared" si="64"/>
        <v>Device</v>
      </c>
      <c r="I1074" s="1" t="str">
        <f t="shared" si="65"/>
        <v>温度高于告警阈值: &gt;{$TEMP_WARN: "Device"}</v>
      </c>
      <c r="J1074" s="1" t="str">
        <f t="shared" si="66"/>
        <v>Device: 温度高于告警阈值: &gt;{$TEMP_WARN: "Device"}</v>
      </c>
      <c r="K1074" s="1" t="str">
        <f t="shared" si="67"/>
        <v>Temperature is above warning threshold: &gt;{$TEMP_WARN:"Device"}</v>
      </c>
    </row>
    <row r="1075" spans="1:11">
      <c r="A1075" s="1">
        <v>2281</v>
      </c>
      <c r="B1075" s="1" t="s">
        <v>9531</v>
      </c>
      <c r="C1075" s="1" t="s">
        <v>9110</v>
      </c>
      <c r="D1075" s="1" t="s">
        <v>3093</v>
      </c>
      <c r="E1075" s="1" t="s">
        <v>3106</v>
      </c>
      <c r="F1075" s="1" t="s">
        <v>2041</v>
      </c>
      <c r="G1075" s="1" t="s">
        <v>2042</v>
      </c>
      <c r="H1075" s="1" t="str">
        <f t="shared" si="64"/>
        <v>Device</v>
      </c>
      <c r="I1075" s="1" t="str">
        <f t="shared" si="65"/>
        <v>温度太低: &lt;{$TEMP_CRIT_LOW: "Device"}</v>
      </c>
      <c r="J1075" s="1" t="str">
        <f t="shared" si="66"/>
        <v>Device: 温度太低: &lt;{$TEMP_CRIT_LOW: "Device"}</v>
      </c>
      <c r="K1075" s="1" t="str">
        <f t="shared" si="67"/>
        <v>Temperature is too low: &lt;{$TEMP_CRIT_LOW:"Device"}</v>
      </c>
    </row>
    <row r="1076" spans="1:11">
      <c r="A1076" s="1">
        <v>2282</v>
      </c>
      <c r="B1076" s="1" t="s">
        <v>9531</v>
      </c>
      <c r="C1076" s="1" t="s">
        <v>9112</v>
      </c>
      <c r="D1076" s="1" t="s">
        <v>3093</v>
      </c>
      <c r="E1076" s="1" t="s">
        <v>3108</v>
      </c>
      <c r="F1076" s="1" t="s">
        <v>2045</v>
      </c>
      <c r="G1076" s="1" t="s">
        <v>2046</v>
      </c>
      <c r="H1076" s="1" t="str">
        <f t="shared" si="64"/>
        <v/>
      </c>
      <c r="I1076" s="1" t="str">
        <f t="shared" si="65"/>
        <v/>
      </c>
      <c r="J1076" s="1" t="str">
        <f t="shared" si="66"/>
        <v>Disk-{#SNMPINDEX}: 磁盘空间严重不足(已使用率&gt;{$VFS.FS.PUSED.MAX.CRIT: "Disk-{#SNMPINDEX}"}%)</v>
      </c>
      <c r="K1076" s="1" t="str">
        <f t="shared" si="67"/>
        <v/>
      </c>
    </row>
    <row r="1077" spans="1:11">
      <c r="A1077" s="1">
        <v>2283</v>
      </c>
      <c r="B1077" s="1" t="s">
        <v>9531</v>
      </c>
      <c r="C1077" s="1" t="s">
        <v>9114</v>
      </c>
      <c r="D1077" s="1" t="s">
        <v>3093</v>
      </c>
      <c r="E1077" s="1" t="s">
        <v>3110</v>
      </c>
      <c r="F1077" s="1" t="s">
        <v>2049</v>
      </c>
      <c r="G1077" s="1" t="s">
        <v>2050</v>
      </c>
      <c r="H1077" s="1" t="str">
        <f t="shared" si="64"/>
        <v/>
      </c>
      <c r="I1077" s="1" t="str">
        <f t="shared" si="65"/>
        <v/>
      </c>
      <c r="J1077" s="1" t="str">
        <f t="shared" si="66"/>
        <v>Disk-{#SNMPINDEX}: 磁盘空间不足(已使用率&gt;{$VFS.FS.PUSED.MAX.WARN: "Disk-{#SNMPINDEX}"}%)</v>
      </c>
      <c r="K1077" s="1" t="str">
        <f t="shared" si="67"/>
        <v/>
      </c>
    </row>
    <row r="1078" spans="1:11">
      <c r="A1078" s="1">
        <v>2285</v>
      </c>
      <c r="B1078" s="1" t="s">
        <v>9531</v>
      </c>
      <c r="C1078" s="1" t="s">
        <v>9117</v>
      </c>
      <c r="D1078" s="1" t="s">
        <v>3093</v>
      </c>
      <c r="E1078" s="1" t="s">
        <v>3112</v>
      </c>
      <c r="F1078" s="1" t="s">
        <v>161</v>
      </c>
      <c r="G1078" s="1" t="s">
        <v>162</v>
      </c>
      <c r="H1078" s="1" t="str">
        <f t="shared" si="64"/>
        <v/>
      </c>
      <c r="I1078" s="1" t="str">
        <f t="shared" si="65"/>
        <v/>
      </c>
      <c r="J1078" s="1" t="str">
        <f t="shared" si="66"/>
        <v>接口{#IFNAME}({#IFALIAS}): 带宽使用率太高(&gt;{$IF.UTIL.MAX: "{#IFNAME}"}%)</v>
      </c>
      <c r="K1078" s="1" t="str">
        <f t="shared" si="67"/>
        <v/>
      </c>
    </row>
    <row r="1079" spans="1:11">
      <c r="A1079" s="1">
        <v>2286</v>
      </c>
      <c r="B1079" s="1" t="s">
        <v>9531</v>
      </c>
      <c r="C1079" s="1" t="s">
        <v>9119</v>
      </c>
      <c r="D1079" s="1" t="s">
        <v>3093</v>
      </c>
      <c r="E1079" s="1" t="s">
        <v>3114</v>
      </c>
      <c r="F1079" s="1" t="s">
        <v>165</v>
      </c>
      <c r="G1079" s="1" t="s">
        <v>166</v>
      </c>
      <c r="H1079" s="1" t="str">
        <f t="shared" si="64"/>
        <v/>
      </c>
      <c r="I1079" s="1" t="str">
        <f t="shared" si="65"/>
        <v/>
      </c>
      <c r="J1079" s="1" t="str">
        <f t="shared" si="66"/>
        <v>接口{#IFNAME}({#IFALIAS}): 错误率太高(&gt;{$IF.ERRORS.WARN: "{#IFNAME}"}达5分钟)</v>
      </c>
      <c r="K1079" s="1" t="str">
        <f t="shared" si="67"/>
        <v/>
      </c>
    </row>
    <row r="1080" spans="1:11">
      <c r="A1080" s="1">
        <v>2288</v>
      </c>
      <c r="B1080" s="1" t="s">
        <v>9531</v>
      </c>
      <c r="C1080" s="1" t="s">
        <v>9121</v>
      </c>
      <c r="D1080" s="1" t="s">
        <v>3093</v>
      </c>
      <c r="E1080" s="1" t="s">
        <v>3116</v>
      </c>
      <c r="F1080" s="1" t="s">
        <v>2057</v>
      </c>
      <c r="G1080" s="1" t="s">
        <v>2058</v>
      </c>
      <c r="H1080" s="1" t="str">
        <f t="shared" si="64"/>
        <v/>
      </c>
      <c r="I1080" s="1" t="str">
        <f t="shared" si="65"/>
        <v/>
      </c>
      <c r="J1080" s="1" t="str">
        <f t="shared" si="66"/>
        <v>接口{#IFNAME}({#IFALIAS}): LTE调制解调器RSRP低(低于{$LTEMODEM.RSRP.MIN.WARN}dbm5分钟)</v>
      </c>
      <c r="K1080" s="1" t="str">
        <f t="shared" si="67"/>
        <v/>
      </c>
    </row>
    <row r="1081" spans="1:11">
      <c r="A1081" s="1">
        <v>2289</v>
      </c>
      <c r="B1081" s="1" t="s">
        <v>9531</v>
      </c>
      <c r="C1081" s="1" t="s">
        <v>9122</v>
      </c>
      <c r="D1081" s="1" t="s">
        <v>3093</v>
      </c>
      <c r="E1081" s="1" t="s">
        <v>3118</v>
      </c>
      <c r="F1081" s="1" t="s">
        <v>2061</v>
      </c>
      <c r="G1081" s="1" t="s">
        <v>2062</v>
      </c>
      <c r="H1081" s="1" t="str">
        <f t="shared" si="64"/>
        <v/>
      </c>
      <c r="I1081" s="1" t="str">
        <f t="shared" si="65"/>
        <v/>
      </c>
      <c r="J1081" s="1" t="str">
        <f t="shared" si="66"/>
        <v>接口{#IFNAME}({#IFALIAS}): LTE调制解调器RSRQ低(低于{$LTEMODEM.RSRQ.MIN.WARN}db5分钟)</v>
      </c>
      <c r="K1081" s="1" t="str">
        <f t="shared" si="67"/>
        <v/>
      </c>
    </row>
    <row r="1082" spans="1:11">
      <c r="A1082" s="1">
        <v>2290</v>
      </c>
      <c r="B1082" s="1" t="s">
        <v>9531</v>
      </c>
      <c r="C1082" s="1" t="s">
        <v>9123</v>
      </c>
      <c r="D1082" s="1" t="s">
        <v>3093</v>
      </c>
      <c r="E1082" s="1" t="s">
        <v>3120</v>
      </c>
      <c r="F1082" s="1" t="s">
        <v>2065</v>
      </c>
      <c r="G1082" s="1" t="s">
        <v>2058</v>
      </c>
      <c r="H1082" s="1" t="str">
        <f t="shared" si="64"/>
        <v/>
      </c>
      <c r="I1082" s="1" t="str">
        <f t="shared" si="65"/>
        <v/>
      </c>
      <c r="J1082" s="1" t="str">
        <f t="shared" si="66"/>
        <v>接口{#IFNAME}({#IFALIAS}): LTE调制解调器RSRP低(低于{$LTEMODEM.RSRP.MIN.WARN}dbm5分钟)</v>
      </c>
      <c r="K1082" s="1" t="str">
        <f t="shared" si="67"/>
        <v/>
      </c>
    </row>
    <row r="1083" spans="1:11">
      <c r="A1083" s="1">
        <v>2291</v>
      </c>
      <c r="B1083" s="1" t="s">
        <v>9531</v>
      </c>
      <c r="C1083" s="1" t="s">
        <v>9124</v>
      </c>
      <c r="D1083" s="1" t="s">
        <v>3093</v>
      </c>
      <c r="E1083" s="1" t="s">
        <v>3122</v>
      </c>
      <c r="F1083" s="1" t="s">
        <v>2068</v>
      </c>
      <c r="G1083" s="1" t="s">
        <v>2062</v>
      </c>
      <c r="H1083" s="1" t="str">
        <f t="shared" si="64"/>
        <v/>
      </c>
      <c r="I1083" s="1" t="str">
        <f t="shared" si="65"/>
        <v/>
      </c>
      <c r="J1083" s="1" t="str">
        <f t="shared" si="66"/>
        <v>接口{#IFNAME}({#IFALIAS}): LTE调制解调器RSRQ低(低于{$LTEMODEM.RSRQ.MIN.WARN}db5分钟)</v>
      </c>
      <c r="K1083" s="1" t="str">
        <f t="shared" si="67"/>
        <v/>
      </c>
    </row>
    <row r="1084" spans="1:11">
      <c r="A1084" s="1">
        <v>2293</v>
      </c>
      <c r="B1084" s="1" t="s">
        <v>9532</v>
      </c>
      <c r="C1084" s="1" t="s">
        <v>9098</v>
      </c>
      <c r="D1084" s="1" t="s">
        <v>3124</v>
      </c>
      <c r="E1084" s="1" t="s">
        <v>3125</v>
      </c>
      <c r="F1084" s="1" t="s">
        <v>541</v>
      </c>
      <c r="G1084" s="1" t="s">
        <v>542</v>
      </c>
      <c r="H1084" s="1" t="str">
        <f t="shared" si="64"/>
        <v/>
      </c>
      <c r="I1084" s="1" t="str">
        <f t="shared" si="65"/>
        <v/>
      </c>
      <c r="J1084" s="1" t="str">
        <f t="shared" si="66"/>
        <v>#{#SNMPINDEX}: CPU使用率高了(超过{$CPU.UTIL.CRIT}%达5分钟)</v>
      </c>
      <c r="K1084" s="1" t="str">
        <f t="shared" si="67"/>
        <v/>
      </c>
    </row>
    <row r="1085" spans="1:11">
      <c r="A1085" s="1">
        <v>2294</v>
      </c>
      <c r="B1085" s="1" t="s">
        <v>9532</v>
      </c>
      <c r="C1085" s="1" t="s">
        <v>9100</v>
      </c>
      <c r="D1085" s="1" t="s">
        <v>3124</v>
      </c>
      <c r="E1085" s="1" t="s">
        <v>3127</v>
      </c>
      <c r="F1085" s="1" t="s">
        <v>1557</v>
      </c>
      <c r="G1085" s="1" t="s">
        <v>1558</v>
      </c>
      <c r="H1085" s="1" t="str">
        <f t="shared" si="64"/>
        <v>CPU</v>
      </c>
      <c r="I1085" s="1" t="str">
        <f t="shared" si="65"/>
        <v>温度高于临界阈值: &gt;{$TEMP_CRIT: "CPU"}</v>
      </c>
      <c r="J1085" s="1" t="str">
        <f t="shared" si="66"/>
        <v>CPU: 温度高于临界阈值: &gt;{$TEMP_CRIT: "CPU"}</v>
      </c>
      <c r="K1085" s="1" t="str">
        <f t="shared" si="67"/>
        <v>Temperature is above critical threshold: &gt;{$TEMP_CRIT:"CPU"}</v>
      </c>
    </row>
    <row r="1086" spans="1:11">
      <c r="A1086" s="1">
        <v>2295</v>
      </c>
      <c r="B1086" s="1" t="s">
        <v>9532</v>
      </c>
      <c r="C1086" s="1" t="s">
        <v>9102</v>
      </c>
      <c r="D1086" s="1" t="s">
        <v>3124</v>
      </c>
      <c r="E1086" s="1" t="s">
        <v>3129</v>
      </c>
      <c r="F1086" s="1" t="s">
        <v>1553</v>
      </c>
      <c r="G1086" s="1" t="s">
        <v>1554</v>
      </c>
      <c r="H1086" s="1" t="str">
        <f t="shared" si="64"/>
        <v>CPU</v>
      </c>
      <c r="I1086" s="1" t="str">
        <f t="shared" si="65"/>
        <v>温度高于告警阈值: &gt;{$TEMP_WARN: "CPU"}</v>
      </c>
      <c r="J1086" s="1" t="str">
        <f t="shared" si="66"/>
        <v>CPU: 温度高于告警阈值: &gt;{$TEMP_WARN: "CPU"}</v>
      </c>
      <c r="K1086" s="1" t="str">
        <f t="shared" si="67"/>
        <v>Temperature is above warning threshold: &gt;{$TEMP_WARN:"CPU"}</v>
      </c>
    </row>
    <row r="1087" spans="1:11">
      <c r="A1087" s="1">
        <v>2296</v>
      </c>
      <c r="B1087" s="1" t="s">
        <v>9532</v>
      </c>
      <c r="C1087" s="1" t="s">
        <v>9104</v>
      </c>
      <c r="D1087" s="1" t="s">
        <v>3124</v>
      </c>
      <c r="E1087" s="1" t="s">
        <v>3131</v>
      </c>
      <c r="F1087" s="1" t="s">
        <v>1561</v>
      </c>
      <c r="G1087" s="1" t="s">
        <v>1562</v>
      </c>
      <c r="H1087" s="1" t="str">
        <f t="shared" si="64"/>
        <v>CPU</v>
      </c>
      <c r="I1087" s="1" t="str">
        <f t="shared" si="65"/>
        <v>温度太低: &lt;{$TEMP_CRIT_LOW: "CPU"}</v>
      </c>
      <c r="J1087" s="1" t="str">
        <f t="shared" si="66"/>
        <v>CPU: 温度太低: &lt;{$TEMP_CRIT_LOW: "CPU"}</v>
      </c>
      <c r="K1087" s="1" t="str">
        <f t="shared" si="67"/>
        <v>Temperature is too low: &lt;{$TEMP_CRIT_LOW:"CPU"}</v>
      </c>
    </row>
    <row r="1088" spans="1:11">
      <c r="A1088" s="1">
        <v>2297</v>
      </c>
      <c r="B1088" s="1" t="s">
        <v>9532</v>
      </c>
      <c r="C1088" s="1" t="s">
        <v>9106</v>
      </c>
      <c r="D1088" s="1" t="s">
        <v>3124</v>
      </c>
      <c r="E1088" s="1" t="s">
        <v>3133</v>
      </c>
      <c r="F1088" s="1" t="s">
        <v>2033</v>
      </c>
      <c r="G1088" s="1" t="s">
        <v>2034</v>
      </c>
      <c r="H1088" s="1" t="str">
        <f t="shared" si="64"/>
        <v>Device</v>
      </c>
      <c r="I1088" s="1" t="str">
        <f t="shared" si="65"/>
        <v>温度高于临界阈值: &gt;{$TEMP_CRIT: "Device"}</v>
      </c>
      <c r="J1088" s="1" t="str">
        <f t="shared" si="66"/>
        <v>Device: 温度高于临界阈值: &gt;{$TEMP_CRIT: "Device"}</v>
      </c>
      <c r="K1088" s="1" t="str">
        <f t="shared" si="67"/>
        <v>Temperature is above critical threshold: &gt;{$TEMP_CRIT:"Device"}</v>
      </c>
    </row>
    <row r="1089" spans="1:11">
      <c r="A1089" s="1">
        <v>2298</v>
      </c>
      <c r="B1089" s="1" t="s">
        <v>9532</v>
      </c>
      <c r="C1089" s="1" t="s">
        <v>9108</v>
      </c>
      <c r="D1089" s="1" t="s">
        <v>3124</v>
      </c>
      <c r="E1089" s="1" t="s">
        <v>3135</v>
      </c>
      <c r="F1089" s="1" t="s">
        <v>2037</v>
      </c>
      <c r="G1089" s="1" t="s">
        <v>2038</v>
      </c>
      <c r="H1089" s="1" t="str">
        <f t="shared" si="64"/>
        <v>Device</v>
      </c>
      <c r="I1089" s="1" t="str">
        <f t="shared" si="65"/>
        <v>温度高于告警阈值: &gt;{$TEMP_WARN: "Device"}</v>
      </c>
      <c r="J1089" s="1" t="str">
        <f t="shared" si="66"/>
        <v>Device: 温度高于告警阈值: &gt;{$TEMP_WARN: "Device"}</v>
      </c>
      <c r="K1089" s="1" t="str">
        <f t="shared" si="67"/>
        <v>Temperature is above warning threshold: &gt;{$TEMP_WARN:"Device"}</v>
      </c>
    </row>
    <row r="1090" spans="1:11">
      <c r="A1090" s="1">
        <v>2299</v>
      </c>
      <c r="B1090" s="1" t="s">
        <v>9532</v>
      </c>
      <c r="C1090" s="1" t="s">
        <v>9110</v>
      </c>
      <c r="D1090" s="1" t="s">
        <v>3124</v>
      </c>
      <c r="E1090" s="1" t="s">
        <v>3137</v>
      </c>
      <c r="F1090" s="1" t="s">
        <v>2041</v>
      </c>
      <c r="G1090" s="1" t="s">
        <v>2042</v>
      </c>
      <c r="H1090" s="1" t="str">
        <f t="shared" ref="H1090:H1153" si="68">IFERROR(IF(OR(MID(G1090,FIND(":",G1090)-1,1)="""",MID(G1090,FIND(":",G1090)-1,1)="}",MID(G1090,FIND(":",G1090)-1,1)=")",MID(G1090,FIND(":",G1090)-1,1)="]"),"",LEFT(F1090,FIND(":",F1090)-1)),"")</f>
        <v>Device</v>
      </c>
      <c r="I1090" s="1" t="str">
        <f t="shared" ref="I1090:I1153" si="69">IFERROR(IF(OR(MID(G1090,FIND(":",G1090)-1,1)="""",MID(G1090,FIND(":",G1090)-1,1)="}",MID(G1090,FIND(":",G1090)-1,1)=")",MID(G1090,FIND(":",G1090)-1,1)="]"),"",RIGHT(G1090,LEN(G1090)-FIND(":",G1090)-1)),"")</f>
        <v>温度太低: &lt;{$TEMP_CRIT_LOW: "Device"}</v>
      </c>
      <c r="J1090" s="1" t="str">
        <f t="shared" ref="J1090:J1153" si="70">IF(AND(I1090="",H1090=""),G1090,H1090&amp;": "&amp;I1090)</f>
        <v>Device: 温度太低: &lt;{$TEMP_CRIT_LOW: "Device"}</v>
      </c>
      <c r="K1090" s="1" t="str">
        <f t="shared" ref="K1090:K1153" si="71">IFERROR(IF(OR(MID(F1090,FIND(":",F1090)-1,1)="""",MID(F1090,FIND(":",F1090)-1,1)="}",MID(F1090,FIND(":",F1090)-1,1)=")",MID(F1090,FIND(":",F1090)-1,1)="]"),"",RIGHT(F1090,LEN(F1090)-FIND(":",F1090)-1)),"")</f>
        <v>Temperature is too low: &lt;{$TEMP_CRIT_LOW:"Device"}</v>
      </c>
    </row>
    <row r="1091" spans="1:11">
      <c r="A1091" s="1">
        <v>2300</v>
      </c>
      <c r="B1091" s="1" t="s">
        <v>9532</v>
      </c>
      <c r="C1091" s="1" t="s">
        <v>9112</v>
      </c>
      <c r="D1091" s="1" t="s">
        <v>3124</v>
      </c>
      <c r="E1091" s="1" t="s">
        <v>3139</v>
      </c>
      <c r="F1091" s="1" t="s">
        <v>2045</v>
      </c>
      <c r="G1091" s="1" t="s">
        <v>2046</v>
      </c>
      <c r="H1091" s="1" t="str">
        <f t="shared" si="68"/>
        <v/>
      </c>
      <c r="I1091" s="1" t="str">
        <f t="shared" si="69"/>
        <v/>
      </c>
      <c r="J1091" s="1" t="str">
        <f t="shared" si="70"/>
        <v>Disk-{#SNMPINDEX}: 磁盘空间严重不足(已使用率&gt;{$VFS.FS.PUSED.MAX.CRIT: "Disk-{#SNMPINDEX}"}%)</v>
      </c>
      <c r="K1091" s="1" t="str">
        <f t="shared" si="71"/>
        <v/>
      </c>
    </row>
    <row r="1092" spans="1:11">
      <c r="A1092" s="1">
        <v>2301</v>
      </c>
      <c r="B1092" s="1" t="s">
        <v>9532</v>
      </c>
      <c r="C1092" s="1" t="s">
        <v>9114</v>
      </c>
      <c r="D1092" s="1" t="s">
        <v>3124</v>
      </c>
      <c r="E1092" s="1" t="s">
        <v>3141</v>
      </c>
      <c r="F1092" s="1" t="s">
        <v>2049</v>
      </c>
      <c r="G1092" s="1" t="s">
        <v>2050</v>
      </c>
      <c r="H1092" s="1" t="str">
        <f t="shared" si="68"/>
        <v/>
      </c>
      <c r="I1092" s="1" t="str">
        <f t="shared" si="69"/>
        <v/>
      </c>
      <c r="J1092" s="1" t="str">
        <f t="shared" si="70"/>
        <v>Disk-{#SNMPINDEX}: 磁盘空间不足(已使用率&gt;{$VFS.FS.PUSED.MAX.WARN: "Disk-{#SNMPINDEX}"}%)</v>
      </c>
      <c r="K1092" s="1" t="str">
        <f t="shared" si="71"/>
        <v/>
      </c>
    </row>
    <row r="1093" spans="1:11">
      <c r="A1093" s="1">
        <v>2303</v>
      </c>
      <c r="B1093" s="1" t="s">
        <v>9532</v>
      </c>
      <c r="C1093" s="1" t="s">
        <v>9117</v>
      </c>
      <c r="D1093" s="1" t="s">
        <v>3124</v>
      </c>
      <c r="E1093" s="1" t="s">
        <v>3143</v>
      </c>
      <c r="F1093" s="1" t="s">
        <v>161</v>
      </c>
      <c r="G1093" s="1" t="s">
        <v>162</v>
      </c>
      <c r="H1093" s="1" t="str">
        <f t="shared" si="68"/>
        <v/>
      </c>
      <c r="I1093" s="1" t="str">
        <f t="shared" si="69"/>
        <v/>
      </c>
      <c r="J1093" s="1" t="str">
        <f t="shared" si="70"/>
        <v>接口{#IFNAME}({#IFALIAS}): 带宽使用率太高(&gt;{$IF.UTIL.MAX: "{#IFNAME}"}%)</v>
      </c>
      <c r="K1093" s="1" t="str">
        <f t="shared" si="71"/>
        <v/>
      </c>
    </row>
    <row r="1094" spans="1:11">
      <c r="A1094" s="1">
        <v>2304</v>
      </c>
      <c r="B1094" s="1" t="s">
        <v>9532</v>
      </c>
      <c r="C1094" s="1" t="s">
        <v>9119</v>
      </c>
      <c r="D1094" s="1" t="s">
        <v>3124</v>
      </c>
      <c r="E1094" s="1" t="s">
        <v>3145</v>
      </c>
      <c r="F1094" s="1" t="s">
        <v>165</v>
      </c>
      <c r="G1094" s="1" t="s">
        <v>166</v>
      </c>
      <c r="H1094" s="1" t="str">
        <f t="shared" si="68"/>
        <v/>
      </c>
      <c r="I1094" s="1" t="str">
        <f t="shared" si="69"/>
        <v/>
      </c>
      <c r="J1094" s="1" t="str">
        <f t="shared" si="70"/>
        <v>接口{#IFNAME}({#IFALIAS}): 错误率太高(&gt;{$IF.ERRORS.WARN: "{#IFNAME}"}达5分钟)</v>
      </c>
      <c r="K1094" s="1" t="str">
        <f t="shared" si="71"/>
        <v/>
      </c>
    </row>
    <row r="1095" spans="1:11">
      <c r="A1095" s="1">
        <v>2306</v>
      </c>
      <c r="B1095" s="1" t="s">
        <v>9532</v>
      </c>
      <c r="C1095" s="1" t="s">
        <v>9121</v>
      </c>
      <c r="D1095" s="1" t="s">
        <v>3124</v>
      </c>
      <c r="E1095" s="1" t="s">
        <v>3147</v>
      </c>
      <c r="F1095" s="1" t="s">
        <v>2057</v>
      </c>
      <c r="G1095" s="1" t="s">
        <v>2058</v>
      </c>
      <c r="H1095" s="1" t="str">
        <f t="shared" si="68"/>
        <v/>
      </c>
      <c r="I1095" s="1" t="str">
        <f t="shared" si="69"/>
        <v/>
      </c>
      <c r="J1095" s="1" t="str">
        <f t="shared" si="70"/>
        <v>接口{#IFNAME}({#IFALIAS}): LTE调制解调器RSRP低(低于{$LTEMODEM.RSRP.MIN.WARN}dbm5分钟)</v>
      </c>
      <c r="K1095" s="1" t="str">
        <f t="shared" si="71"/>
        <v/>
      </c>
    </row>
    <row r="1096" spans="1:11">
      <c r="A1096" s="1">
        <v>2307</v>
      </c>
      <c r="B1096" s="1" t="s">
        <v>9532</v>
      </c>
      <c r="C1096" s="1" t="s">
        <v>9122</v>
      </c>
      <c r="D1096" s="1" t="s">
        <v>3124</v>
      </c>
      <c r="E1096" s="1" t="s">
        <v>3149</v>
      </c>
      <c r="F1096" s="1" t="s">
        <v>2061</v>
      </c>
      <c r="G1096" s="1" t="s">
        <v>2062</v>
      </c>
      <c r="H1096" s="1" t="str">
        <f t="shared" si="68"/>
        <v/>
      </c>
      <c r="I1096" s="1" t="str">
        <f t="shared" si="69"/>
        <v/>
      </c>
      <c r="J1096" s="1" t="str">
        <f t="shared" si="70"/>
        <v>接口{#IFNAME}({#IFALIAS}): LTE调制解调器RSRQ低(低于{$LTEMODEM.RSRQ.MIN.WARN}db5分钟)</v>
      </c>
      <c r="K1096" s="1" t="str">
        <f t="shared" si="71"/>
        <v/>
      </c>
    </row>
    <row r="1097" spans="1:11">
      <c r="A1097" s="1">
        <v>2308</v>
      </c>
      <c r="B1097" s="1" t="s">
        <v>9532</v>
      </c>
      <c r="C1097" s="1" t="s">
        <v>9123</v>
      </c>
      <c r="D1097" s="1" t="s">
        <v>3124</v>
      </c>
      <c r="E1097" s="1" t="s">
        <v>3151</v>
      </c>
      <c r="F1097" s="1" t="s">
        <v>2065</v>
      </c>
      <c r="G1097" s="1" t="s">
        <v>2058</v>
      </c>
      <c r="H1097" s="1" t="str">
        <f t="shared" si="68"/>
        <v/>
      </c>
      <c r="I1097" s="1" t="str">
        <f t="shared" si="69"/>
        <v/>
      </c>
      <c r="J1097" s="1" t="str">
        <f t="shared" si="70"/>
        <v>接口{#IFNAME}({#IFALIAS}): LTE调制解调器RSRP低(低于{$LTEMODEM.RSRP.MIN.WARN}dbm5分钟)</v>
      </c>
      <c r="K1097" s="1" t="str">
        <f t="shared" si="71"/>
        <v/>
      </c>
    </row>
    <row r="1098" spans="1:11">
      <c r="A1098" s="1">
        <v>2309</v>
      </c>
      <c r="B1098" s="1" t="s">
        <v>9532</v>
      </c>
      <c r="C1098" s="1" t="s">
        <v>9124</v>
      </c>
      <c r="D1098" s="1" t="s">
        <v>3124</v>
      </c>
      <c r="E1098" s="1" t="s">
        <v>3153</v>
      </c>
      <c r="F1098" s="1" t="s">
        <v>2068</v>
      </c>
      <c r="G1098" s="1" t="s">
        <v>2062</v>
      </c>
      <c r="H1098" s="1" t="str">
        <f t="shared" si="68"/>
        <v/>
      </c>
      <c r="I1098" s="1" t="str">
        <f t="shared" si="69"/>
        <v/>
      </c>
      <c r="J1098" s="1" t="str">
        <f t="shared" si="70"/>
        <v>接口{#IFNAME}({#IFALIAS}): LTE调制解调器RSRQ低(低于{$LTEMODEM.RSRQ.MIN.WARN}db5分钟)</v>
      </c>
      <c r="K1098" s="1" t="str">
        <f t="shared" si="71"/>
        <v/>
      </c>
    </row>
    <row r="1099" spans="1:11">
      <c r="A1099" s="1">
        <v>2311</v>
      </c>
      <c r="B1099" s="1" t="s">
        <v>9533</v>
      </c>
      <c r="C1099" s="1" t="s">
        <v>9098</v>
      </c>
      <c r="D1099" s="1" t="s">
        <v>3155</v>
      </c>
      <c r="E1099" s="1" t="s">
        <v>3156</v>
      </c>
      <c r="F1099" s="1" t="s">
        <v>541</v>
      </c>
      <c r="G1099" s="1" t="s">
        <v>542</v>
      </c>
      <c r="H1099" s="1" t="str">
        <f t="shared" si="68"/>
        <v/>
      </c>
      <c r="I1099" s="1" t="str">
        <f t="shared" si="69"/>
        <v/>
      </c>
      <c r="J1099" s="1" t="str">
        <f t="shared" si="70"/>
        <v>#{#SNMPINDEX}: CPU使用率高了(超过{$CPU.UTIL.CRIT}%达5分钟)</v>
      </c>
      <c r="K1099" s="1" t="str">
        <f t="shared" si="71"/>
        <v/>
      </c>
    </row>
    <row r="1100" spans="1:11">
      <c r="A1100" s="1">
        <v>2312</v>
      </c>
      <c r="B1100" s="1" t="s">
        <v>9533</v>
      </c>
      <c r="C1100" s="1" t="s">
        <v>9100</v>
      </c>
      <c r="D1100" s="1" t="s">
        <v>3155</v>
      </c>
      <c r="E1100" s="1" t="s">
        <v>3158</v>
      </c>
      <c r="F1100" s="1" t="s">
        <v>1557</v>
      </c>
      <c r="G1100" s="1" t="s">
        <v>1558</v>
      </c>
      <c r="H1100" s="1" t="str">
        <f t="shared" si="68"/>
        <v>CPU</v>
      </c>
      <c r="I1100" s="1" t="str">
        <f t="shared" si="69"/>
        <v>温度高于临界阈值: &gt;{$TEMP_CRIT: "CPU"}</v>
      </c>
      <c r="J1100" s="1" t="str">
        <f t="shared" si="70"/>
        <v>CPU: 温度高于临界阈值: &gt;{$TEMP_CRIT: "CPU"}</v>
      </c>
      <c r="K1100" s="1" t="str">
        <f t="shared" si="71"/>
        <v>Temperature is above critical threshold: &gt;{$TEMP_CRIT:"CPU"}</v>
      </c>
    </row>
    <row r="1101" spans="1:11">
      <c r="A1101" s="1">
        <v>2313</v>
      </c>
      <c r="B1101" s="1" t="s">
        <v>9533</v>
      </c>
      <c r="C1101" s="1" t="s">
        <v>9102</v>
      </c>
      <c r="D1101" s="1" t="s">
        <v>3155</v>
      </c>
      <c r="E1101" s="1" t="s">
        <v>3160</v>
      </c>
      <c r="F1101" s="1" t="s">
        <v>1553</v>
      </c>
      <c r="G1101" s="1" t="s">
        <v>1554</v>
      </c>
      <c r="H1101" s="1" t="str">
        <f t="shared" si="68"/>
        <v>CPU</v>
      </c>
      <c r="I1101" s="1" t="str">
        <f t="shared" si="69"/>
        <v>温度高于告警阈值: &gt;{$TEMP_WARN: "CPU"}</v>
      </c>
      <c r="J1101" s="1" t="str">
        <f t="shared" si="70"/>
        <v>CPU: 温度高于告警阈值: &gt;{$TEMP_WARN: "CPU"}</v>
      </c>
      <c r="K1101" s="1" t="str">
        <f t="shared" si="71"/>
        <v>Temperature is above warning threshold: &gt;{$TEMP_WARN:"CPU"}</v>
      </c>
    </row>
    <row r="1102" spans="1:11">
      <c r="A1102" s="1">
        <v>2314</v>
      </c>
      <c r="B1102" s="1" t="s">
        <v>9533</v>
      </c>
      <c r="C1102" s="1" t="s">
        <v>9104</v>
      </c>
      <c r="D1102" s="1" t="s">
        <v>3155</v>
      </c>
      <c r="E1102" s="1" t="s">
        <v>3162</v>
      </c>
      <c r="F1102" s="1" t="s">
        <v>1561</v>
      </c>
      <c r="G1102" s="1" t="s">
        <v>1562</v>
      </c>
      <c r="H1102" s="1" t="str">
        <f t="shared" si="68"/>
        <v>CPU</v>
      </c>
      <c r="I1102" s="1" t="str">
        <f t="shared" si="69"/>
        <v>温度太低: &lt;{$TEMP_CRIT_LOW: "CPU"}</v>
      </c>
      <c r="J1102" s="1" t="str">
        <f t="shared" si="70"/>
        <v>CPU: 温度太低: &lt;{$TEMP_CRIT_LOW: "CPU"}</v>
      </c>
      <c r="K1102" s="1" t="str">
        <f t="shared" si="71"/>
        <v>Temperature is too low: &lt;{$TEMP_CRIT_LOW:"CPU"}</v>
      </c>
    </row>
    <row r="1103" spans="1:11">
      <c r="A1103" s="1">
        <v>2315</v>
      </c>
      <c r="B1103" s="1" t="s">
        <v>9533</v>
      </c>
      <c r="C1103" s="1" t="s">
        <v>9106</v>
      </c>
      <c r="D1103" s="1" t="s">
        <v>3155</v>
      </c>
      <c r="E1103" s="1" t="s">
        <v>3164</v>
      </c>
      <c r="F1103" s="1" t="s">
        <v>2033</v>
      </c>
      <c r="G1103" s="1" t="s">
        <v>2034</v>
      </c>
      <c r="H1103" s="1" t="str">
        <f t="shared" si="68"/>
        <v>Device</v>
      </c>
      <c r="I1103" s="1" t="str">
        <f t="shared" si="69"/>
        <v>温度高于临界阈值: &gt;{$TEMP_CRIT: "Device"}</v>
      </c>
      <c r="J1103" s="1" t="str">
        <f t="shared" si="70"/>
        <v>Device: 温度高于临界阈值: &gt;{$TEMP_CRIT: "Device"}</v>
      </c>
      <c r="K1103" s="1" t="str">
        <f t="shared" si="71"/>
        <v>Temperature is above critical threshold: &gt;{$TEMP_CRIT:"Device"}</v>
      </c>
    </row>
    <row r="1104" spans="1:11">
      <c r="A1104" s="1">
        <v>2316</v>
      </c>
      <c r="B1104" s="1" t="s">
        <v>9533</v>
      </c>
      <c r="C1104" s="1" t="s">
        <v>9108</v>
      </c>
      <c r="D1104" s="1" t="s">
        <v>3155</v>
      </c>
      <c r="E1104" s="1" t="s">
        <v>3166</v>
      </c>
      <c r="F1104" s="1" t="s">
        <v>2037</v>
      </c>
      <c r="G1104" s="1" t="s">
        <v>2038</v>
      </c>
      <c r="H1104" s="1" t="str">
        <f t="shared" si="68"/>
        <v>Device</v>
      </c>
      <c r="I1104" s="1" t="str">
        <f t="shared" si="69"/>
        <v>温度高于告警阈值: &gt;{$TEMP_WARN: "Device"}</v>
      </c>
      <c r="J1104" s="1" t="str">
        <f t="shared" si="70"/>
        <v>Device: 温度高于告警阈值: &gt;{$TEMP_WARN: "Device"}</v>
      </c>
      <c r="K1104" s="1" t="str">
        <f t="shared" si="71"/>
        <v>Temperature is above warning threshold: &gt;{$TEMP_WARN:"Device"}</v>
      </c>
    </row>
    <row r="1105" spans="1:11">
      <c r="A1105" s="1">
        <v>2317</v>
      </c>
      <c r="B1105" s="1" t="s">
        <v>9533</v>
      </c>
      <c r="C1105" s="1" t="s">
        <v>9110</v>
      </c>
      <c r="D1105" s="1" t="s">
        <v>3155</v>
      </c>
      <c r="E1105" s="1" t="s">
        <v>3168</v>
      </c>
      <c r="F1105" s="1" t="s">
        <v>2041</v>
      </c>
      <c r="G1105" s="1" t="s">
        <v>2042</v>
      </c>
      <c r="H1105" s="1" t="str">
        <f t="shared" si="68"/>
        <v>Device</v>
      </c>
      <c r="I1105" s="1" t="str">
        <f t="shared" si="69"/>
        <v>温度太低: &lt;{$TEMP_CRIT_LOW: "Device"}</v>
      </c>
      <c r="J1105" s="1" t="str">
        <f t="shared" si="70"/>
        <v>Device: 温度太低: &lt;{$TEMP_CRIT_LOW: "Device"}</v>
      </c>
      <c r="K1105" s="1" t="str">
        <f t="shared" si="71"/>
        <v>Temperature is too low: &lt;{$TEMP_CRIT_LOW:"Device"}</v>
      </c>
    </row>
    <row r="1106" spans="1:11">
      <c r="A1106" s="1">
        <v>2318</v>
      </c>
      <c r="B1106" s="1" t="s">
        <v>9533</v>
      </c>
      <c r="C1106" s="1" t="s">
        <v>9112</v>
      </c>
      <c r="D1106" s="1" t="s">
        <v>3155</v>
      </c>
      <c r="E1106" s="1" t="s">
        <v>3170</v>
      </c>
      <c r="F1106" s="1" t="s">
        <v>2045</v>
      </c>
      <c r="G1106" s="1" t="s">
        <v>2046</v>
      </c>
      <c r="H1106" s="1" t="str">
        <f t="shared" si="68"/>
        <v/>
      </c>
      <c r="I1106" s="1" t="str">
        <f t="shared" si="69"/>
        <v/>
      </c>
      <c r="J1106" s="1" t="str">
        <f t="shared" si="70"/>
        <v>Disk-{#SNMPINDEX}: 磁盘空间严重不足(已使用率&gt;{$VFS.FS.PUSED.MAX.CRIT: "Disk-{#SNMPINDEX}"}%)</v>
      </c>
      <c r="K1106" s="1" t="str">
        <f t="shared" si="71"/>
        <v/>
      </c>
    </row>
    <row r="1107" spans="1:11">
      <c r="A1107" s="1">
        <v>2319</v>
      </c>
      <c r="B1107" s="1" t="s">
        <v>9533</v>
      </c>
      <c r="C1107" s="1" t="s">
        <v>9114</v>
      </c>
      <c r="D1107" s="1" t="s">
        <v>3155</v>
      </c>
      <c r="E1107" s="1" t="s">
        <v>3172</v>
      </c>
      <c r="F1107" s="1" t="s">
        <v>2049</v>
      </c>
      <c r="G1107" s="1" t="s">
        <v>2050</v>
      </c>
      <c r="H1107" s="1" t="str">
        <f t="shared" si="68"/>
        <v/>
      </c>
      <c r="I1107" s="1" t="str">
        <f t="shared" si="69"/>
        <v/>
      </c>
      <c r="J1107" s="1" t="str">
        <f t="shared" si="70"/>
        <v>Disk-{#SNMPINDEX}: 磁盘空间不足(已使用率&gt;{$VFS.FS.PUSED.MAX.WARN: "Disk-{#SNMPINDEX}"}%)</v>
      </c>
      <c r="K1107" s="1" t="str">
        <f t="shared" si="71"/>
        <v/>
      </c>
    </row>
    <row r="1108" spans="1:11">
      <c r="A1108" s="1">
        <v>2321</v>
      </c>
      <c r="B1108" s="1" t="s">
        <v>9533</v>
      </c>
      <c r="C1108" s="1" t="s">
        <v>9117</v>
      </c>
      <c r="D1108" s="1" t="s">
        <v>3155</v>
      </c>
      <c r="E1108" s="1" t="s">
        <v>3174</v>
      </c>
      <c r="F1108" s="1" t="s">
        <v>161</v>
      </c>
      <c r="G1108" s="1" t="s">
        <v>162</v>
      </c>
      <c r="H1108" s="1" t="str">
        <f t="shared" si="68"/>
        <v/>
      </c>
      <c r="I1108" s="1" t="str">
        <f t="shared" si="69"/>
        <v/>
      </c>
      <c r="J1108" s="1" t="str">
        <f t="shared" si="70"/>
        <v>接口{#IFNAME}({#IFALIAS}): 带宽使用率太高(&gt;{$IF.UTIL.MAX: "{#IFNAME}"}%)</v>
      </c>
      <c r="K1108" s="1" t="str">
        <f t="shared" si="71"/>
        <v/>
      </c>
    </row>
    <row r="1109" spans="1:11">
      <c r="A1109" s="1">
        <v>2322</v>
      </c>
      <c r="B1109" s="1" t="s">
        <v>9533</v>
      </c>
      <c r="C1109" s="1" t="s">
        <v>9119</v>
      </c>
      <c r="D1109" s="1" t="s">
        <v>3155</v>
      </c>
      <c r="E1109" s="1" t="s">
        <v>3176</v>
      </c>
      <c r="F1109" s="1" t="s">
        <v>165</v>
      </c>
      <c r="G1109" s="1" t="s">
        <v>166</v>
      </c>
      <c r="H1109" s="1" t="str">
        <f t="shared" si="68"/>
        <v/>
      </c>
      <c r="I1109" s="1" t="str">
        <f t="shared" si="69"/>
        <v/>
      </c>
      <c r="J1109" s="1" t="str">
        <f t="shared" si="70"/>
        <v>接口{#IFNAME}({#IFALIAS}): 错误率太高(&gt;{$IF.ERRORS.WARN: "{#IFNAME}"}达5分钟)</v>
      </c>
      <c r="K1109" s="1" t="str">
        <f t="shared" si="71"/>
        <v/>
      </c>
    </row>
    <row r="1110" spans="1:11">
      <c r="A1110" s="1">
        <v>2324</v>
      </c>
      <c r="B1110" s="1" t="s">
        <v>9533</v>
      </c>
      <c r="C1110" s="1" t="s">
        <v>9121</v>
      </c>
      <c r="D1110" s="1" t="s">
        <v>3155</v>
      </c>
      <c r="E1110" s="1" t="s">
        <v>3178</v>
      </c>
      <c r="F1110" s="1" t="s">
        <v>2057</v>
      </c>
      <c r="G1110" s="1" t="s">
        <v>2058</v>
      </c>
      <c r="H1110" s="1" t="str">
        <f t="shared" si="68"/>
        <v/>
      </c>
      <c r="I1110" s="1" t="str">
        <f t="shared" si="69"/>
        <v/>
      </c>
      <c r="J1110" s="1" t="str">
        <f t="shared" si="70"/>
        <v>接口{#IFNAME}({#IFALIAS}): LTE调制解调器RSRP低(低于{$LTEMODEM.RSRP.MIN.WARN}dbm5分钟)</v>
      </c>
      <c r="K1110" s="1" t="str">
        <f t="shared" si="71"/>
        <v/>
      </c>
    </row>
    <row r="1111" spans="1:11">
      <c r="A1111" s="1">
        <v>2325</v>
      </c>
      <c r="B1111" s="1" t="s">
        <v>9533</v>
      </c>
      <c r="C1111" s="1" t="s">
        <v>9122</v>
      </c>
      <c r="D1111" s="1" t="s">
        <v>3155</v>
      </c>
      <c r="E1111" s="1" t="s">
        <v>3180</v>
      </c>
      <c r="F1111" s="1" t="s">
        <v>2061</v>
      </c>
      <c r="G1111" s="1" t="s">
        <v>2062</v>
      </c>
      <c r="H1111" s="1" t="str">
        <f t="shared" si="68"/>
        <v/>
      </c>
      <c r="I1111" s="1" t="str">
        <f t="shared" si="69"/>
        <v/>
      </c>
      <c r="J1111" s="1" t="str">
        <f t="shared" si="70"/>
        <v>接口{#IFNAME}({#IFALIAS}): LTE调制解调器RSRQ低(低于{$LTEMODEM.RSRQ.MIN.WARN}db5分钟)</v>
      </c>
      <c r="K1111" s="1" t="str">
        <f t="shared" si="71"/>
        <v/>
      </c>
    </row>
    <row r="1112" spans="1:11">
      <c r="A1112" s="1">
        <v>2326</v>
      </c>
      <c r="B1112" s="1" t="s">
        <v>9533</v>
      </c>
      <c r="C1112" s="1" t="s">
        <v>9123</v>
      </c>
      <c r="D1112" s="1" t="s">
        <v>3155</v>
      </c>
      <c r="E1112" s="1" t="s">
        <v>3182</v>
      </c>
      <c r="F1112" s="1" t="s">
        <v>2065</v>
      </c>
      <c r="G1112" s="1" t="s">
        <v>2058</v>
      </c>
      <c r="H1112" s="1" t="str">
        <f t="shared" si="68"/>
        <v/>
      </c>
      <c r="I1112" s="1" t="str">
        <f t="shared" si="69"/>
        <v/>
      </c>
      <c r="J1112" s="1" t="str">
        <f t="shared" si="70"/>
        <v>接口{#IFNAME}({#IFALIAS}): LTE调制解调器RSRP低(低于{$LTEMODEM.RSRP.MIN.WARN}dbm5分钟)</v>
      </c>
      <c r="K1112" s="1" t="str">
        <f t="shared" si="71"/>
        <v/>
      </c>
    </row>
    <row r="1113" spans="1:11">
      <c r="A1113" s="1">
        <v>2327</v>
      </c>
      <c r="B1113" s="1" t="s">
        <v>9533</v>
      </c>
      <c r="C1113" s="1" t="s">
        <v>9124</v>
      </c>
      <c r="D1113" s="1" t="s">
        <v>3155</v>
      </c>
      <c r="E1113" s="1" t="s">
        <v>3184</v>
      </c>
      <c r="F1113" s="1" t="s">
        <v>2068</v>
      </c>
      <c r="G1113" s="1" t="s">
        <v>2062</v>
      </c>
      <c r="H1113" s="1" t="str">
        <f t="shared" si="68"/>
        <v/>
      </c>
      <c r="I1113" s="1" t="str">
        <f t="shared" si="69"/>
        <v/>
      </c>
      <c r="J1113" s="1" t="str">
        <f t="shared" si="70"/>
        <v>接口{#IFNAME}({#IFALIAS}): LTE调制解调器RSRQ低(低于{$LTEMODEM.RSRQ.MIN.WARN}db5分钟)</v>
      </c>
      <c r="K1113" s="1" t="str">
        <f t="shared" si="71"/>
        <v/>
      </c>
    </row>
    <row r="1114" spans="1:11">
      <c r="A1114" s="1">
        <v>2329</v>
      </c>
      <c r="B1114" s="1" t="s">
        <v>9534</v>
      </c>
      <c r="C1114" s="1" t="s">
        <v>9098</v>
      </c>
      <c r="D1114" s="1" t="s">
        <v>3186</v>
      </c>
      <c r="E1114" s="1" t="s">
        <v>3187</v>
      </c>
      <c r="F1114" s="1" t="s">
        <v>541</v>
      </c>
      <c r="G1114" s="1" t="s">
        <v>542</v>
      </c>
      <c r="H1114" s="1" t="str">
        <f t="shared" si="68"/>
        <v/>
      </c>
      <c r="I1114" s="1" t="str">
        <f t="shared" si="69"/>
        <v/>
      </c>
      <c r="J1114" s="1" t="str">
        <f t="shared" si="70"/>
        <v>#{#SNMPINDEX}: CPU使用率高了(超过{$CPU.UTIL.CRIT}%达5分钟)</v>
      </c>
      <c r="K1114" s="1" t="str">
        <f t="shared" si="71"/>
        <v/>
      </c>
    </row>
    <row r="1115" spans="1:11">
      <c r="A1115" s="1">
        <v>2330</v>
      </c>
      <c r="B1115" s="1" t="s">
        <v>9534</v>
      </c>
      <c r="C1115" s="1" t="s">
        <v>9100</v>
      </c>
      <c r="D1115" s="1" t="s">
        <v>3186</v>
      </c>
      <c r="E1115" s="1" t="s">
        <v>3189</v>
      </c>
      <c r="F1115" s="1" t="s">
        <v>1557</v>
      </c>
      <c r="G1115" s="1" t="s">
        <v>1558</v>
      </c>
      <c r="H1115" s="1" t="str">
        <f t="shared" si="68"/>
        <v>CPU</v>
      </c>
      <c r="I1115" s="1" t="str">
        <f t="shared" si="69"/>
        <v>温度高于临界阈值: &gt;{$TEMP_CRIT: "CPU"}</v>
      </c>
      <c r="J1115" s="1" t="str">
        <f t="shared" si="70"/>
        <v>CPU: 温度高于临界阈值: &gt;{$TEMP_CRIT: "CPU"}</v>
      </c>
      <c r="K1115" s="1" t="str">
        <f t="shared" si="71"/>
        <v>Temperature is above critical threshold: &gt;{$TEMP_CRIT:"CPU"}</v>
      </c>
    </row>
    <row r="1116" spans="1:11">
      <c r="A1116" s="1">
        <v>2331</v>
      </c>
      <c r="B1116" s="1" t="s">
        <v>9534</v>
      </c>
      <c r="C1116" s="1" t="s">
        <v>9102</v>
      </c>
      <c r="D1116" s="1" t="s">
        <v>3186</v>
      </c>
      <c r="E1116" s="1" t="s">
        <v>3191</v>
      </c>
      <c r="F1116" s="1" t="s">
        <v>1553</v>
      </c>
      <c r="G1116" s="1" t="s">
        <v>1554</v>
      </c>
      <c r="H1116" s="1" t="str">
        <f t="shared" si="68"/>
        <v>CPU</v>
      </c>
      <c r="I1116" s="1" t="str">
        <f t="shared" si="69"/>
        <v>温度高于告警阈值: &gt;{$TEMP_WARN: "CPU"}</v>
      </c>
      <c r="J1116" s="1" t="str">
        <f t="shared" si="70"/>
        <v>CPU: 温度高于告警阈值: &gt;{$TEMP_WARN: "CPU"}</v>
      </c>
      <c r="K1116" s="1" t="str">
        <f t="shared" si="71"/>
        <v>Temperature is above warning threshold: &gt;{$TEMP_WARN:"CPU"}</v>
      </c>
    </row>
    <row r="1117" spans="1:11">
      <c r="A1117" s="1">
        <v>2332</v>
      </c>
      <c r="B1117" s="1" t="s">
        <v>9534</v>
      </c>
      <c r="C1117" s="1" t="s">
        <v>9104</v>
      </c>
      <c r="D1117" s="1" t="s">
        <v>3186</v>
      </c>
      <c r="E1117" s="1" t="s">
        <v>3193</v>
      </c>
      <c r="F1117" s="1" t="s">
        <v>1561</v>
      </c>
      <c r="G1117" s="1" t="s">
        <v>1562</v>
      </c>
      <c r="H1117" s="1" t="str">
        <f t="shared" si="68"/>
        <v>CPU</v>
      </c>
      <c r="I1117" s="1" t="str">
        <f t="shared" si="69"/>
        <v>温度太低: &lt;{$TEMP_CRIT_LOW: "CPU"}</v>
      </c>
      <c r="J1117" s="1" t="str">
        <f t="shared" si="70"/>
        <v>CPU: 温度太低: &lt;{$TEMP_CRIT_LOW: "CPU"}</v>
      </c>
      <c r="K1117" s="1" t="str">
        <f t="shared" si="71"/>
        <v>Temperature is too low: &lt;{$TEMP_CRIT_LOW:"CPU"}</v>
      </c>
    </row>
    <row r="1118" spans="1:11">
      <c r="A1118" s="1">
        <v>2333</v>
      </c>
      <c r="B1118" s="1" t="s">
        <v>9534</v>
      </c>
      <c r="C1118" s="1" t="s">
        <v>9106</v>
      </c>
      <c r="D1118" s="1" t="s">
        <v>3186</v>
      </c>
      <c r="E1118" s="1" t="s">
        <v>3195</v>
      </c>
      <c r="F1118" s="1" t="s">
        <v>2033</v>
      </c>
      <c r="G1118" s="1" t="s">
        <v>2034</v>
      </c>
      <c r="H1118" s="1" t="str">
        <f t="shared" si="68"/>
        <v>Device</v>
      </c>
      <c r="I1118" s="1" t="str">
        <f t="shared" si="69"/>
        <v>温度高于临界阈值: &gt;{$TEMP_CRIT: "Device"}</v>
      </c>
      <c r="J1118" s="1" t="str">
        <f t="shared" si="70"/>
        <v>Device: 温度高于临界阈值: &gt;{$TEMP_CRIT: "Device"}</v>
      </c>
      <c r="K1118" s="1" t="str">
        <f t="shared" si="71"/>
        <v>Temperature is above critical threshold: &gt;{$TEMP_CRIT:"Device"}</v>
      </c>
    </row>
    <row r="1119" spans="1:11">
      <c r="A1119" s="1">
        <v>2334</v>
      </c>
      <c r="B1119" s="1" t="s">
        <v>9534</v>
      </c>
      <c r="C1119" s="1" t="s">
        <v>9108</v>
      </c>
      <c r="D1119" s="1" t="s">
        <v>3186</v>
      </c>
      <c r="E1119" s="1" t="s">
        <v>3197</v>
      </c>
      <c r="F1119" s="1" t="s">
        <v>2037</v>
      </c>
      <c r="G1119" s="1" t="s">
        <v>2038</v>
      </c>
      <c r="H1119" s="1" t="str">
        <f t="shared" si="68"/>
        <v>Device</v>
      </c>
      <c r="I1119" s="1" t="str">
        <f t="shared" si="69"/>
        <v>温度高于告警阈值: &gt;{$TEMP_WARN: "Device"}</v>
      </c>
      <c r="J1119" s="1" t="str">
        <f t="shared" si="70"/>
        <v>Device: 温度高于告警阈值: &gt;{$TEMP_WARN: "Device"}</v>
      </c>
      <c r="K1119" s="1" t="str">
        <f t="shared" si="71"/>
        <v>Temperature is above warning threshold: &gt;{$TEMP_WARN:"Device"}</v>
      </c>
    </row>
    <row r="1120" spans="1:11">
      <c r="A1120" s="1">
        <v>2335</v>
      </c>
      <c r="B1120" s="1" t="s">
        <v>9534</v>
      </c>
      <c r="C1120" s="1" t="s">
        <v>9110</v>
      </c>
      <c r="D1120" s="1" t="s">
        <v>3186</v>
      </c>
      <c r="E1120" s="1" t="s">
        <v>3199</v>
      </c>
      <c r="F1120" s="1" t="s">
        <v>2041</v>
      </c>
      <c r="G1120" s="1" t="s">
        <v>2042</v>
      </c>
      <c r="H1120" s="1" t="str">
        <f t="shared" si="68"/>
        <v>Device</v>
      </c>
      <c r="I1120" s="1" t="str">
        <f t="shared" si="69"/>
        <v>温度太低: &lt;{$TEMP_CRIT_LOW: "Device"}</v>
      </c>
      <c r="J1120" s="1" t="str">
        <f t="shared" si="70"/>
        <v>Device: 温度太低: &lt;{$TEMP_CRIT_LOW: "Device"}</v>
      </c>
      <c r="K1120" s="1" t="str">
        <f t="shared" si="71"/>
        <v>Temperature is too low: &lt;{$TEMP_CRIT_LOW:"Device"}</v>
      </c>
    </row>
    <row r="1121" spans="1:11">
      <c r="A1121" s="1">
        <v>2336</v>
      </c>
      <c r="B1121" s="1" t="s">
        <v>9534</v>
      </c>
      <c r="C1121" s="1" t="s">
        <v>9112</v>
      </c>
      <c r="D1121" s="1" t="s">
        <v>3186</v>
      </c>
      <c r="E1121" s="1" t="s">
        <v>3201</v>
      </c>
      <c r="F1121" s="1" t="s">
        <v>2045</v>
      </c>
      <c r="G1121" s="1" t="s">
        <v>2046</v>
      </c>
      <c r="H1121" s="1" t="str">
        <f t="shared" si="68"/>
        <v/>
      </c>
      <c r="I1121" s="1" t="str">
        <f t="shared" si="69"/>
        <v/>
      </c>
      <c r="J1121" s="1" t="str">
        <f t="shared" si="70"/>
        <v>Disk-{#SNMPINDEX}: 磁盘空间严重不足(已使用率&gt;{$VFS.FS.PUSED.MAX.CRIT: "Disk-{#SNMPINDEX}"}%)</v>
      </c>
      <c r="K1121" s="1" t="str">
        <f t="shared" si="71"/>
        <v/>
      </c>
    </row>
    <row r="1122" spans="1:11">
      <c r="A1122" s="1">
        <v>2337</v>
      </c>
      <c r="B1122" s="1" t="s">
        <v>9534</v>
      </c>
      <c r="C1122" s="1" t="s">
        <v>9114</v>
      </c>
      <c r="D1122" s="1" t="s">
        <v>3186</v>
      </c>
      <c r="E1122" s="1" t="s">
        <v>3203</v>
      </c>
      <c r="F1122" s="1" t="s">
        <v>2049</v>
      </c>
      <c r="G1122" s="1" t="s">
        <v>2050</v>
      </c>
      <c r="H1122" s="1" t="str">
        <f t="shared" si="68"/>
        <v/>
      </c>
      <c r="I1122" s="1" t="str">
        <f t="shared" si="69"/>
        <v/>
      </c>
      <c r="J1122" s="1" t="str">
        <f t="shared" si="70"/>
        <v>Disk-{#SNMPINDEX}: 磁盘空间不足(已使用率&gt;{$VFS.FS.PUSED.MAX.WARN: "Disk-{#SNMPINDEX}"}%)</v>
      </c>
      <c r="K1122" s="1" t="str">
        <f t="shared" si="71"/>
        <v/>
      </c>
    </row>
    <row r="1123" spans="1:11">
      <c r="A1123" s="1">
        <v>2339</v>
      </c>
      <c r="B1123" s="1" t="s">
        <v>9534</v>
      </c>
      <c r="C1123" s="1" t="s">
        <v>9117</v>
      </c>
      <c r="D1123" s="1" t="s">
        <v>3186</v>
      </c>
      <c r="E1123" s="1" t="s">
        <v>3205</v>
      </c>
      <c r="F1123" s="1" t="s">
        <v>161</v>
      </c>
      <c r="G1123" s="1" t="s">
        <v>162</v>
      </c>
      <c r="H1123" s="1" t="str">
        <f t="shared" si="68"/>
        <v/>
      </c>
      <c r="I1123" s="1" t="str">
        <f t="shared" si="69"/>
        <v/>
      </c>
      <c r="J1123" s="1" t="str">
        <f t="shared" si="70"/>
        <v>接口{#IFNAME}({#IFALIAS}): 带宽使用率太高(&gt;{$IF.UTIL.MAX: "{#IFNAME}"}%)</v>
      </c>
      <c r="K1123" s="1" t="str">
        <f t="shared" si="71"/>
        <v/>
      </c>
    </row>
    <row r="1124" spans="1:11">
      <c r="A1124" s="1">
        <v>2340</v>
      </c>
      <c r="B1124" s="1" t="s">
        <v>9534</v>
      </c>
      <c r="C1124" s="1" t="s">
        <v>9119</v>
      </c>
      <c r="D1124" s="1" t="s">
        <v>3186</v>
      </c>
      <c r="E1124" s="1" t="s">
        <v>3207</v>
      </c>
      <c r="F1124" s="1" t="s">
        <v>165</v>
      </c>
      <c r="G1124" s="1" t="s">
        <v>166</v>
      </c>
      <c r="H1124" s="1" t="str">
        <f t="shared" si="68"/>
        <v/>
      </c>
      <c r="I1124" s="1" t="str">
        <f t="shared" si="69"/>
        <v/>
      </c>
      <c r="J1124" s="1" t="str">
        <f t="shared" si="70"/>
        <v>接口{#IFNAME}({#IFALIAS}): 错误率太高(&gt;{$IF.ERRORS.WARN: "{#IFNAME}"}达5分钟)</v>
      </c>
      <c r="K1124" s="1" t="str">
        <f t="shared" si="71"/>
        <v/>
      </c>
    </row>
    <row r="1125" spans="1:11">
      <c r="A1125" s="1">
        <v>2342</v>
      </c>
      <c r="B1125" s="1" t="s">
        <v>9534</v>
      </c>
      <c r="C1125" s="1" t="s">
        <v>9121</v>
      </c>
      <c r="D1125" s="1" t="s">
        <v>3186</v>
      </c>
      <c r="E1125" s="1" t="s">
        <v>3209</v>
      </c>
      <c r="F1125" s="1" t="s">
        <v>2057</v>
      </c>
      <c r="G1125" s="1" t="s">
        <v>2058</v>
      </c>
      <c r="H1125" s="1" t="str">
        <f t="shared" si="68"/>
        <v/>
      </c>
      <c r="I1125" s="1" t="str">
        <f t="shared" si="69"/>
        <v/>
      </c>
      <c r="J1125" s="1" t="str">
        <f t="shared" si="70"/>
        <v>接口{#IFNAME}({#IFALIAS}): LTE调制解调器RSRP低(低于{$LTEMODEM.RSRP.MIN.WARN}dbm5分钟)</v>
      </c>
      <c r="K1125" s="1" t="str">
        <f t="shared" si="71"/>
        <v/>
      </c>
    </row>
    <row r="1126" spans="1:11">
      <c r="A1126" s="1">
        <v>2343</v>
      </c>
      <c r="B1126" s="1" t="s">
        <v>9534</v>
      </c>
      <c r="C1126" s="1" t="s">
        <v>9122</v>
      </c>
      <c r="D1126" s="1" t="s">
        <v>3186</v>
      </c>
      <c r="E1126" s="1" t="s">
        <v>3211</v>
      </c>
      <c r="F1126" s="1" t="s">
        <v>2061</v>
      </c>
      <c r="G1126" s="1" t="s">
        <v>2062</v>
      </c>
      <c r="H1126" s="1" t="str">
        <f t="shared" si="68"/>
        <v/>
      </c>
      <c r="I1126" s="1" t="str">
        <f t="shared" si="69"/>
        <v/>
      </c>
      <c r="J1126" s="1" t="str">
        <f t="shared" si="70"/>
        <v>接口{#IFNAME}({#IFALIAS}): LTE调制解调器RSRQ低(低于{$LTEMODEM.RSRQ.MIN.WARN}db5分钟)</v>
      </c>
      <c r="K1126" s="1" t="str">
        <f t="shared" si="71"/>
        <v/>
      </c>
    </row>
    <row r="1127" spans="1:11">
      <c r="A1127" s="1">
        <v>2344</v>
      </c>
      <c r="B1127" s="1" t="s">
        <v>9534</v>
      </c>
      <c r="C1127" s="1" t="s">
        <v>9123</v>
      </c>
      <c r="D1127" s="1" t="s">
        <v>3186</v>
      </c>
      <c r="E1127" s="1" t="s">
        <v>3213</v>
      </c>
      <c r="F1127" s="1" t="s">
        <v>2065</v>
      </c>
      <c r="G1127" s="1" t="s">
        <v>2058</v>
      </c>
      <c r="H1127" s="1" t="str">
        <f t="shared" si="68"/>
        <v/>
      </c>
      <c r="I1127" s="1" t="str">
        <f t="shared" si="69"/>
        <v/>
      </c>
      <c r="J1127" s="1" t="str">
        <f t="shared" si="70"/>
        <v>接口{#IFNAME}({#IFALIAS}): LTE调制解调器RSRP低(低于{$LTEMODEM.RSRP.MIN.WARN}dbm5分钟)</v>
      </c>
      <c r="K1127" s="1" t="str">
        <f t="shared" si="71"/>
        <v/>
      </c>
    </row>
    <row r="1128" spans="1:11">
      <c r="A1128" s="1">
        <v>2345</v>
      </c>
      <c r="B1128" s="1" t="s">
        <v>9534</v>
      </c>
      <c r="C1128" s="1" t="s">
        <v>9124</v>
      </c>
      <c r="D1128" s="1" t="s">
        <v>3186</v>
      </c>
      <c r="E1128" s="1" t="s">
        <v>3215</v>
      </c>
      <c r="F1128" s="1" t="s">
        <v>2068</v>
      </c>
      <c r="G1128" s="1" t="s">
        <v>2062</v>
      </c>
      <c r="H1128" s="1" t="str">
        <f t="shared" si="68"/>
        <v/>
      </c>
      <c r="I1128" s="1" t="str">
        <f t="shared" si="69"/>
        <v/>
      </c>
      <c r="J1128" s="1" t="str">
        <f t="shared" si="70"/>
        <v>接口{#IFNAME}({#IFALIAS}): LTE调制解调器RSRQ低(低于{$LTEMODEM.RSRQ.MIN.WARN}db5分钟)</v>
      </c>
      <c r="K1128" s="1" t="str">
        <f t="shared" si="71"/>
        <v/>
      </c>
    </row>
    <row r="1129" spans="1:11">
      <c r="A1129" s="1">
        <v>2347</v>
      </c>
      <c r="B1129" s="1" t="s">
        <v>9535</v>
      </c>
      <c r="C1129" s="1" t="s">
        <v>9098</v>
      </c>
      <c r="D1129" s="1" t="s">
        <v>3217</v>
      </c>
      <c r="E1129" s="1" t="s">
        <v>3218</v>
      </c>
      <c r="F1129" s="1" t="s">
        <v>541</v>
      </c>
      <c r="G1129" s="1" t="s">
        <v>542</v>
      </c>
      <c r="H1129" s="1" t="str">
        <f t="shared" si="68"/>
        <v/>
      </c>
      <c r="I1129" s="1" t="str">
        <f t="shared" si="69"/>
        <v/>
      </c>
      <c r="J1129" s="1" t="str">
        <f t="shared" si="70"/>
        <v>#{#SNMPINDEX}: CPU使用率高了(超过{$CPU.UTIL.CRIT}%达5分钟)</v>
      </c>
      <c r="K1129" s="1" t="str">
        <f t="shared" si="71"/>
        <v/>
      </c>
    </row>
    <row r="1130" spans="1:11">
      <c r="A1130" s="1">
        <v>2348</v>
      </c>
      <c r="B1130" s="1" t="s">
        <v>9535</v>
      </c>
      <c r="C1130" s="1" t="s">
        <v>9100</v>
      </c>
      <c r="D1130" s="1" t="s">
        <v>3217</v>
      </c>
      <c r="E1130" s="1" t="s">
        <v>3220</v>
      </c>
      <c r="F1130" s="1" t="s">
        <v>1557</v>
      </c>
      <c r="G1130" s="1" t="s">
        <v>1558</v>
      </c>
      <c r="H1130" s="1" t="str">
        <f t="shared" si="68"/>
        <v>CPU</v>
      </c>
      <c r="I1130" s="1" t="str">
        <f t="shared" si="69"/>
        <v>温度高于临界阈值: &gt;{$TEMP_CRIT: "CPU"}</v>
      </c>
      <c r="J1130" s="1" t="str">
        <f t="shared" si="70"/>
        <v>CPU: 温度高于临界阈值: &gt;{$TEMP_CRIT: "CPU"}</v>
      </c>
      <c r="K1130" s="1" t="str">
        <f t="shared" si="71"/>
        <v>Temperature is above critical threshold: &gt;{$TEMP_CRIT:"CPU"}</v>
      </c>
    </row>
    <row r="1131" spans="1:11">
      <c r="A1131" s="1">
        <v>2349</v>
      </c>
      <c r="B1131" s="1" t="s">
        <v>9535</v>
      </c>
      <c r="C1131" s="1" t="s">
        <v>9102</v>
      </c>
      <c r="D1131" s="1" t="s">
        <v>3217</v>
      </c>
      <c r="E1131" s="1" t="s">
        <v>3222</v>
      </c>
      <c r="F1131" s="1" t="s">
        <v>1553</v>
      </c>
      <c r="G1131" s="1" t="s">
        <v>1554</v>
      </c>
      <c r="H1131" s="1" t="str">
        <f t="shared" si="68"/>
        <v>CPU</v>
      </c>
      <c r="I1131" s="1" t="str">
        <f t="shared" si="69"/>
        <v>温度高于告警阈值: &gt;{$TEMP_WARN: "CPU"}</v>
      </c>
      <c r="J1131" s="1" t="str">
        <f t="shared" si="70"/>
        <v>CPU: 温度高于告警阈值: &gt;{$TEMP_WARN: "CPU"}</v>
      </c>
      <c r="K1131" s="1" t="str">
        <f t="shared" si="71"/>
        <v>Temperature is above warning threshold: &gt;{$TEMP_WARN:"CPU"}</v>
      </c>
    </row>
    <row r="1132" spans="1:11">
      <c r="A1132" s="1">
        <v>2350</v>
      </c>
      <c r="B1132" s="1" t="s">
        <v>9535</v>
      </c>
      <c r="C1132" s="1" t="s">
        <v>9104</v>
      </c>
      <c r="D1132" s="1" t="s">
        <v>3217</v>
      </c>
      <c r="E1132" s="1" t="s">
        <v>3224</v>
      </c>
      <c r="F1132" s="1" t="s">
        <v>1561</v>
      </c>
      <c r="G1132" s="1" t="s">
        <v>1562</v>
      </c>
      <c r="H1132" s="1" t="str">
        <f t="shared" si="68"/>
        <v>CPU</v>
      </c>
      <c r="I1132" s="1" t="str">
        <f t="shared" si="69"/>
        <v>温度太低: &lt;{$TEMP_CRIT_LOW: "CPU"}</v>
      </c>
      <c r="J1132" s="1" t="str">
        <f t="shared" si="70"/>
        <v>CPU: 温度太低: &lt;{$TEMP_CRIT_LOW: "CPU"}</v>
      </c>
      <c r="K1132" s="1" t="str">
        <f t="shared" si="71"/>
        <v>Temperature is too low: &lt;{$TEMP_CRIT_LOW:"CPU"}</v>
      </c>
    </row>
    <row r="1133" spans="1:11">
      <c r="A1133" s="1">
        <v>2351</v>
      </c>
      <c r="B1133" s="1" t="s">
        <v>9535</v>
      </c>
      <c r="C1133" s="1" t="s">
        <v>9106</v>
      </c>
      <c r="D1133" s="1" t="s">
        <v>3217</v>
      </c>
      <c r="E1133" s="1" t="s">
        <v>3226</v>
      </c>
      <c r="F1133" s="1" t="s">
        <v>2033</v>
      </c>
      <c r="G1133" s="1" t="s">
        <v>2034</v>
      </c>
      <c r="H1133" s="1" t="str">
        <f t="shared" si="68"/>
        <v>Device</v>
      </c>
      <c r="I1133" s="1" t="str">
        <f t="shared" si="69"/>
        <v>温度高于临界阈值: &gt;{$TEMP_CRIT: "Device"}</v>
      </c>
      <c r="J1133" s="1" t="str">
        <f t="shared" si="70"/>
        <v>Device: 温度高于临界阈值: &gt;{$TEMP_CRIT: "Device"}</v>
      </c>
      <c r="K1133" s="1" t="str">
        <f t="shared" si="71"/>
        <v>Temperature is above critical threshold: &gt;{$TEMP_CRIT:"Device"}</v>
      </c>
    </row>
    <row r="1134" spans="1:11">
      <c r="A1134" s="1">
        <v>2352</v>
      </c>
      <c r="B1134" s="1" t="s">
        <v>9535</v>
      </c>
      <c r="C1134" s="1" t="s">
        <v>9108</v>
      </c>
      <c r="D1134" s="1" t="s">
        <v>3217</v>
      </c>
      <c r="E1134" s="1" t="s">
        <v>3228</v>
      </c>
      <c r="F1134" s="1" t="s">
        <v>2037</v>
      </c>
      <c r="G1134" s="1" t="s">
        <v>2038</v>
      </c>
      <c r="H1134" s="1" t="str">
        <f t="shared" si="68"/>
        <v>Device</v>
      </c>
      <c r="I1134" s="1" t="str">
        <f t="shared" si="69"/>
        <v>温度高于告警阈值: &gt;{$TEMP_WARN: "Device"}</v>
      </c>
      <c r="J1134" s="1" t="str">
        <f t="shared" si="70"/>
        <v>Device: 温度高于告警阈值: &gt;{$TEMP_WARN: "Device"}</v>
      </c>
      <c r="K1134" s="1" t="str">
        <f t="shared" si="71"/>
        <v>Temperature is above warning threshold: &gt;{$TEMP_WARN:"Device"}</v>
      </c>
    </row>
    <row r="1135" spans="1:11">
      <c r="A1135" s="1">
        <v>2353</v>
      </c>
      <c r="B1135" s="1" t="s">
        <v>9535</v>
      </c>
      <c r="C1135" s="1" t="s">
        <v>9110</v>
      </c>
      <c r="D1135" s="1" t="s">
        <v>3217</v>
      </c>
      <c r="E1135" s="1" t="s">
        <v>3230</v>
      </c>
      <c r="F1135" s="1" t="s">
        <v>2041</v>
      </c>
      <c r="G1135" s="1" t="s">
        <v>2042</v>
      </c>
      <c r="H1135" s="1" t="str">
        <f t="shared" si="68"/>
        <v>Device</v>
      </c>
      <c r="I1135" s="1" t="str">
        <f t="shared" si="69"/>
        <v>温度太低: &lt;{$TEMP_CRIT_LOW: "Device"}</v>
      </c>
      <c r="J1135" s="1" t="str">
        <f t="shared" si="70"/>
        <v>Device: 温度太低: &lt;{$TEMP_CRIT_LOW: "Device"}</v>
      </c>
      <c r="K1135" s="1" t="str">
        <f t="shared" si="71"/>
        <v>Temperature is too low: &lt;{$TEMP_CRIT_LOW:"Device"}</v>
      </c>
    </row>
    <row r="1136" spans="1:11">
      <c r="A1136" s="1">
        <v>2354</v>
      </c>
      <c r="B1136" s="1" t="s">
        <v>9535</v>
      </c>
      <c r="C1136" s="1" t="s">
        <v>9112</v>
      </c>
      <c r="D1136" s="1" t="s">
        <v>3217</v>
      </c>
      <c r="E1136" s="1" t="s">
        <v>3232</v>
      </c>
      <c r="F1136" s="1" t="s">
        <v>2045</v>
      </c>
      <c r="G1136" s="1" t="s">
        <v>2046</v>
      </c>
      <c r="H1136" s="1" t="str">
        <f t="shared" si="68"/>
        <v/>
      </c>
      <c r="I1136" s="1" t="str">
        <f t="shared" si="69"/>
        <v/>
      </c>
      <c r="J1136" s="1" t="str">
        <f t="shared" si="70"/>
        <v>Disk-{#SNMPINDEX}: 磁盘空间严重不足(已使用率&gt;{$VFS.FS.PUSED.MAX.CRIT: "Disk-{#SNMPINDEX}"}%)</v>
      </c>
      <c r="K1136" s="1" t="str">
        <f t="shared" si="71"/>
        <v/>
      </c>
    </row>
    <row r="1137" spans="1:11">
      <c r="A1137" s="1">
        <v>2355</v>
      </c>
      <c r="B1137" s="1" t="s">
        <v>9535</v>
      </c>
      <c r="C1137" s="1" t="s">
        <v>9114</v>
      </c>
      <c r="D1137" s="1" t="s">
        <v>3217</v>
      </c>
      <c r="E1137" s="1" t="s">
        <v>3234</v>
      </c>
      <c r="F1137" s="1" t="s">
        <v>2049</v>
      </c>
      <c r="G1137" s="1" t="s">
        <v>2050</v>
      </c>
      <c r="H1137" s="1" t="str">
        <f t="shared" si="68"/>
        <v/>
      </c>
      <c r="I1137" s="1" t="str">
        <f t="shared" si="69"/>
        <v/>
      </c>
      <c r="J1137" s="1" t="str">
        <f t="shared" si="70"/>
        <v>Disk-{#SNMPINDEX}: 磁盘空间不足(已使用率&gt;{$VFS.FS.PUSED.MAX.WARN: "Disk-{#SNMPINDEX}"}%)</v>
      </c>
      <c r="K1137" s="1" t="str">
        <f t="shared" si="71"/>
        <v/>
      </c>
    </row>
    <row r="1138" spans="1:11">
      <c r="A1138" s="1">
        <v>2357</v>
      </c>
      <c r="B1138" s="1" t="s">
        <v>9535</v>
      </c>
      <c r="C1138" s="1" t="s">
        <v>9117</v>
      </c>
      <c r="D1138" s="1" t="s">
        <v>3217</v>
      </c>
      <c r="E1138" s="1" t="s">
        <v>3236</v>
      </c>
      <c r="F1138" s="1" t="s">
        <v>161</v>
      </c>
      <c r="G1138" s="1" t="s">
        <v>162</v>
      </c>
      <c r="H1138" s="1" t="str">
        <f t="shared" si="68"/>
        <v/>
      </c>
      <c r="I1138" s="1" t="str">
        <f t="shared" si="69"/>
        <v/>
      </c>
      <c r="J1138" s="1" t="str">
        <f t="shared" si="70"/>
        <v>接口{#IFNAME}({#IFALIAS}): 带宽使用率太高(&gt;{$IF.UTIL.MAX: "{#IFNAME}"}%)</v>
      </c>
      <c r="K1138" s="1" t="str">
        <f t="shared" si="71"/>
        <v/>
      </c>
    </row>
    <row r="1139" spans="1:11">
      <c r="A1139" s="1">
        <v>2358</v>
      </c>
      <c r="B1139" s="1" t="s">
        <v>9535</v>
      </c>
      <c r="C1139" s="1" t="s">
        <v>9119</v>
      </c>
      <c r="D1139" s="1" t="s">
        <v>3217</v>
      </c>
      <c r="E1139" s="1" t="s">
        <v>3238</v>
      </c>
      <c r="F1139" s="1" t="s">
        <v>165</v>
      </c>
      <c r="G1139" s="1" t="s">
        <v>166</v>
      </c>
      <c r="H1139" s="1" t="str">
        <f t="shared" si="68"/>
        <v/>
      </c>
      <c r="I1139" s="1" t="str">
        <f t="shared" si="69"/>
        <v/>
      </c>
      <c r="J1139" s="1" t="str">
        <f t="shared" si="70"/>
        <v>接口{#IFNAME}({#IFALIAS}): 错误率太高(&gt;{$IF.ERRORS.WARN: "{#IFNAME}"}达5分钟)</v>
      </c>
      <c r="K1139" s="1" t="str">
        <f t="shared" si="71"/>
        <v/>
      </c>
    </row>
    <row r="1140" spans="1:11">
      <c r="A1140" s="1">
        <v>2360</v>
      </c>
      <c r="B1140" s="1" t="s">
        <v>9535</v>
      </c>
      <c r="C1140" s="1" t="s">
        <v>9121</v>
      </c>
      <c r="D1140" s="1" t="s">
        <v>3217</v>
      </c>
      <c r="E1140" s="1" t="s">
        <v>3240</v>
      </c>
      <c r="F1140" s="1" t="s">
        <v>2057</v>
      </c>
      <c r="G1140" s="1" t="s">
        <v>2058</v>
      </c>
      <c r="H1140" s="1" t="str">
        <f t="shared" si="68"/>
        <v/>
      </c>
      <c r="I1140" s="1" t="str">
        <f t="shared" si="69"/>
        <v/>
      </c>
      <c r="J1140" s="1" t="str">
        <f t="shared" si="70"/>
        <v>接口{#IFNAME}({#IFALIAS}): LTE调制解调器RSRP低(低于{$LTEMODEM.RSRP.MIN.WARN}dbm5分钟)</v>
      </c>
      <c r="K1140" s="1" t="str">
        <f t="shared" si="71"/>
        <v/>
      </c>
    </row>
    <row r="1141" spans="1:11">
      <c r="A1141" s="1">
        <v>2361</v>
      </c>
      <c r="B1141" s="1" t="s">
        <v>9535</v>
      </c>
      <c r="C1141" s="1" t="s">
        <v>9122</v>
      </c>
      <c r="D1141" s="1" t="s">
        <v>3217</v>
      </c>
      <c r="E1141" s="1" t="s">
        <v>3242</v>
      </c>
      <c r="F1141" s="1" t="s">
        <v>2061</v>
      </c>
      <c r="G1141" s="1" t="s">
        <v>2062</v>
      </c>
      <c r="H1141" s="1" t="str">
        <f t="shared" si="68"/>
        <v/>
      </c>
      <c r="I1141" s="1" t="str">
        <f t="shared" si="69"/>
        <v/>
      </c>
      <c r="J1141" s="1" t="str">
        <f t="shared" si="70"/>
        <v>接口{#IFNAME}({#IFALIAS}): LTE调制解调器RSRQ低(低于{$LTEMODEM.RSRQ.MIN.WARN}db5分钟)</v>
      </c>
      <c r="K1141" s="1" t="str">
        <f t="shared" si="71"/>
        <v/>
      </c>
    </row>
    <row r="1142" spans="1:11">
      <c r="A1142" s="1">
        <v>2362</v>
      </c>
      <c r="B1142" s="1" t="s">
        <v>9535</v>
      </c>
      <c r="C1142" s="1" t="s">
        <v>9123</v>
      </c>
      <c r="D1142" s="1" t="s">
        <v>3217</v>
      </c>
      <c r="E1142" s="1" t="s">
        <v>3244</v>
      </c>
      <c r="F1142" s="1" t="s">
        <v>2065</v>
      </c>
      <c r="G1142" s="1" t="s">
        <v>2058</v>
      </c>
      <c r="H1142" s="1" t="str">
        <f t="shared" si="68"/>
        <v/>
      </c>
      <c r="I1142" s="1" t="str">
        <f t="shared" si="69"/>
        <v/>
      </c>
      <c r="J1142" s="1" t="str">
        <f t="shared" si="70"/>
        <v>接口{#IFNAME}({#IFALIAS}): LTE调制解调器RSRP低(低于{$LTEMODEM.RSRP.MIN.WARN}dbm5分钟)</v>
      </c>
      <c r="K1142" s="1" t="str">
        <f t="shared" si="71"/>
        <v/>
      </c>
    </row>
    <row r="1143" spans="1:11">
      <c r="A1143" s="1">
        <v>2363</v>
      </c>
      <c r="B1143" s="1" t="s">
        <v>9535</v>
      </c>
      <c r="C1143" s="1" t="s">
        <v>9124</v>
      </c>
      <c r="D1143" s="1" t="s">
        <v>3217</v>
      </c>
      <c r="E1143" s="1" t="s">
        <v>3246</v>
      </c>
      <c r="F1143" s="1" t="s">
        <v>2068</v>
      </c>
      <c r="G1143" s="1" t="s">
        <v>2062</v>
      </c>
      <c r="H1143" s="1" t="str">
        <f t="shared" si="68"/>
        <v/>
      </c>
      <c r="I1143" s="1" t="str">
        <f t="shared" si="69"/>
        <v/>
      </c>
      <c r="J1143" s="1" t="str">
        <f t="shared" si="70"/>
        <v>接口{#IFNAME}({#IFALIAS}): LTE调制解调器RSRQ低(低于{$LTEMODEM.RSRQ.MIN.WARN}db5分钟)</v>
      </c>
      <c r="K1143" s="1" t="str">
        <f t="shared" si="71"/>
        <v/>
      </c>
    </row>
    <row r="1144" spans="1:11">
      <c r="A1144" s="1">
        <v>2365</v>
      </c>
      <c r="B1144" s="1" t="s">
        <v>9536</v>
      </c>
      <c r="C1144" s="1" t="s">
        <v>9098</v>
      </c>
      <c r="D1144" s="1" t="s">
        <v>3248</v>
      </c>
      <c r="E1144" s="1" t="s">
        <v>3249</v>
      </c>
      <c r="F1144" s="1" t="s">
        <v>541</v>
      </c>
      <c r="G1144" s="1" t="s">
        <v>542</v>
      </c>
      <c r="H1144" s="1" t="str">
        <f t="shared" si="68"/>
        <v/>
      </c>
      <c r="I1144" s="1" t="str">
        <f t="shared" si="69"/>
        <v/>
      </c>
      <c r="J1144" s="1" t="str">
        <f t="shared" si="70"/>
        <v>#{#SNMPINDEX}: CPU使用率高了(超过{$CPU.UTIL.CRIT}%达5分钟)</v>
      </c>
      <c r="K1144" s="1" t="str">
        <f t="shared" si="71"/>
        <v/>
      </c>
    </row>
    <row r="1145" spans="1:11">
      <c r="A1145" s="1">
        <v>2366</v>
      </c>
      <c r="B1145" s="1" t="s">
        <v>9536</v>
      </c>
      <c r="C1145" s="1" t="s">
        <v>9100</v>
      </c>
      <c r="D1145" s="1" t="s">
        <v>3248</v>
      </c>
      <c r="E1145" s="1" t="s">
        <v>3251</v>
      </c>
      <c r="F1145" s="1" t="s">
        <v>1557</v>
      </c>
      <c r="G1145" s="1" t="s">
        <v>1558</v>
      </c>
      <c r="H1145" s="1" t="str">
        <f t="shared" si="68"/>
        <v>CPU</v>
      </c>
      <c r="I1145" s="1" t="str">
        <f t="shared" si="69"/>
        <v>温度高于临界阈值: &gt;{$TEMP_CRIT: "CPU"}</v>
      </c>
      <c r="J1145" s="1" t="str">
        <f t="shared" si="70"/>
        <v>CPU: 温度高于临界阈值: &gt;{$TEMP_CRIT: "CPU"}</v>
      </c>
      <c r="K1145" s="1" t="str">
        <f t="shared" si="71"/>
        <v>Temperature is above critical threshold: &gt;{$TEMP_CRIT:"CPU"}</v>
      </c>
    </row>
    <row r="1146" spans="1:11">
      <c r="A1146" s="1">
        <v>2367</v>
      </c>
      <c r="B1146" s="1" t="s">
        <v>9536</v>
      </c>
      <c r="C1146" s="1" t="s">
        <v>9102</v>
      </c>
      <c r="D1146" s="1" t="s">
        <v>3248</v>
      </c>
      <c r="E1146" s="1" t="s">
        <v>3253</v>
      </c>
      <c r="F1146" s="1" t="s">
        <v>1553</v>
      </c>
      <c r="G1146" s="1" t="s">
        <v>1554</v>
      </c>
      <c r="H1146" s="1" t="str">
        <f t="shared" si="68"/>
        <v>CPU</v>
      </c>
      <c r="I1146" s="1" t="str">
        <f t="shared" si="69"/>
        <v>温度高于告警阈值: &gt;{$TEMP_WARN: "CPU"}</v>
      </c>
      <c r="J1146" s="1" t="str">
        <f t="shared" si="70"/>
        <v>CPU: 温度高于告警阈值: &gt;{$TEMP_WARN: "CPU"}</v>
      </c>
      <c r="K1146" s="1" t="str">
        <f t="shared" si="71"/>
        <v>Temperature is above warning threshold: &gt;{$TEMP_WARN:"CPU"}</v>
      </c>
    </row>
    <row r="1147" spans="1:11">
      <c r="A1147" s="1">
        <v>2368</v>
      </c>
      <c r="B1147" s="1" t="s">
        <v>9536</v>
      </c>
      <c r="C1147" s="1" t="s">
        <v>9104</v>
      </c>
      <c r="D1147" s="1" t="s">
        <v>3248</v>
      </c>
      <c r="E1147" s="1" t="s">
        <v>3255</v>
      </c>
      <c r="F1147" s="1" t="s">
        <v>1561</v>
      </c>
      <c r="G1147" s="1" t="s">
        <v>1562</v>
      </c>
      <c r="H1147" s="1" t="str">
        <f t="shared" si="68"/>
        <v>CPU</v>
      </c>
      <c r="I1147" s="1" t="str">
        <f t="shared" si="69"/>
        <v>温度太低: &lt;{$TEMP_CRIT_LOW: "CPU"}</v>
      </c>
      <c r="J1147" s="1" t="str">
        <f t="shared" si="70"/>
        <v>CPU: 温度太低: &lt;{$TEMP_CRIT_LOW: "CPU"}</v>
      </c>
      <c r="K1147" s="1" t="str">
        <f t="shared" si="71"/>
        <v>Temperature is too low: &lt;{$TEMP_CRIT_LOW:"CPU"}</v>
      </c>
    </row>
    <row r="1148" spans="1:11">
      <c r="A1148" s="1">
        <v>2369</v>
      </c>
      <c r="B1148" s="1" t="s">
        <v>9536</v>
      </c>
      <c r="C1148" s="1" t="s">
        <v>9106</v>
      </c>
      <c r="D1148" s="1" t="s">
        <v>3248</v>
      </c>
      <c r="E1148" s="1" t="s">
        <v>3257</v>
      </c>
      <c r="F1148" s="1" t="s">
        <v>2033</v>
      </c>
      <c r="G1148" s="1" t="s">
        <v>2034</v>
      </c>
      <c r="H1148" s="1" t="str">
        <f t="shared" si="68"/>
        <v>Device</v>
      </c>
      <c r="I1148" s="1" t="str">
        <f t="shared" si="69"/>
        <v>温度高于临界阈值: &gt;{$TEMP_CRIT: "Device"}</v>
      </c>
      <c r="J1148" s="1" t="str">
        <f t="shared" si="70"/>
        <v>Device: 温度高于临界阈值: &gt;{$TEMP_CRIT: "Device"}</v>
      </c>
      <c r="K1148" s="1" t="str">
        <f t="shared" si="71"/>
        <v>Temperature is above critical threshold: &gt;{$TEMP_CRIT:"Device"}</v>
      </c>
    </row>
    <row r="1149" spans="1:11">
      <c r="A1149" s="1">
        <v>2370</v>
      </c>
      <c r="B1149" s="1" t="s">
        <v>9536</v>
      </c>
      <c r="C1149" s="1" t="s">
        <v>9108</v>
      </c>
      <c r="D1149" s="1" t="s">
        <v>3248</v>
      </c>
      <c r="E1149" s="1" t="s">
        <v>3259</v>
      </c>
      <c r="F1149" s="1" t="s">
        <v>2037</v>
      </c>
      <c r="G1149" s="1" t="s">
        <v>2038</v>
      </c>
      <c r="H1149" s="1" t="str">
        <f t="shared" si="68"/>
        <v>Device</v>
      </c>
      <c r="I1149" s="1" t="str">
        <f t="shared" si="69"/>
        <v>温度高于告警阈值: &gt;{$TEMP_WARN: "Device"}</v>
      </c>
      <c r="J1149" s="1" t="str">
        <f t="shared" si="70"/>
        <v>Device: 温度高于告警阈值: &gt;{$TEMP_WARN: "Device"}</v>
      </c>
      <c r="K1149" s="1" t="str">
        <f t="shared" si="71"/>
        <v>Temperature is above warning threshold: &gt;{$TEMP_WARN:"Device"}</v>
      </c>
    </row>
    <row r="1150" spans="1:11">
      <c r="A1150" s="1">
        <v>2371</v>
      </c>
      <c r="B1150" s="1" t="s">
        <v>9536</v>
      </c>
      <c r="C1150" s="1" t="s">
        <v>9110</v>
      </c>
      <c r="D1150" s="1" t="s">
        <v>3248</v>
      </c>
      <c r="E1150" s="1" t="s">
        <v>3261</v>
      </c>
      <c r="F1150" s="1" t="s">
        <v>2041</v>
      </c>
      <c r="G1150" s="1" t="s">
        <v>2042</v>
      </c>
      <c r="H1150" s="1" t="str">
        <f t="shared" si="68"/>
        <v>Device</v>
      </c>
      <c r="I1150" s="1" t="str">
        <f t="shared" si="69"/>
        <v>温度太低: &lt;{$TEMP_CRIT_LOW: "Device"}</v>
      </c>
      <c r="J1150" s="1" t="str">
        <f t="shared" si="70"/>
        <v>Device: 温度太低: &lt;{$TEMP_CRIT_LOW: "Device"}</v>
      </c>
      <c r="K1150" s="1" t="str">
        <f t="shared" si="71"/>
        <v>Temperature is too low: &lt;{$TEMP_CRIT_LOW:"Device"}</v>
      </c>
    </row>
    <row r="1151" spans="1:11">
      <c r="A1151" s="1">
        <v>2372</v>
      </c>
      <c r="B1151" s="1" t="s">
        <v>9536</v>
      </c>
      <c r="C1151" s="1" t="s">
        <v>9112</v>
      </c>
      <c r="D1151" s="1" t="s">
        <v>3248</v>
      </c>
      <c r="E1151" s="1" t="s">
        <v>3263</v>
      </c>
      <c r="F1151" s="1" t="s">
        <v>2045</v>
      </c>
      <c r="G1151" s="1" t="s">
        <v>2046</v>
      </c>
      <c r="H1151" s="1" t="str">
        <f t="shared" si="68"/>
        <v/>
      </c>
      <c r="I1151" s="1" t="str">
        <f t="shared" si="69"/>
        <v/>
      </c>
      <c r="J1151" s="1" t="str">
        <f t="shared" si="70"/>
        <v>Disk-{#SNMPINDEX}: 磁盘空间严重不足(已使用率&gt;{$VFS.FS.PUSED.MAX.CRIT: "Disk-{#SNMPINDEX}"}%)</v>
      </c>
      <c r="K1151" s="1" t="str">
        <f t="shared" si="71"/>
        <v/>
      </c>
    </row>
    <row r="1152" spans="1:11">
      <c r="A1152" s="1">
        <v>2373</v>
      </c>
      <c r="B1152" s="1" t="s">
        <v>9536</v>
      </c>
      <c r="C1152" s="1" t="s">
        <v>9114</v>
      </c>
      <c r="D1152" s="1" t="s">
        <v>3248</v>
      </c>
      <c r="E1152" s="1" t="s">
        <v>3265</v>
      </c>
      <c r="F1152" s="1" t="s">
        <v>2049</v>
      </c>
      <c r="G1152" s="1" t="s">
        <v>2050</v>
      </c>
      <c r="H1152" s="1" t="str">
        <f t="shared" si="68"/>
        <v/>
      </c>
      <c r="I1152" s="1" t="str">
        <f t="shared" si="69"/>
        <v/>
      </c>
      <c r="J1152" s="1" t="str">
        <f t="shared" si="70"/>
        <v>Disk-{#SNMPINDEX}: 磁盘空间不足(已使用率&gt;{$VFS.FS.PUSED.MAX.WARN: "Disk-{#SNMPINDEX}"}%)</v>
      </c>
      <c r="K1152" s="1" t="str">
        <f t="shared" si="71"/>
        <v/>
      </c>
    </row>
    <row r="1153" spans="1:11">
      <c r="A1153" s="1">
        <v>2375</v>
      </c>
      <c r="B1153" s="1" t="s">
        <v>9536</v>
      </c>
      <c r="C1153" s="1" t="s">
        <v>9117</v>
      </c>
      <c r="D1153" s="1" t="s">
        <v>3248</v>
      </c>
      <c r="E1153" s="1" t="s">
        <v>3267</v>
      </c>
      <c r="F1153" s="1" t="s">
        <v>161</v>
      </c>
      <c r="G1153" s="1" t="s">
        <v>162</v>
      </c>
      <c r="H1153" s="1" t="str">
        <f t="shared" si="68"/>
        <v/>
      </c>
      <c r="I1153" s="1" t="str">
        <f t="shared" si="69"/>
        <v/>
      </c>
      <c r="J1153" s="1" t="str">
        <f t="shared" si="70"/>
        <v>接口{#IFNAME}({#IFALIAS}): 带宽使用率太高(&gt;{$IF.UTIL.MAX: "{#IFNAME}"}%)</v>
      </c>
      <c r="K1153" s="1" t="str">
        <f t="shared" si="71"/>
        <v/>
      </c>
    </row>
    <row r="1154" spans="1:11">
      <c r="A1154" s="1">
        <v>2376</v>
      </c>
      <c r="B1154" s="1" t="s">
        <v>9536</v>
      </c>
      <c r="C1154" s="1" t="s">
        <v>9119</v>
      </c>
      <c r="D1154" s="1" t="s">
        <v>3248</v>
      </c>
      <c r="E1154" s="1" t="s">
        <v>3269</v>
      </c>
      <c r="F1154" s="1" t="s">
        <v>165</v>
      </c>
      <c r="G1154" s="1" t="s">
        <v>166</v>
      </c>
      <c r="H1154" s="1" t="str">
        <f t="shared" ref="H1154:H1217" si="72">IFERROR(IF(OR(MID(G1154,FIND(":",G1154)-1,1)="""",MID(G1154,FIND(":",G1154)-1,1)="}",MID(G1154,FIND(":",G1154)-1,1)=")",MID(G1154,FIND(":",G1154)-1,1)="]"),"",LEFT(F1154,FIND(":",F1154)-1)),"")</f>
        <v/>
      </c>
      <c r="I1154" s="1" t="str">
        <f t="shared" ref="I1154:I1217" si="73">IFERROR(IF(OR(MID(G1154,FIND(":",G1154)-1,1)="""",MID(G1154,FIND(":",G1154)-1,1)="}",MID(G1154,FIND(":",G1154)-1,1)=")",MID(G1154,FIND(":",G1154)-1,1)="]"),"",RIGHT(G1154,LEN(G1154)-FIND(":",G1154)-1)),"")</f>
        <v/>
      </c>
      <c r="J1154" s="1" t="str">
        <f t="shared" ref="J1154:J1217" si="74">IF(AND(I1154="",H1154=""),G1154,H1154&amp;": "&amp;I1154)</f>
        <v>接口{#IFNAME}({#IFALIAS}): 错误率太高(&gt;{$IF.ERRORS.WARN: "{#IFNAME}"}达5分钟)</v>
      </c>
      <c r="K1154" s="1" t="str">
        <f t="shared" ref="K1154:K1217" si="75">IFERROR(IF(OR(MID(F1154,FIND(":",F1154)-1,1)="""",MID(F1154,FIND(":",F1154)-1,1)="}",MID(F1154,FIND(":",F1154)-1,1)=")",MID(F1154,FIND(":",F1154)-1,1)="]"),"",RIGHT(F1154,LEN(F1154)-FIND(":",F1154)-1)),"")</f>
        <v/>
      </c>
    </row>
    <row r="1155" spans="1:11">
      <c r="A1155" s="1">
        <v>2378</v>
      </c>
      <c r="B1155" s="1" t="s">
        <v>9536</v>
      </c>
      <c r="C1155" s="1" t="s">
        <v>9121</v>
      </c>
      <c r="D1155" s="1" t="s">
        <v>3248</v>
      </c>
      <c r="E1155" s="1" t="s">
        <v>3271</v>
      </c>
      <c r="F1155" s="1" t="s">
        <v>2057</v>
      </c>
      <c r="G1155" s="1" t="s">
        <v>2058</v>
      </c>
      <c r="H1155" s="1" t="str">
        <f t="shared" si="72"/>
        <v/>
      </c>
      <c r="I1155" s="1" t="str">
        <f t="shared" si="73"/>
        <v/>
      </c>
      <c r="J1155" s="1" t="str">
        <f t="shared" si="74"/>
        <v>接口{#IFNAME}({#IFALIAS}): LTE调制解调器RSRP低(低于{$LTEMODEM.RSRP.MIN.WARN}dbm5分钟)</v>
      </c>
      <c r="K1155" s="1" t="str">
        <f t="shared" si="75"/>
        <v/>
      </c>
    </row>
    <row r="1156" spans="1:11">
      <c r="A1156" s="1">
        <v>2379</v>
      </c>
      <c r="B1156" s="1" t="s">
        <v>9536</v>
      </c>
      <c r="C1156" s="1" t="s">
        <v>9122</v>
      </c>
      <c r="D1156" s="1" t="s">
        <v>3248</v>
      </c>
      <c r="E1156" s="1" t="s">
        <v>3273</v>
      </c>
      <c r="F1156" s="1" t="s">
        <v>2061</v>
      </c>
      <c r="G1156" s="1" t="s">
        <v>2062</v>
      </c>
      <c r="H1156" s="1" t="str">
        <f t="shared" si="72"/>
        <v/>
      </c>
      <c r="I1156" s="1" t="str">
        <f t="shared" si="73"/>
        <v/>
      </c>
      <c r="J1156" s="1" t="str">
        <f t="shared" si="74"/>
        <v>接口{#IFNAME}({#IFALIAS}): LTE调制解调器RSRQ低(低于{$LTEMODEM.RSRQ.MIN.WARN}db5分钟)</v>
      </c>
      <c r="K1156" s="1" t="str">
        <f t="shared" si="75"/>
        <v/>
      </c>
    </row>
    <row r="1157" spans="1:11">
      <c r="A1157" s="1">
        <v>2380</v>
      </c>
      <c r="B1157" s="1" t="s">
        <v>9536</v>
      </c>
      <c r="C1157" s="1" t="s">
        <v>9123</v>
      </c>
      <c r="D1157" s="1" t="s">
        <v>3248</v>
      </c>
      <c r="E1157" s="1" t="s">
        <v>3275</v>
      </c>
      <c r="F1157" s="1" t="s">
        <v>2065</v>
      </c>
      <c r="G1157" s="1" t="s">
        <v>2058</v>
      </c>
      <c r="H1157" s="1" t="str">
        <f t="shared" si="72"/>
        <v/>
      </c>
      <c r="I1157" s="1" t="str">
        <f t="shared" si="73"/>
        <v/>
      </c>
      <c r="J1157" s="1" t="str">
        <f t="shared" si="74"/>
        <v>接口{#IFNAME}({#IFALIAS}): LTE调制解调器RSRP低(低于{$LTEMODEM.RSRP.MIN.WARN}dbm5分钟)</v>
      </c>
      <c r="K1157" s="1" t="str">
        <f t="shared" si="75"/>
        <v/>
      </c>
    </row>
    <row r="1158" spans="1:11">
      <c r="A1158" s="1">
        <v>2381</v>
      </c>
      <c r="B1158" s="1" t="s">
        <v>9536</v>
      </c>
      <c r="C1158" s="1" t="s">
        <v>9124</v>
      </c>
      <c r="D1158" s="1" t="s">
        <v>3248</v>
      </c>
      <c r="E1158" s="1" t="s">
        <v>3277</v>
      </c>
      <c r="F1158" s="1" t="s">
        <v>2068</v>
      </c>
      <c r="G1158" s="1" t="s">
        <v>2062</v>
      </c>
      <c r="H1158" s="1" t="str">
        <f t="shared" si="72"/>
        <v/>
      </c>
      <c r="I1158" s="1" t="str">
        <f t="shared" si="73"/>
        <v/>
      </c>
      <c r="J1158" s="1" t="str">
        <f t="shared" si="74"/>
        <v>接口{#IFNAME}({#IFALIAS}): LTE调制解调器RSRQ低(低于{$LTEMODEM.RSRQ.MIN.WARN}db5分钟)</v>
      </c>
      <c r="K1158" s="1" t="str">
        <f t="shared" si="75"/>
        <v/>
      </c>
    </row>
    <row r="1159" spans="1:11">
      <c r="A1159" s="1">
        <v>2383</v>
      </c>
      <c r="B1159" s="1" t="s">
        <v>9537</v>
      </c>
      <c r="C1159" s="1" t="s">
        <v>9098</v>
      </c>
      <c r="D1159" s="1" t="s">
        <v>3279</v>
      </c>
      <c r="E1159" s="1" t="s">
        <v>3280</v>
      </c>
      <c r="F1159" s="1" t="s">
        <v>541</v>
      </c>
      <c r="G1159" s="1" t="s">
        <v>542</v>
      </c>
      <c r="H1159" s="1" t="str">
        <f t="shared" si="72"/>
        <v/>
      </c>
      <c r="I1159" s="1" t="str">
        <f t="shared" si="73"/>
        <v/>
      </c>
      <c r="J1159" s="1" t="str">
        <f t="shared" si="74"/>
        <v>#{#SNMPINDEX}: CPU使用率高了(超过{$CPU.UTIL.CRIT}%达5分钟)</v>
      </c>
      <c r="K1159" s="1" t="str">
        <f t="shared" si="75"/>
        <v/>
      </c>
    </row>
    <row r="1160" spans="1:11">
      <c r="A1160" s="1">
        <v>2384</v>
      </c>
      <c r="B1160" s="1" t="s">
        <v>9537</v>
      </c>
      <c r="C1160" s="1" t="s">
        <v>9100</v>
      </c>
      <c r="D1160" s="1" t="s">
        <v>3279</v>
      </c>
      <c r="E1160" s="1" t="s">
        <v>3282</v>
      </c>
      <c r="F1160" s="1" t="s">
        <v>1557</v>
      </c>
      <c r="G1160" s="1" t="s">
        <v>1558</v>
      </c>
      <c r="H1160" s="1" t="str">
        <f t="shared" si="72"/>
        <v>CPU</v>
      </c>
      <c r="I1160" s="1" t="str">
        <f t="shared" si="73"/>
        <v>温度高于临界阈值: &gt;{$TEMP_CRIT: "CPU"}</v>
      </c>
      <c r="J1160" s="1" t="str">
        <f t="shared" si="74"/>
        <v>CPU: 温度高于临界阈值: &gt;{$TEMP_CRIT: "CPU"}</v>
      </c>
      <c r="K1160" s="1" t="str">
        <f t="shared" si="75"/>
        <v>Temperature is above critical threshold: &gt;{$TEMP_CRIT:"CPU"}</v>
      </c>
    </row>
    <row r="1161" spans="1:11">
      <c r="A1161" s="1">
        <v>2385</v>
      </c>
      <c r="B1161" s="1" t="s">
        <v>9537</v>
      </c>
      <c r="C1161" s="1" t="s">
        <v>9102</v>
      </c>
      <c r="D1161" s="1" t="s">
        <v>3279</v>
      </c>
      <c r="E1161" s="1" t="s">
        <v>3284</v>
      </c>
      <c r="F1161" s="1" t="s">
        <v>1553</v>
      </c>
      <c r="G1161" s="1" t="s">
        <v>1554</v>
      </c>
      <c r="H1161" s="1" t="str">
        <f t="shared" si="72"/>
        <v>CPU</v>
      </c>
      <c r="I1161" s="1" t="str">
        <f t="shared" si="73"/>
        <v>温度高于告警阈值: &gt;{$TEMP_WARN: "CPU"}</v>
      </c>
      <c r="J1161" s="1" t="str">
        <f t="shared" si="74"/>
        <v>CPU: 温度高于告警阈值: &gt;{$TEMP_WARN: "CPU"}</v>
      </c>
      <c r="K1161" s="1" t="str">
        <f t="shared" si="75"/>
        <v>Temperature is above warning threshold: &gt;{$TEMP_WARN:"CPU"}</v>
      </c>
    </row>
    <row r="1162" spans="1:11">
      <c r="A1162" s="1">
        <v>2386</v>
      </c>
      <c r="B1162" s="1" t="s">
        <v>9537</v>
      </c>
      <c r="C1162" s="1" t="s">
        <v>9104</v>
      </c>
      <c r="D1162" s="1" t="s">
        <v>3279</v>
      </c>
      <c r="E1162" s="1" t="s">
        <v>3286</v>
      </c>
      <c r="F1162" s="1" t="s">
        <v>1561</v>
      </c>
      <c r="G1162" s="1" t="s">
        <v>1562</v>
      </c>
      <c r="H1162" s="1" t="str">
        <f t="shared" si="72"/>
        <v>CPU</v>
      </c>
      <c r="I1162" s="1" t="str">
        <f t="shared" si="73"/>
        <v>温度太低: &lt;{$TEMP_CRIT_LOW: "CPU"}</v>
      </c>
      <c r="J1162" s="1" t="str">
        <f t="shared" si="74"/>
        <v>CPU: 温度太低: &lt;{$TEMP_CRIT_LOW: "CPU"}</v>
      </c>
      <c r="K1162" s="1" t="str">
        <f t="shared" si="75"/>
        <v>Temperature is too low: &lt;{$TEMP_CRIT_LOW:"CPU"}</v>
      </c>
    </row>
    <row r="1163" spans="1:11">
      <c r="A1163" s="1">
        <v>2387</v>
      </c>
      <c r="B1163" s="1" t="s">
        <v>9537</v>
      </c>
      <c r="C1163" s="1" t="s">
        <v>9106</v>
      </c>
      <c r="D1163" s="1" t="s">
        <v>3279</v>
      </c>
      <c r="E1163" s="1" t="s">
        <v>3288</v>
      </c>
      <c r="F1163" s="1" t="s">
        <v>2033</v>
      </c>
      <c r="G1163" s="1" t="s">
        <v>2034</v>
      </c>
      <c r="H1163" s="1" t="str">
        <f t="shared" si="72"/>
        <v>Device</v>
      </c>
      <c r="I1163" s="1" t="str">
        <f t="shared" si="73"/>
        <v>温度高于临界阈值: &gt;{$TEMP_CRIT: "Device"}</v>
      </c>
      <c r="J1163" s="1" t="str">
        <f t="shared" si="74"/>
        <v>Device: 温度高于临界阈值: &gt;{$TEMP_CRIT: "Device"}</v>
      </c>
      <c r="K1163" s="1" t="str">
        <f t="shared" si="75"/>
        <v>Temperature is above critical threshold: &gt;{$TEMP_CRIT:"Device"}</v>
      </c>
    </row>
    <row r="1164" spans="1:11">
      <c r="A1164" s="1">
        <v>2388</v>
      </c>
      <c r="B1164" s="1" t="s">
        <v>9537</v>
      </c>
      <c r="C1164" s="1" t="s">
        <v>9108</v>
      </c>
      <c r="D1164" s="1" t="s">
        <v>3279</v>
      </c>
      <c r="E1164" s="1" t="s">
        <v>3290</v>
      </c>
      <c r="F1164" s="1" t="s">
        <v>2037</v>
      </c>
      <c r="G1164" s="1" t="s">
        <v>2038</v>
      </c>
      <c r="H1164" s="1" t="str">
        <f t="shared" si="72"/>
        <v>Device</v>
      </c>
      <c r="I1164" s="1" t="str">
        <f t="shared" si="73"/>
        <v>温度高于告警阈值: &gt;{$TEMP_WARN: "Device"}</v>
      </c>
      <c r="J1164" s="1" t="str">
        <f t="shared" si="74"/>
        <v>Device: 温度高于告警阈值: &gt;{$TEMP_WARN: "Device"}</v>
      </c>
      <c r="K1164" s="1" t="str">
        <f t="shared" si="75"/>
        <v>Temperature is above warning threshold: &gt;{$TEMP_WARN:"Device"}</v>
      </c>
    </row>
    <row r="1165" spans="1:11">
      <c r="A1165" s="1">
        <v>2389</v>
      </c>
      <c r="B1165" s="1" t="s">
        <v>9537</v>
      </c>
      <c r="C1165" s="1" t="s">
        <v>9110</v>
      </c>
      <c r="D1165" s="1" t="s">
        <v>3279</v>
      </c>
      <c r="E1165" s="1" t="s">
        <v>3292</v>
      </c>
      <c r="F1165" s="1" t="s">
        <v>2041</v>
      </c>
      <c r="G1165" s="1" t="s">
        <v>2042</v>
      </c>
      <c r="H1165" s="1" t="str">
        <f t="shared" si="72"/>
        <v>Device</v>
      </c>
      <c r="I1165" s="1" t="str">
        <f t="shared" si="73"/>
        <v>温度太低: &lt;{$TEMP_CRIT_LOW: "Device"}</v>
      </c>
      <c r="J1165" s="1" t="str">
        <f t="shared" si="74"/>
        <v>Device: 温度太低: &lt;{$TEMP_CRIT_LOW: "Device"}</v>
      </c>
      <c r="K1165" s="1" t="str">
        <f t="shared" si="75"/>
        <v>Temperature is too low: &lt;{$TEMP_CRIT_LOW:"Device"}</v>
      </c>
    </row>
    <row r="1166" spans="1:11">
      <c r="A1166" s="1">
        <v>2390</v>
      </c>
      <c r="B1166" s="1" t="s">
        <v>9537</v>
      </c>
      <c r="C1166" s="1" t="s">
        <v>9112</v>
      </c>
      <c r="D1166" s="1" t="s">
        <v>3279</v>
      </c>
      <c r="E1166" s="1" t="s">
        <v>3294</v>
      </c>
      <c r="F1166" s="1" t="s">
        <v>2045</v>
      </c>
      <c r="G1166" s="1" t="s">
        <v>2046</v>
      </c>
      <c r="H1166" s="1" t="str">
        <f t="shared" si="72"/>
        <v/>
      </c>
      <c r="I1166" s="1" t="str">
        <f t="shared" si="73"/>
        <v/>
      </c>
      <c r="J1166" s="1" t="str">
        <f t="shared" si="74"/>
        <v>Disk-{#SNMPINDEX}: 磁盘空间严重不足(已使用率&gt;{$VFS.FS.PUSED.MAX.CRIT: "Disk-{#SNMPINDEX}"}%)</v>
      </c>
      <c r="K1166" s="1" t="str">
        <f t="shared" si="75"/>
        <v/>
      </c>
    </row>
    <row r="1167" spans="1:11">
      <c r="A1167" s="1">
        <v>2391</v>
      </c>
      <c r="B1167" s="1" t="s">
        <v>9537</v>
      </c>
      <c r="C1167" s="1" t="s">
        <v>9114</v>
      </c>
      <c r="D1167" s="1" t="s">
        <v>3279</v>
      </c>
      <c r="E1167" s="1" t="s">
        <v>3296</v>
      </c>
      <c r="F1167" s="1" t="s">
        <v>2049</v>
      </c>
      <c r="G1167" s="1" t="s">
        <v>2050</v>
      </c>
      <c r="H1167" s="1" t="str">
        <f t="shared" si="72"/>
        <v/>
      </c>
      <c r="I1167" s="1" t="str">
        <f t="shared" si="73"/>
        <v/>
      </c>
      <c r="J1167" s="1" t="str">
        <f t="shared" si="74"/>
        <v>Disk-{#SNMPINDEX}: 磁盘空间不足(已使用率&gt;{$VFS.FS.PUSED.MAX.WARN: "Disk-{#SNMPINDEX}"}%)</v>
      </c>
      <c r="K1167" s="1" t="str">
        <f t="shared" si="75"/>
        <v/>
      </c>
    </row>
    <row r="1168" spans="1:11">
      <c r="A1168" s="1">
        <v>2393</v>
      </c>
      <c r="B1168" s="1" t="s">
        <v>9537</v>
      </c>
      <c r="C1168" s="1" t="s">
        <v>9117</v>
      </c>
      <c r="D1168" s="1" t="s">
        <v>3279</v>
      </c>
      <c r="E1168" s="1" t="s">
        <v>3298</v>
      </c>
      <c r="F1168" s="1" t="s">
        <v>161</v>
      </c>
      <c r="G1168" s="1" t="s">
        <v>162</v>
      </c>
      <c r="H1168" s="1" t="str">
        <f t="shared" si="72"/>
        <v/>
      </c>
      <c r="I1168" s="1" t="str">
        <f t="shared" si="73"/>
        <v/>
      </c>
      <c r="J1168" s="1" t="str">
        <f t="shared" si="74"/>
        <v>接口{#IFNAME}({#IFALIAS}): 带宽使用率太高(&gt;{$IF.UTIL.MAX: "{#IFNAME}"}%)</v>
      </c>
      <c r="K1168" s="1" t="str">
        <f t="shared" si="75"/>
        <v/>
      </c>
    </row>
    <row r="1169" spans="1:11">
      <c r="A1169" s="1">
        <v>2394</v>
      </c>
      <c r="B1169" s="1" t="s">
        <v>9537</v>
      </c>
      <c r="C1169" s="1" t="s">
        <v>9119</v>
      </c>
      <c r="D1169" s="1" t="s">
        <v>3279</v>
      </c>
      <c r="E1169" s="1" t="s">
        <v>3300</v>
      </c>
      <c r="F1169" s="1" t="s">
        <v>165</v>
      </c>
      <c r="G1169" s="1" t="s">
        <v>166</v>
      </c>
      <c r="H1169" s="1" t="str">
        <f t="shared" si="72"/>
        <v/>
      </c>
      <c r="I1169" s="1" t="str">
        <f t="shared" si="73"/>
        <v/>
      </c>
      <c r="J1169" s="1" t="str">
        <f t="shared" si="74"/>
        <v>接口{#IFNAME}({#IFALIAS}): 错误率太高(&gt;{$IF.ERRORS.WARN: "{#IFNAME}"}达5分钟)</v>
      </c>
      <c r="K1169" s="1" t="str">
        <f t="shared" si="75"/>
        <v/>
      </c>
    </row>
    <row r="1170" spans="1:11">
      <c r="A1170" s="1">
        <v>2396</v>
      </c>
      <c r="B1170" s="1" t="s">
        <v>9537</v>
      </c>
      <c r="C1170" s="1" t="s">
        <v>9121</v>
      </c>
      <c r="D1170" s="1" t="s">
        <v>3279</v>
      </c>
      <c r="E1170" s="1" t="s">
        <v>3302</v>
      </c>
      <c r="F1170" s="1" t="s">
        <v>2057</v>
      </c>
      <c r="G1170" s="1" t="s">
        <v>2058</v>
      </c>
      <c r="H1170" s="1" t="str">
        <f t="shared" si="72"/>
        <v/>
      </c>
      <c r="I1170" s="1" t="str">
        <f t="shared" si="73"/>
        <v/>
      </c>
      <c r="J1170" s="1" t="str">
        <f t="shared" si="74"/>
        <v>接口{#IFNAME}({#IFALIAS}): LTE调制解调器RSRP低(低于{$LTEMODEM.RSRP.MIN.WARN}dbm5分钟)</v>
      </c>
      <c r="K1170" s="1" t="str">
        <f t="shared" si="75"/>
        <v/>
      </c>
    </row>
    <row r="1171" spans="1:11">
      <c r="A1171" s="1">
        <v>2397</v>
      </c>
      <c r="B1171" s="1" t="s">
        <v>9537</v>
      </c>
      <c r="C1171" s="1" t="s">
        <v>9122</v>
      </c>
      <c r="D1171" s="1" t="s">
        <v>3279</v>
      </c>
      <c r="E1171" s="1" t="s">
        <v>3304</v>
      </c>
      <c r="F1171" s="1" t="s">
        <v>2061</v>
      </c>
      <c r="G1171" s="1" t="s">
        <v>2062</v>
      </c>
      <c r="H1171" s="1" t="str">
        <f t="shared" si="72"/>
        <v/>
      </c>
      <c r="I1171" s="1" t="str">
        <f t="shared" si="73"/>
        <v/>
      </c>
      <c r="J1171" s="1" t="str">
        <f t="shared" si="74"/>
        <v>接口{#IFNAME}({#IFALIAS}): LTE调制解调器RSRQ低(低于{$LTEMODEM.RSRQ.MIN.WARN}db5分钟)</v>
      </c>
      <c r="K1171" s="1" t="str">
        <f t="shared" si="75"/>
        <v/>
      </c>
    </row>
    <row r="1172" spans="1:11">
      <c r="A1172" s="1">
        <v>2398</v>
      </c>
      <c r="B1172" s="1" t="s">
        <v>9537</v>
      </c>
      <c r="C1172" s="1" t="s">
        <v>9123</v>
      </c>
      <c r="D1172" s="1" t="s">
        <v>3279</v>
      </c>
      <c r="E1172" s="1" t="s">
        <v>3306</v>
      </c>
      <c r="F1172" s="1" t="s">
        <v>2065</v>
      </c>
      <c r="G1172" s="1" t="s">
        <v>2058</v>
      </c>
      <c r="H1172" s="1" t="str">
        <f t="shared" si="72"/>
        <v/>
      </c>
      <c r="I1172" s="1" t="str">
        <f t="shared" si="73"/>
        <v/>
      </c>
      <c r="J1172" s="1" t="str">
        <f t="shared" si="74"/>
        <v>接口{#IFNAME}({#IFALIAS}): LTE调制解调器RSRP低(低于{$LTEMODEM.RSRP.MIN.WARN}dbm5分钟)</v>
      </c>
      <c r="K1172" s="1" t="str">
        <f t="shared" si="75"/>
        <v/>
      </c>
    </row>
    <row r="1173" spans="1:11">
      <c r="A1173" s="1">
        <v>2399</v>
      </c>
      <c r="B1173" s="1" t="s">
        <v>9537</v>
      </c>
      <c r="C1173" s="1" t="s">
        <v>9124</v>
      </c>
      <c r="D1173" s="1" t="s">
        <v>3279</v>
      </c>
      <c r="E1173" s="1" t="s">
        <v>3308</v>
      </c>
      <c r="F1173" s="1" t="s">
        <v>2068</v>
      </c>
      <c r="G1173" s="1" t="s">
        <v>2062</v>
      </c>
      <c r="H1173" s="1" t="str">
        <f t="shared" si="72"/>
        <v/>
      </c>
      <c r="I1173" s="1" t="str">
        <f t="shared" si="73"/>
        <v/>
      </c>
      <c r="J1173" s="1" t="str">
        <f t="shared" si="74"/>
        <v>接口{#IFNAME}({#IFALIAS}): LTE调制解调器RSRQ低(低于{$LTEMODEM.RSRQ.MIN.WARN}db5分钟)</v>
      </c>
      <c r="K1173" s="1" t="str">
        <f t="shared" si="75"/>
        <v/>
      </c>
    </row>
    <row r="1174" spans="1:11">
      <c r="A1174" s="1">
        <v>2401</v>
      </c>
      <c r="B1174" s="1" t="s">
        <v>9538</v>
      </c>
      <c r="C1174" s="1" t="s">
        <v>9098</v>
      </c>
      <c r="D1174" s="1" t="s">
        <v>3310</v>
      </c>
      <c r="E1174" s="1" t="s">
        <v>3311</v>
      </c>
      <c r="F1174" s="1" t="s">
        <v>541</v>
      </c>
      <c r="G1174" s="1" t="s">
        <v>542</v>
      </c>
      <c r="H1174" s="1" t="str">
        <f t="shared" si="72"/>
        <v/>
      </c>
      <c r="I1174" s="1" t="str">
        <f t="shared" si="73"/>
        <v/>
      </c>
      <c r="J1174" s="1" t="str">
        <f t="shared" si="74"/>
        <v>#{#SNMPINDEX}: CPU使用率高了(超过{$CPU.UTIL.CRIT}%达5分钟)</v>
      </c>
      <c r="K1174" s="1" t="str">
        <f t="shared" si="75"/>
        <v/>
      </c>
    </row>
    <row r="1175" spans="1:11">
      <c r="A1175" s="1">
        <v>2402</v>
      </c>
      <c r="B1175" s="1" t="s">
        <v>9538</v>
      </c>
      <c r="C1175" s="1" t="s">
        <v>9100</v>
      </c>
      <c r="D1175" s="1" t="s">
        <v>3310</v>
      </c>
      <c r="E1175" s="1" t="s">
        <v>3313</v>
      </c>
      <c r="F1175" s="1" t="s">
        <v>1557</v>
      </c>
      <c r="G1175" s="1" t="s">
        <v>1558</v>
      </c>
      <c r="H1175" s="1" t="str">
        <f t="shared" si="72"/>
        <v>CPU</v>
      </c>
      <c r="I1175" s="1" t="str">
        <f t="shared" si="73"/>
        <v>温度高于临界阈值: &gt;{$TEMP_CRIT: "CPU"}</v>
      </c>
      <c r="J1175" s="1" t="str">
        <f t="shared" si="74"/>
        <v>CPU: 温度高于临界阈值: &gt;{$TEMP_CRIT: "CPU"}</v>
      </c>
      <c r="K1175" s="1" t="str">
        <f t="shared" si="75"/>
        <v>Temperature is above critical threshold: &gt;{$TEMP_CRIT:"CPU"}</v>
      </c>
    </row>
    <row r="1176" spans="1:11">
      <c r="A1176" s="1">
        <v>2403</v>
      </c>
      <c r="B1176" s="1" t="s">
        <v>9538</v>
      </c>
      <c r="C1176" s="1" t="s">
        <v>9102</v>
      </c>
      <c r="D1176" s="1" t="s">
        <v>3310</v>
      </c>
      <c r="E1176" s="1" t="s">
        <v>3315</v>
      </c>
      <c r="F1176" s="1" t="s">
        <v>1553</v>
      </c>
      <c r="G1176" s="1" t="s">
        <v>1554</v>
      </c>
      <c r="H1176" s="1" t="str">
        <f t="shared" si="72"/>
        <v>CPU</v>
      </c>
      <c r="I1176" s="1" t="str">
        <f t="shared" si="73"/>
        <v>温度高于告警阈值: &gt;{$TEMP_WARN: "CPU"}</v>
      </c>
      <c r="J1176" s="1" t="str">
        <f t="shared" si="74"/>
        <v>CPU: 温度高于告警阈值: &gt;{$TEMP_WARN: "CPU"}</v>
      </c>
      <c r="K1176" s="1" t="str">
        <f t="shared" si="75"/>
        <v>Temperature is above warning threshold: &gt;{$TEMP_WARN:"CPU"}</v>
      </c>
    </row>
    <row r="1177" spans="1:11">
      <c r="A1177" s="1">
        <v>2404</v>
      </c>
      <c r="B1177" s="1" t="s">
        <v>9538</v>
      </c>
      <c r="C1177" s="1" t="s">
        <v>9104</v>
      </c>
      <c r="D1177" s="1" t="s">
        <v>3310</v>
      </c>
      <c r="E1177" s="1" t="s">
        <v>3317</v>
      </c>
      <c r="F1177" s="1" t="s">
        <v>1561</v>
      </c>
      <c r="G1177" s="1" t="s">
        <v>1562</v>
      </c>
      <c r="H1177" s="1" t="str">
        <f t="shared" si="72"/>
        <v>CPU</v>
      </c>
      <c r="I1177" s="1" t="str">
        <f t="shared" si="73"/>
        <v>温度太低: &lt;{$TEMP_CRIT_LOW: "CPU"}</v>
      </c>
      <c r="J1177" s="1" t="str">
        <f t="shared" si="74"/>
        <v>CPU: 温度太低: &lt;{$TEMP_CRIT_LOW: "CPU"}</v>
      </c>
      <c r="K1177" s="1" t="str">
        <f t="shared" si="75"/>
        <v>Temperature is too low: &lt;{$TEMP_CRIT_LOW:"CPU"}</v>
      </c>
    </row>
    <row r="1178" spans="1:11">
      <c r="A1178" s="1">
        <v>2405</v>
      </c>
      <c r="B1178" s="1" t="s">
        <v>9538</v>
      </c>
      <c r="C1178" s="1" t="s">
        <v>9106</v>
      </c>
      <c r="D1178" s="1" t="s">
        <v>3310</v>
      </c>
      <c r="E1178" s="1" t="s">
        <v>3319</v>
      </c>
      <c r="F1178" s="1" t="s">
        <v>2033</v>
      </c>
      <c r="G1178" s="1" t="s">
        <v>2034</v>
      </c>
      <c r="H1178" s="1" t="str">
        <f t="shared" si="72"/>
        <v>Device</v>
      </c>
      <c r="I1178" s="1" t="str">
        <f t="shared" si="73"/>
        <v>温度高于临界阈值: &gt;{$TEMP_CRIT: "Device"}</v>
      </c>
      <c r="J1178" s="1" t="str">
        <f t="shared" si="74"/>
        <v>Device: 温度高于临界阈值: &gt;{$TEMP_CRIT: "Device"}</v>
      </c>
      <c r="K1178" s="1" t="str">
        <f t="shared" si="75"/>
        <v>Temperature is above critical threshold: &gt;{$TEMP_CRIT:"Device"}</v>
      </c>
    </row>
    <row r="1179" spans="1:11">
      <c r="A1179" s="1">
        <v>2406</v>
      </c>
      <c r="B1179" s="1" t="s">
        <v>9538</v>
      </c>
      <c r="C1179" s="1" t="s">
        <v>9108</v>
      </c>
      <c r="D1179" s="1" t="s">
        <v>3310</v>
      </c>
      <c r="E1179" s="1" t="s">
        <v>3321</v>
      </c>
      <c r="F1179" s="1" t="s">
        <v>2037</v>
      </c>
      <c r="G1179" s="1" t="s">
        <v>2038</v>
      </c>
      <c r="H1179" s="1" t="str">
        <f t="shared" si="72"/>
        <v>Device</v>
      </c>
      <c r="I1179" s="1" t="str">
        <f t="shared" si="73"/>
        <v>温度高于告警阈值: &gt;{$TEMP_WARN: "Device"}</v>
      </c>
      <c r="J1179" s="1" t="str">
        <f t="shared" si="74"/>
        <v>Device: 温度高于告警阈值: &gt;{$TEMP_WARN: "Device"}</v>
      </c>
      <c r="K1179" s="1" t="str">
        <f t="shared" si="75"/>
        <v>Temperature is above warning threshold: &gt;{$TEMP_WARN:"Device"}</v>
      </c>
    </row>
    <row r="1180" spans="1:11">
      <c r="A1180" s="1">
        <v>2407</v>
      </c>
      <c r="B1180" s="1" t="s">
        <v>9538</v>
      </c>
      <c r="C1180" s="1" t="s">
        <v>9110</v>
      </c>
      <c r="D1180" s="1" t="s">
        <v>3310</v>
      </c>
      <c r="E1180" s="1" t="s">
        <v>3323</v>
      </c>
      <c r="F1180" s="1" t="s">
        <v>2041</v>
      </c>
      <c r="G1180" s="1" t="s">
        <v>2042</v>
      </c>
      <c r="H1180" s="1" t="str">
        <f t="shared" si="72"/>
        <v>Device</v>
      </c>
      <c r="I1180" s="1" t="str">
        <f t="shared" si="73"/>
        <v>温度太低: &lt;{$TEMP_CRIT_LOW: "Device"}</v>
      </c>
      <c r="J1180" s="1" t="str">
        <f t="shared" si="74"/>
        <v>Device: 温度太低: &lt;{$TEMP_CRIT_LOW: "Device"}</v>
      </c>
      <c r="K1180" s="1" t="str">
        <f t="shared" si="75"/>
        <v>Temperature is too low: &lt;{$TEMP_CRIT_LOW:"Device"}</v>
      </c>
    </row>
    <row r="1181" spans="1:11">
      <c r="A1181" s="1">
        <v>2408</v>
      </c>
      <c r="B1181" s="1" t="s">
        <v>9538</v>
      </c>
      <c r="C1181" s="1" t="s">
        <v>9112</v>
      </c>
      <c r="D1181" s="1" t="s">
        <v>3310</v>
      </c>
      <c r="E1181" s="1" t="s">
        <v>3325</v>
      </c>
      <c r="F1181" s="1" t="s">
        <v>2045</v>
      </c>
      <c r="G1181" s="1" t="s">
        <v>2046</v>
      </c>
      <c r="H1181" s="1" t="str">
        <f t="shared" si="72"/>
        <v/>
      </c>
      <c r="I1181" s="1" t="str">
        <f t="shared" si="73"/>
        <v/>
      </c>
      <c r="J1181" s="1" t="str">
        <f t="shared" si="74"/>
        <v>Disk-{#SNMPINDEX}: 磁盘空间严重不足(已使用率&gt;{$VFS.FS.PUSED.MAX.CRIT: "Disk-{#SNMPINDEX}"}%)</v>
      </c>
      <c r="K1181" s="1" t="str">
        <f t="shared" si="75"/>
        <v/>
      </c>
    </row>
    <row r="1182" spans="1:11">
      <c r="A1182" s="1">
        <v>2409</v>
      </c>
      <c r="B1182" s="1" t="s">
        <v>9538</v>
      </c>
      <c r="C1182" s="1" t="s">
        <v>9114</v>
      </c>
      <c r="D1182" s="1" t="s">
        <v>3310</v>
      </c>
      <c r="E1182" s="1" t="s">
        <v>3327</v>
      </c>
      <c r="F1182" s="1" t="s">
        <v>2049</v>
      </c>
      <c r="G1182" s="1" t="s">
        <v>2050</v>
      </c>
      <c r="H1182" s="1" t="str">
        <f t="shared" si="72"/>
        <v/>
      </c>
      <c r="I1182" s="1" t="str">
        <f t="shared" si="73"/>
        <v/>
      </c>
      <c r="J1182" s="1" t="str">
        <f t="shared" si="74"/>
        <v>Disk-{#SNMPINDEX}: 磁盘空间不足(已使用率&gt;{$VFS.FS.PUSED.MAX.WARN: "Disk-{#SNMPINDEX}"}%)</v>
      </c>
      <c r="K1182" s="1" t="str">
        <f t="shared" si="75"/>
        <v/>
      </c>
    </row>
    <row r="1183" spans="1:11">
      <c r="A1183" s="1">
        <v>2411</v>
      </c>
      <c r="B1183" s="1" t="s">
        <v>9538</v>
      </c>
      <c r="C1183" s="1" t="s">
        <v>9117</v>
      </c>
      <c r="D1183" s="1" t="s">
        <v>3310</v>
      </c>
      <c r="E1183" s="1" t="s">
        <v>3329</v>
      </c>
      <c r="F1183" s="1" t="s">
        <v>161</v>
      </c>
      <c r="G1183" s="1" t="s">
        <v>162</v>
      </c>
      <c r="H1183" s="1" t="str">
        <f t="shared" si="72"/>
        <v/>
      </c>
      <c r="I1183" s="1" t="str">
        <f t="shared" si="73"/>
        <v/>
      </c>
      <c r="J1183" s="1" t="str">
        <f t="shared" si="74"/>
        <v>接口{#IFNAME}({#IFALIAS}): 带宽使用率太高(&gt;{$IF.UTIL.MAX: "{#IFNAME}"}%)</v>
      </c>
      <c r="K1183" s="1" t="str">
        <f t="shared" si="75"/>
        <v/>
      </c>
    </row>
    <row r="1184" spans="1:11">
      <c r="A1184" s="1">
        <v>2412</v>
      </c>
      <c r="B1184" s="1" t="s">
        <v>9538</v>
      </c>
      <c r="C1184" s="1" t="s">
        <v>9119</v>
      </c>
      <c r="D1184" s="1" t="s">
        <v>3310</v>
      </c>
      <c r="E1184" s="1" t="s">
        <v>3331</v>
      </c>
      <c r="F1184" s="1" t="s">
        <v>165</v>
      </c>
      <c r="G1184" s="1" t="s">
        <v>166</v>
      </c>
      <c r="H1184" s="1" t="str">
        <f t="shared" si="72"/>
        <v/>
      </c>
      <c r="I1184" s="1" t="str">
        <f t="shared" si="73"/>
        <v/>
      </c>
      <c r="J1184" s="1" t="str">
        <f t="shared" si="74"/>
        <v>接口{#IFNAME}({#IFALIAS}): 错误率太高(&gt;{$IF.ERRORS.WARN: "{#IFNAME}"}达5分钟)</v>
      </c>
      <c r="K1184" s="1" t="str">
        <f t="shared" si="75"/>
        <v/>
      </c>
    </row>
    <row r="1185" spans="1:11">
      <c r="A1185" s="1">
        <v>2414</v>
      </c>
      <c r="B1185" s="1" t="s">
        <v>9538</v>
      </c>
      <c r="C1185" s="1" t="s">
        <v>9121</v>
      </c>
      <c r="D1185" s="1" t="s">
        <v>3310</v>
      </c>
      <c r="E1185" s="1" t="s">
        <v>3333</v>
      </c>
      <c r="F1185" s="1" t="s">
        <v>2057</v>
      </c>
      <c r="G1185" s="1" t="s">
        <v>2058</v>
      </c>
      <c r="H1185" s="1" t="str">
        <f t="shared" si="72"/>
        <v/>
      </c>
      <c r="I1185" s="1" t="str">
        <f t="shared" si="73"/>
        <v/>
      </c>
      <c r="J1185" s="1" t="str">
        <f t="shared" si="74"/>
        <v>接口{#IFNAME}({#IFALIAS}): LTE调制解调器RSRP低(低于{$LTEMODEM.RSRP.MIN.WARN}dbm5分钟)</v>
      </c>
      <c r="K1185" s="1" t="str">
        <f t="shared" si="75"/>
        <v/>
      </c>
    </row>
    <row r="1186" spans="1:11">
      <c r="A1186" s="1">
        <v>2415</v>
      </c>
      <c r="B1186" s="1" t="s">
        <v>9538</v>
      </c>
      <c r="C1186" s="1" t="s">
        <v>9122</v>
      </c>
      <c r="D1186" s="1" t="s">
        <v>3310</v>
      </c>
      <c r="E1186" s="1" t="s">
        <v>3335</v>
      </c>
      <c r="F1186" s="1" t="s">
        <v>2061</v>
      </c>
      <c r="G1186" s="1" t="s">
        <v>2062</v>
      </c>
      <c r="H1186" s="1" t="str">
        <f t="shared" si="72"/>
        <v/>
      </c>
      <c r="I1186" s="1" t="str">
        <f t="shared" si="73"/>
        <v/>
      </c>
      <c r="J1186" s="1" t="str">
        <f t="shared" si="74"/>
        <v>接口{#IFNAME}({#IFALIAS}): LTE调制解调器RSRQ低(低于{$LTEMODEM.RSRQ.MIN.WARN}db5分钟)</v>
      </c>
      <c r="K1186" s="1" t="str">
        <f t="shared" si="75"/>
        <v/>
      </c>
    </row>
    <row r="1187" spans="1:11">
      <c r="A1187" s="1">
        <v>2416</v>
      </c>
      <c r="B1187" s="1" t="s">
        <v>9538</v>
      </c>
      <c r="C1187" s="1" t="s">
        <v>9123</v>
      </c>
      <c r="D1187" s="1" t="s">
        <v>3310</v>
      </c>
      <c r="E1187" s="1" t="s">
        <v>3337</v>
      </c>
      <c r="F1187" s="1" t="s">
        <v>2065</v>
      </c>
      <c r="G1187" s="1" t="s">
        <v>2058</v>
      </c>
      <c r="H1187" s="1" t="str">
        <f t="shared" si="72"/>
        <v/>
      </c>
      <c r="I1187" s="1" t="str">
        <f t="shared" si="73"/>
        <v/>
      </c>
      <c r="J1187" s="1" t="str">
        <f t="shared" si="74"/>
        <v>接口{#IFNAME}({#IFALIAS}): LTE调制解调器RSRP低(低于{$LTEMODEM.RSRP.MIN.WARN}dbm5分钟)</v>
      </c>
      <c r="K1187" s="1" t="str">
        <f t="shared" si="75"/>
        <v/>
      </c>
    </row>
    <row r="1188" spans="1:11">
      <c r="A1188" s="1">
        <v>2417</v>
      </c>
      <c r="B1188" s="1" t="s">
        <v>9538</v>
      </c>
      <c r="C1188" s="1" t="s">
        <v>9124</v>
      </c>
      <c r="D1188" s="1" t="s">
        <v>3310</v>
      </c>
      <c r="E1188" s="1" t="s">
        <v>3339</v>
      </c>
      <c r="F1188" s="1" t="s">
        <v>2068</v>
      </c>
      <c r="G1188" s="1" t="s">
        <v>2062</v>
      </c>
      <c r="H1188" s="1" t="str">
        <f t="shared" si="72"/>
        <v/>
      </c>
      <c r="I1188" s="1" t="str">
        <f t="shared" si="73"/>
        <v/>
      </c>
      <c r="J1188" s="1" t="str">
        <f t="shared" si="74"/>
        <v>接口{#IFNAME}({#IFALIAS}): LTE调制解调器RSRQ低(低于{$LTEMODEM.RSRQ.MIN.WARN}db5分钟)</v>
      </c>
      <c r="K1188" s="1" t="str">
        <f t="shared" si="75"/>
        <v/>
      </c>
    </row>
    <row r="1189" spans="1:11">
      <c r="A1189" s="1">
        <v>2419</v>
      </c>
      <c r="B1189" s="1" t="s">
        <v>9539</v>
      </c>
      <c r="C1189" s="1" t="s">
        <v>9098</v>
      </c>
      <c r="D1189" s="1" t="s">
        <v>3341</v>
      </c>
      <c r="E1189" s="1" t="s">
        <v>3342</v>
      </c>
      <c r="F1189" s="1" t="s">
        <v>541</v>
      </c>
      <c r="G1189" s="1" t="s">
        <v>542</v>
      </c>
      <c r="H1189" s="1" t="str">
        <f t="shared" si="72"/>
        <v/>
      </c>
      <c r="I1189" s="1" t="str">
        <f t="shared" si="73"/>
        <v/>
      </c>
      <c r="J1189" s="1" t="str">
        <f t="shared" si="74"/>
        <v>#{#SNMPINDEX}: CPU使用率高了(超过{$CPU.UTIL.CRIT}%达5分钟)</v>
      </c>
      <c r="K1189" s="1" t="str">
        <f t="shared" si="75"/>
        <v/>
      </c>
    </row>
    <row r="1190" spans="1:11">
      <c r="A1190" s="1">
        <v>2420</v>
      </c>
      <c r="B1190" s="1" t="s">
        <v>9539</v>
      </c>
      <c r="C1190" s="1" t="s">
        <v>9100</v>
      </c>
      <c r="D1190" s="1" t="s">
        <v>3341</v>
      </c>
      <c r="E1190" s="1" t="s">
        <v>3344</v>
      </c>
      <c r="F1190" s="1" t="s">
        <v>1557</v>
      </c>
      <c r="G1190" s="1" t="s">
        <v>1558</v>
      </c>
      <c r="H1190" s="1" t="str">
        <f t="shared" si="72"/>
        <v>CPU</v>
      </c>
      <c r="I1190" s="1" t="str">
        <f t="shared" si="73"/>
        <v>温度高于临界阈值: &gt;{$TEMP_CRIT: "CPU"}</v>
      </c>
      <c r="J1190" s="1" t="str">
        <f t="shared" si="74"/>
        <v>CPU: 温度高于临界阈值: &gt;{$TEMP_CRIT: "CPU"}</v>
      </c>
      <c r="K1190" s="1" t="str">
        <f t="shared" si="75"/>
        <v>Temperature is above critical threshold: &gt;{$TEMP_CRIT:"CPU"}</v>
      </c>
    </row>
    <row r="1191" spans="1:11">
      <c r="A1191" s="1">
        <v>2421</v>
      </c>
      <c r="B1191" s="1" t="s">
        <v>9539</v>
      </c>
      <c r="C1191" s="1" t="s">
        <v>9102</v>
      </c>
      <c r="D1191" s="1" t="s">
        <v>3341</v>
      </c>
      <c r="E1191" s="1" t="s">
        <v>3346</v>
      </c>
      <c r="F1191" s="1" t="s">
        <v>1553</v>
      </c>
      <c r="G1191" s="1" t="s">
        <v>1554</v>
      </c>
      <c r="H1191" s="1" t="str">
        <f t="shared" si="72"/>
        <v>CPU</v>
      </c>
      <c r="I1191" s="1" t="str">
        <f t="shared" si="73"/>
        <v>温度高于告警阈值: &gt;{$TEMP_WARN: "CPU"}</v>
      </c>
      <c r="J1191" s="1" t="str">
        <f t="shared" si="74"/>
        <v>CPU: 温度高于告警阈值: &gt;{$TEMP_WARN: "CPU"}</v>
      </c>
      <c r="K1191" s="1" t="str">
        <f t="shared" si="75"/>
        <v>Temperature is above warning threshold: &gt;{$TEMP_WARN:"CPU"}</v>
      </c>
    </row>
    <row r="1192" spans="1:11">
      <c r="A1192" s="1">
        <v>2422</v>
      </c>
      <c r="B1192" s="1" t="s">
        <v>9539</v>
      </c>
      <c r="C1192" s="1" t="s">
        <v>9104</v>
      </c>
      <c r="D1192" s="1" t="s">
        <v>3341</v>
      </c>
      <c r="E1192" s="1" t="s">
        <v>3348</v>
      </c>
      <c r="F1192" s="1" t="s">
        <v>1561</v>
      </c>
      <c r="G1192" s="1" t="s">
        <v>1562</v>
      </c>
      <c r="H1192" s="1" t="str">
        <f t="shared" si="72"/>
        <v>CPU</v>
      </c>
      <c r="I1192" s="1" t="str">
        <f t="shared" si="73"/>
        <v>温度太低: &lt;{$TEMP_CRIT_LOW: "CPU"}</v>
      </c>
      <c r="J1192" s="1" t="str">
        <f t="shared" si="74"/>
        <v>CPU: 温度太低: &lt;{$TEMP_CRIT_LOW: "CPU"}</v>
      </c>
      <c r="K1192" s="1" t="str">
        <f t="shared" si="75"/>
        <v>Temperature is too low: &lt;{$TEMP_CRIT_LOW:"CPU"}</v>
      </c>
    </row>
    <row r="1193" spans="1:11">
      <c r="A1193" s="1">
        <v>2423</v>
      </c>
      <c r="B1193" s="1" t="s">
        <v>9539</v>
      </c>
      <c r="C1193" s="1" t="s">
        <v>9106</v>
      </c>
      <c r="D1193" s="1" t="s">
        <v>3341</v>
      </c>
      <c r="E1193" s="1" t="s">
        <v>3350</v>
      </c>
      <c r="F1193" s="1" t="s">
        <v>2033</v>
      </c>
      <c r="G1193" s="1" t="s">
        <v>2034</v>
      </c>
      <c r="H1193" s="1" t="str">
        <f t="shared" si="72"/>
        <v>Device</v>
      </c>
      <c r="I1193" s="1" t="str">
        <f t="shared" si="73"/>
        <v>温度高于临界阈值: &gt;{$TEMP_CRIT: "Device"}</v>
      </c>
      <c r="J1193" s="1" t="str">
        <f t="shared" si="74"/>
        <v>Device: 温度高于临界阈值: &gt;{$TEMP_CRIT: "Device"}</v>
      </c>
      <c r="K1193" s="1" t="str">
        <f t="shared" si="75"/>
        <v>Temperature is above critical threshold: &gt;{$TEMP_CRIT:"Device"}</v>
      </c>
    </row>
    <row r="1194" spans="1:11">
      <c r="A1194" s="1">
        <v>2424</v>
      </c>
      <c r="B1194" s="1" t="s">
        <v>9539</v>
      </c>
      <c r="C1194" s="1" t="s">
        <v>9108</v>
      </c>
      <c r="D1194" s="1" t="s">
        <v>3341</v>
      </c>
      <c r="E1194" s="1" t="s">
        <v>3352</v>
      </c>
      <c r="F1194" s="1" t="s">
        <v>2037</v>
      </c>
      <c r="G1194" s="1" t="s">
        <v>2038</v>
      </c>
      <c r="H1194" s="1" t="str">
        <f t="shared" si="72"/>
        <v>Device</v>
      </c>
      <c r="I1194" s="1" t="str">
        <f t="shared" si="73"/>
        <v>温度高于告警阈值: &gt;{$TEMP_WARN: "Device"}</v>
      </c>
      <c r="J1194" s="1" t="str">
        <f t="shared" si="74"/>
        <v>Device: 温度高于告警阈值: &gt;{$TEMP_WARN: "Device"}</v>
      </c>
      <c r="K1194" s="1" t="str">
        <f t="shared" si="75"/>
        <v>Temperature is above warning threshold: &gt;{$TEMP_WARN:"Device"}</v>
      </c>
    </row>
    <row r="1195" spans="1:11">
      <c r="A1195" s="1">
        <v>2425</v>
      </c>
      <c r="B1195" s="1" t="s">
        <v>9539</v>
      </c>
      <c r="C1195" s="1" t="s">
        <v>9110</v>
      </c>
      <c r="D1195" s="1" t="s">
        <v>3341</v>
      </c>
      <c r="E1195" s="1" t="s">
        <v>3354</v>
      </c>
      <c r="F1195" s="1" t="s">
        <v>2041</v>
      </c>
      <c r="G1195" s="1" t="s">
        <v>2042</v>
      </c>
      <c r="H1195" s="1" t="str">
        <f t="shared" si="72"/>
        <v>Device</v>
      </c>
      <c r="I1195" s="1" t="str">
        <f t="shared" si="73"/>
        <v>温度太低: &lt;{$TEMP_CRIT_LOW: "Device"}</v>
      </c>
      <c r="J1195" s="1" t="str">
        <f t="shared" si="74"/>
        <v>Device: 温度太低: &lt;{$TEMP_CRIT_LOW: "Device"}</v>
      </c>
      <c r="K1195" s="1" t="str">
        <f t="shared" si="75"/>
        <v>Temperature is too low: &lt;{$TEMP_CRIT_LOW:"Device"}</v>
      </c>
    </row>
    <row r="1196" spans="1:11">
      <c r="A1196" s="1">
        <v>2426</v>
      </c>
      <c r="B1196" s="1" t="s">
        <v>9539</v>
      </c>
      <c r="C1196" s="1" t="s">
        <v>9112</v>
      </c>
      <c r="D1196" s="1" t="s">
        <v>3341</v>
      </c>
      <c r="E1196" s="1" t="s">
        <v>3356</v>
      </c>
      <c r="F1196" s="1" t="s">
        <v>2045</v>
      </c>
      <c r="G1196" s="1" t="s">
        <v>2046</v>
      </c>
      <c r="H1196" s="1" t="str">
        <f t="shared" si="72"/>
        <v/>
      </c>
      <c r="I1196" s="1" t="str">
        <f t="shared" si="73"/>
        <v/>
      </c>
      <c r="J1196" s="1" t="str">
        <f t="shared" si="74"/>
        <v>Disk-{#SNMPINDEX}: 磁盘空间严重不足(已使用率&gt;{$VFS.FS.PUSED.MAX.CRIT: "Disk-{#SNMPINDEX}"}%)</v>
      </c>
      <c r="K1196" s="1" t="str">
        <f t="shared" si="75"/>
        <v/>
      </c>
    </row>
    <row r="1197" spans="1:11">
      <c r="A1197" s="1">
        <v>2427</v>
      </c>
      <c r="B1197" s="1" t="s">
        <v>9539</v>
      </c>
      <c r="C1197" s="1" t="s">
        <v>9114</v>
      </c>
      <c r="D1197" s="1" t="s">
        <v>3341</v>
      </c>
      <c r="E1197" s="1" t="s">
        <v>3358</v>
      </c>
      <c r="F1197" s="1" t="s">
        <v>2049</v>
      </c>
      <c r="G1197" s="1" t="s">
        <v>2050</v>
      </c>
      <c r="H1197" s="1" t="str">
        <f t="shared" si="72"/>
        <v/>
      </c>
      <c r="I1197" s="1" t="str">
        <f t="shared" si="73"/>
        <v/>
      </c>
      <c r="J1197" s="1" t="str">
        <f t="shared" si="74"/>
        <v>Disk-{#SNMPINDEX}: 磁盘空间不足(已使用率&gt;{$VFS.FS.PUSED.MAX.WARN: "Disk-{#SNMPINDEX}"}%)</v>
      </c>
      <c r="K1197" s="1" t="str">
        <f t="shared" si="75"/>
        <v/>
      </c>
    </row>
    <row r="1198" spans="1:11">
      <c r="A1198" s="1">
        <v>2429</v>
      </c>
      <c r="B1198" s="1" t="s">
        <v>9539</v>
      </c>
      <c r="C1198" s="1" t="s">
        <v>9117</v>
      </c>
      <c r="D1198" s="1" t="s">
        <v>3341</v>
      </c>
      <c r="E1198" s="1" t="s">
        <v>3360</v>
      </c>
      <c r="F1198" s="1" t="s">
        <v>161</v>
      </c>
      <c r="G1198" s="1" t="s">
        <v>162</v>
      </c>
      <c r="H1198" s="1" t="str">
        <f t="shared" si="72"/>
        <v/>
      </c>
      <c r="I1198" s="1" t="str">
        <f t="shared" si="73"/>
        <v/>
      </c>
      <c r="J1198" s="1" t="str">
        <f t="shared" si="74"/>
        <v>接口{#IFNAME}({#IFALIAS}): 带宽使用率太高(&gt;{$IF.UTIL.MAX: "{#IFNAME}"}%)</v>
      </c>
      <c r="K1198" s="1" t="str">
        <f t="shared" si="75"/>
        <v/>
      </c>
    </row>
    <row r="1199" spans="1:11">
      <c r="A1199" s="1">
        <v>2430</v>
      </c>
      <c r="B1199" s="1" t="s">
        <v>9539</v>
      </c>
      <c r="C1199" s="1" t="s">
        <v>9119</v>
      </c>
      <c r="D1199" s="1" t="s">
        <v>3341</v>
      </c>
      <c r="E1199" s="1" t="s">
        <v>3362</v>
      </c>
      <c r="F1199" s="1" t="s">
        <v>165</v>
      </c>
      <c r="G1199" s="1" t="s">
        <v>166</v>
      </c>
      <c r="H1199" s="1" t="str">
        <f t="shared" si="72"/>
        <v/>
      </c>
      <c r="I1199" s="1" t="str">
        <f t="shared" si="73"/>
        <v/>
      </c>
      <c r="J1199" s="1" t="str">
        <f t="shared" si="74"/>
        <v>接口{#IFNAME}({#IFALIAS}): 错误率太高(&gt;{$IF.ERRORS.WARN: "{#IFNAME}"}达5分钟)</v>
      </c>
      <c r="K1199" s="1" t="str">
        <f t="shared" si="75"/>
        <v/>
      </c>
    </row>
    <row r="1200" spans="1:11">
      <c r="A1200" s="1">
        <v>2432</v>
      </c>
      <c r="B1200" s="1" t="s">
        <v>9539</v>
      </c>
      <c r="C1200" s="1" t="s">
        <v>9121</v>
      </c>
      <c r="D1200" s="1" t="s">
        <v>3341</v>
      </c>
      <c r="E1200" s="1" t="s">
        <v>3364</v>
      </c>
      <c r="F1200" s="1" t="s">
        <v>2057</v>
      </c>
      <c r="G1200" s="1" t="s">
        <v>2058</v>
      </c>
      <c r="H1200" s="1" t="str">
        <f t="shared" si="72"/>
        <v/>
      </c>
      <c r="I1200" s="1" t="str">
        <f t="shared" si="73"/>
        <v/>
      </c>
      <c r="J1200" s="1" t="str">
        <f t="shared" si="74"/>
        <v>接口{#IFNAME}({#IFALIAS}): LTE调制解调器RSRP低(低于{$LTEMODEM.RSRP.MIN.WARN}dbm5分钟)</v>
      </c>
      <c r="K1200" s="1" t="str">
        <f t="shared" si="75"/>
        <v/>
      </c>
    </row>
    <row r="1201" spans="1:11">
      <c r="A1201" s="1">
        <v>2433</v>
      </c>
      <c r="B1201" s="1" t="s">
        <v>9539</v>
      </c>
      <c r="C1201" s="1" t="s">
        <v>9122</v>
      </c>
      <c r="D1201" s="1" t="s">
        <v>3341</v>
      </c>
      <c r="E1201" s="1" t="s">
        <v>3366</v>
      </c>
      <c r="F1201" s="1" t="s">
        <v>2061</v>
      </c>
      <c r="G1201" s="1" t="s">
        <v>2062</v>
      </c>
      <c r="H1201" s="1" t="str">
        <f t="shared" si="72"/>
        <v/>
      </c>
      <c r="I1201" s="1" t="str">
        <f t="shared" si="73"/>
        <v/>
      </c>
      <c r="J1201" s="1" t="str">
        <f t="shared" si="74"/>
        <v>接口{#IFNAME}({#IFALIAS}): LTE调制解调器RSRQ低(低于{$LTEMODEM.RSRQ.MIN.WARN}db5分钟)</v>
      </c>
      <c r="K1201" s="1" t="str">
        <f t="shared" si="75"/>
        <v/>
      </c>
    </row>
    <row r="1202" spans="1:11">
      <c r="A1202" s="1">
        <v>2434</v>
      </c>
      <c r="B1202" s="1" t="s">
        <v>9539</v>
      </c>
      <c r="C1202" s="1" t="s">
        <v>9123</v>
      </c>
      <c r="D1202" s="1" t="s">
        <v>3341</v>
      </c>
      <c r="E1202" s="1" t="s">
        <v>3368</v>
      </c>
      <c r="F1202" s="1" t="s">
        <v>2065</v>
      </c>
      <c r="G1202" s="1" t="s">
        <v>2058</v>
      </c>
      <c r="H1202" s="1" t="str">
        <f t="shared" si="72"/>
        <v/>
      </c>
      <c r="I1202" s="1" t="str">
        <f t="shared" si="73"/>
        <v/>
      </c>
      <c r="J1202" s="1" t="str">
        <f t="shared" si="74"/>
        <v>接口{#IFNAME}({#IFALIAS}): LTE调制解调器RSRP低(低于{$LTEMODEM.RSRP.MIN.WARN}dbm5分钟)</v>
      </c>
      <c r="K1202" s="1" t="str">
        <f t="shared" si="75"/>
        <v/>
      </c>
    </row>
    <row r="1203" spans="1:11">
      <c r="A1203" s="1">
        <v>2435</v>
      </c>
      <c r="B1203" s="1" t="s">
        <v>9539</v>
      </c>
      <c r="C1203" s="1" t="s">
        <v>9124</v>
      </c>
      <c r="D1203" s="1" t="s">
        <v>3341</v>
      </c>
      <c r="E1203" s="1" t="s">
        <v>3370</v>
      </c>
      <c r="F1203" s="1" t="s">
        <v>2068</v>
      </c>
      <c r="G1203" s="1" t="s">
        <v>2062</v>
      </c>
      <c r="H1203" s="1" t="str">
        <f t="shared" si="72"/>
        <v/>
      </c>
      <c r="I1203" s="1" t="str">
        <f t="shared" si="73"/>
        <v/>
      </c>
      <c r="J1203" s="1" t="str">
        <f t="shared" si="74"/>
        <v>接口{#IFNAME}({#IFALIAS}): LTE调制解调器RSRQ低(低于{$LTEMODEM.RSRQ.MIN.WARN}db5分钟)</v>
      </c>
      <c r="K1203" s="1" t="str">
        <f t="shared" si="75"/>
        <v/>
      </c>
    </row>
    <row r="1204" spans="1:11">
      <c r="A1204" s="1">
        <v>2437</v>
      </c>
      <c r="B1204" s="1" t="s">
        <v>9540</v>
      </c>
      <c r="C1204" s="1" t="s">
        <v>9098</v>
      </c>
      <c r="D1204" s="1" t="s">
        <v>3372</v>
      </c>
      <c r="E1204" s="1" t="s">
        <v>3373</v>
      </c>
      <c r="F1204" s="1" t="s">
        <v>541</v>
      </c>
      <c r="G1204" s="1" t="s">
        <v>542</v>
      </c>
      <c r="H1204" s="1" t="str">
        <f t="shared" si="72"/>
        <v/>
      </c>
      <c r="I1204" s="1" t="str">
        <f t="shared" si="73"/>
        <v/>
      </c>
      <c r="J1204" s="1" t="str">
        <f t="shared" si="74"/>
        <v>#{#SNMPINDEX}: CPU使用率高了(超过{$CPU.UTIL.CRIT}%达5分钟)</v>
      </c>
      <c r="K1204" s="1" t="str">
        <f t="shared" si="75"/>
        <v/>
      </c>
    </row>
    <row r="1205" spans="1:11">
      <c r="A1205" s="1">
        <v>2438</v>
      </c>
      <c r="B1205" s="1" t="s">
        <v>9540</v>
      </c>
      <c r="C1205" s="1" t="s">
        <v>9100</v>
      </c>
      <c r="D1205" s="1" t="s">
        <v>3372</v>
      </c>
      <c r="E1205" s="1" t="s">
        <v>3375</v>
      </c>
      <c r="F1205" s="1" t="s">
        <v>1557</v>
      </c>
      <c r="G1205" s="1" t="s">
        <v>1558</v>
      </c>
      <c r="H1205" s="1" t="str">
        <f t="shared" si="72"/>
        <v>CPU</v>
      </c>
      <c r="I1205" s="1" t="str">
        <f t="shared" si="73"/>
        <v>温度高于临界阈值: &gt;{$TEMP_CRIT: "CPU"}</v>
      </c>
      <c r="J1205" s="1" t="str">
        <f t="shared" si="74"/>
        <v>CPU: 温度高于临界阈值: &gt;{$TEMP_CRIT: "CPU"}</v>
      </c>
      <c r="K1205" s="1" t="str">
        <f t="shared" si="75"/>
        <v>Temperature is above critical threshold: &gt;{$TEMP_CRIT:"CPU"}</v>
      </c>
    </row>
    <row r="1206" spans="1:11">
      <c r="A1206" s="1">
        <v>2439</v>
      </c>
      <c r="B1206" s="1" t="s">
        <v>9540</v>
      </c>
      <c r="C1206" s="1" t="s">
        <v>9102</v>
      </c>
      <c r="D1206" s="1" t="s">
        <v>3372</v>
      </c>
      <c r="E1206" s="1" t="s">
        <v>3377</v>
      </c>
      <c r="F1206" s="1" t="s">
        <v>1553</v>
      </c>
      <c r="G1206" s="1" t="s">
        <v>1554</v>
      </c>
      <c r="H1206" s="1" t="str">
        <f t="shared" si="72"/>
        <v>CPU</v>
      </c>
      <c r="I1206" s="1" t="str">
        <f t="shared" si="73"/>
        <v>温度高于告警阈值: &gt;{$TEMP_WARN: "CPU"}</v>
      </c>
      <c r="J1206" s="1" t="str">
        <f t="shared" si="74"/>
        <v>CPU: 温度高于告警阈值: &gt;{$TEMP_WARN: "CPU"}</v>
      </c>
      <c r="K1206" s="1" t="str">
        <f t="shared" si="75"/>
        <v>Temperature is above warning threshold: &gt;{$TEMP_WARN:"CPU"}</v>
      </c>
    </row>
    <row r="1207" spans="1:11">
      <c r="A1207" s="1">
        <v>2440</v>
      </c>
      <c r="B1207" s="1" t="s">
        <v>9540</v>
      </c>
      <c r="C1207" s="1" t="s">
        <v>9104</v>
      </c>
      <c r="D1207" s="1" t="s">
        <v>3372</v>
      </c>
      <c r="E1207" s="1" t="s">
        <v>3379</v>
      </c>
      <c r="F1207" s="1" t="s">
        <v>1561</v>
      </c>
      <c r="G1207" s="1" t="s">
        <v>1562</v>
      </c>
      <c r="H1207" s="1" t="str">
        <f t="shared" si="72"/>
        <v>CPU</v>
      </c>
      <c r="I1207" s="1" t="str">
        <f t="shared" si="73"/>
        <v>温度太低: &lt;{$TEMP_CRIT_LOW: "CPU"}</v>
      </c>
      <c r="J1207" s="1" t="str">
        <f t="shared" si="74"/>
        <v>CPU: 温度太低: &lt;{$TEMP_CRIT_LOW: "CPU"}</v>
      </c>
      <c r="K1207" s="1" t="str">
        <f t="shared" si="75"/>
        <v>Temperature is too low: &lt;{$TEMP_CRIT_LOW:"CPU"}</v>
      </c>
    </row>
    <row r="1208" spans="1:11">
      <c r="A1208" s="1">
        <v>2441</v>
      </c>
      <c r="B1208" s="1" t="s">
        <v>9540</v>
      </c>
      <c r="C1208" s="1" t="s">
        <v>9106</v>
      </c>
      <c r="D1208" s="1" t="s">
        <v>3372</v>
      </c>
      <c r="E1208" s="1" t="s">
        <v>3381</v>
      </c>
      <c r="F1208" s="1" t="s">
        <v>2033</v>
      </c>
      <c r="G1208" s="1" t="s">
        <v>2034</v>
      </c>
      <c r="H1208" s="1" t="str">
        <f t="shared" si="72"/>
        <v>Device</v>
      </c>
      <c r="I1208" s="1" t="str">
        <f t="shared" si="73"/>
        <v>温度高于临界阈值: &gt;{$TEMP_CRIT: "Device"}</v>
      </c>
      <c r="J1208" s="1" t="str">
        <f t="shared" si="74"/>
        <v>Device: 温度高于临界阈值: &gt;{$TEMP_CRIT: "Device"}</v>
      </c>
      <c r="K1208" s="1" t="str">
        <f t="shared" si="75"/>
        <v>Temperature is above critical threshold: &gt;{$TEMP_CRIT:"Device"}</v>
      </c>
    </row>
    <row r="1209" spans="1:11">
      <c r="A1209" s="1">
        <v>2442</v>
      </c>
      <c r="B1209" s="1" t="s">
        <v>9540</v>
      </c>
      <c r="C1209" s="1" t="s">
        <v>9108</v>
      </c>
      <c r="D1209" s="1" t="s">
        <v>3372</v>
      </c>
      <c r="E1209" s="1" t="s">
        <v>3383</v>
      </c>
      <c r="F1209" s="1" t="s">
        <v>2037</v>
      </c>
      <c r="G1209" s="1" t="s">
        <v>2038</v>
      </c>
      <c r="H1209" s="1" t="str">
        <f t="shared" si="72"/>
        <v>Device</v>
      </c>
      <c r="I1209" s="1" t="str">
        <f t="shared" si="73"/>
        <v>温度高于告警阈值: &gt;{$TEMP_WARN: "Device"}</v>
      </c>
      <c r="J1209" s="1" t="str">
        <f t="shared" si="74"/>
        <v>Device: 温度高于告警阈值: &gt;{$TEMP_WARN: "Device"}</v>
      </c>
      <c r="K1209" s="1" t="str">
        <f t="shared" si="75"/>
        <v>Temperature is above warning threshold: &gt;{$TEMP_WARN:"Device"}</v>
      </c>
    </row>
    <row r="1210" spans="1:11">
      <c r="A1210" s="1">
        <v>2443</v>
      </c>
      <c r="B1210" s="1" t="s">
        <v>9540</v>
      </c>
      <c r="C1210" s="1" t="s">
        <v>9110</v>
      </c>
      <c r="D1210" s="1" t="s">
        <v>3372</v>
      </c>
      <c r="E1210" s="1" t="s">
        <v>3385</v>
      </c>
      <c r="F1210" s="1" t="s">
        <v>2041</v>
      </c>
      <c r="G1210" s="1" t="s">
        <v>2042</v>
      </c>
      <c r="H1210" s="1" t="str">
        <f t="shared" si="72"/>
        <v>Device</v>
      </c>
      <c r="I1210" s="1" t="str">
        <f t="shared" si="73"/>
        <v>温度太低: &lt;{$TEMP_CRIT_LOW: "Device"}</v>
      </c>
      <c r="J1210" s="1" t="str">
        <f t="shared" si="74"/>
        <v>Device: 温度太低: &lt;{$TEMP_CRIT_LOW: "Device"}</v>
      </c>
      <c r="K1210" s="1" t="str">
        <f t="shared" si="75"/>
        <v>Temperature is too low: &lt;{$TEMP_CRIT_LOW:"Device"}</v>
      </c>
    </row>
    <row r="1211" spans="1:11">
      <c r="A1211" s="1">
        <v>2444</v>
      </c>
      <c r="B1211" s="1" t="s">
        <v>9540</v>
      </c>
      <c r="C1211" s="1" t="s">
        <v>9112</v>
      </c>
      <c r="D1211" s="1" t="s">
        <v>3372</v>
      </c>
      <c r="E1211" s="1" t="s">
        <v>3387</v>
      </c>
      <c r="F1211" s="1" t="s">
        <v>2045</v>
      </c>
      <c r="G1211" s="1" t="s">
        <v>2046</v>
      </c>
      <c r="H1211" s="1" t="str">
        <f t="shared" si="72"/>
        <v/>
      </c>
      <c r="I1211" s="1" t="str">
        <f t="shared" si="73"/>
        <v/>
      </c>
      <c r="J1211" s="1" t="str">
        <f t="shared" si="74"/>
        <v>Disk-{#SNMPINDEX}: 磁盘空间严重不足(已使用率&gt;{$VFS.FS.PUSED.MAX.CRIT: "Disk-{#SNMPINDEX}"}%)</v>
      </c>
      <c r="K1211" s="1" t="str">
        <f t="shared" si="75"/>
        <v/>
      </c>
    </row>
    <row r="1212" spans="1:11">
      <c r="A1212" s="1">
        <v>2445</v>
      </c>
      <c r="B1212" s="1" t="s">
        <v>9540</v>
      </c>
      <c r="C1212" s="1" t="s">
        <v>9114</v>
      </c>
      <c r="D1212" s="1" t="s">
        <v>3372</v>
      </c>
      <c r="E1212" s="1" t="s">
        <v>3389</v>
      </c>
      <c r="F1212" s="1" t="s">
        <v>2049</v>
      </c>
      <c r="G1212" s="1" t="s">
        <v>2050</v>
      </c>
      <c r="H1212" s="1" t="str">
        <f t="shared" si="72"/>
        <v/>
      </c>
      <c r="I1212" s="1" t="str">
        <f t="shared" si="73"/>
        <v/>
      </c>
      <c r="J1212" s="1" t="str">
        <f t="shared" si="74"/>
        <v>Disk-{#SNMPINDEX}: 磁盘空间不足(已使用率&gt;{$VFS.FS.PUSED.MAX.WARN: "Disk-{#SNMPINDEX}"}%)</v>
      </c>
      <c r="K1212" s="1" t="str">
        <f t="shared" si="75"/>
        <v/>
      </c>
    </row>
    <row r="1213" spans="1:11">
      <c r="A1213" s="1">
        <v>2447</v>
      </c>
      <c r="B1213" s="1" t="s">
        <v>9540</v>
      </c>
      <c r="C1213" s="1" t="s">
        <v>9117</v>
      </c>
      <c r="D1213" s="1" t="s">
        <v>3372</v>
      </c>
      <c r="E1213" s="1" t="s">
        <v>3391</v>
      </c>
      <c r="F1213" s="1" t="s">
        <v>161</v>
      </c>
      <c r="G1213" s="1" t="s">
        <v>162</v>
      </c>
      <c r="H1213" s="1" t="str">
        <f t="shared" si="72"/>
        <v/>
      </c>
      <c r="I1213" s="1" t="str">
        <f t="shared" si="73"/>
        <v/>
      </c>
      <c r="J1213" s="1" t="str">
        <f t="shared" si="74"/>
        <v>接口{#IFNAME}({#IFALIAS}): 带宽使用率太高(&gt;{$IF.UTIL.MAX: "{#IFNAME}"}%)</v>
      </c>
      <c r="K1213" s="1" t="str">
        <f t="shared" si="75"/>
        <v/>
      </c>
    </row>
    <row r="1214" spans="1:11">
      <c r="A1214" s="1">
        <v>2448</v>
      </c>
      <c r="B1214" s="1" t="s">
        <v>9540</v>
      </c>
      <c r="C1214" s="1" t="s">
        <v>9119</v>
      </c>
      <c r="D1214" s="1" t="s">
        <v>3372</v>
      </c>
      <c r="E1214" s="1" t="s">
        <v>3393</v>
      </c>
      <c r="F1214" s="1" t="s">
        <v>165</v>
      </c>
      <c r="G1214" s="1" t="s">
        <v>166</v>
      </c>
      <c r="H1214" s="1" t="str">
        <f t="shared" si="72"/>
        <v/>
      </c>
      <c r="I1214" s="1" t="str">
        <f t="shared" si="73"/>
        <v/>
      </c>
      <c r="J1214" s="1" t="str">
        <f t="shared" si="74"/>
        <v>接口{#IFNAME}({#IFALIAS}): 错误率太高(&gt;{$IF.ERRORS.WARN: "{#IFNAME}"}达5分钟)</v>
      </c>
      <c r="K1214" s="1" t="str">
        <f t="shared" si="75"/>
        <v/>
      </c>
    </row>
    <row r="1215" spans="1:11">
      <c r="A1215" s="1">
        <v>2450</v>
      </c>
      <c r="B1215" s="1" t="s">
        <v>9540</v>
      </c>
      <c r="C1215" s="1" t="s">
        <v>9121</v>
      </c>
      <c r="D1215" s="1" t="s">
        <v>3372</v>
      </c>
      <c r="E1215" s="1" t="s">
        <v>3395</v>
      </c>
      <c r="F1215" s="1" t="s">
        <v>2057</v>
      </c>
      <c r="G1215" s="1" t="s">
        <v>2058</v>
      </c>
      <c r="H1215" s="1" t="str">
        <f t="shared" si="72"/>
        <v/>
      </c>
      <c r="I1215" s="1" t="str">
        <f t="shared" si="73"/>
        <v/>
      </c>
      <c r="J1215" s="1" t="str">
        <f t="shared" si="74"/>
        <v>接口{#IFNAME}({#IFALIAS}): LTE调制解调器RSRP低(低于{$LTEMODEM.RSRP.MIN.WARN}dbm5分钟)</v>
      </c>
      <c r="K1215" s="1" t="str">
        <f t="shared" si="75"/>
        <v/>
      </c>
    </row>
    <row r="1216" spans="1:11">
      <c r="A1216" s="1">
        <v>2451</v>
      </c>
      <c r="B1216" s="1" t="s">
        <v>9540</v>
      </c>
      <c r="C1216" s="1" t="s">
        <v>9122</v>
      </c>
      <c r="D1216" s="1" t="s">
        <v>3372</v>
      </c>
      <c r="E1216" s="1" t="s">
        <v>3397</v>
      </c>
      <c r="F1216" s="1" t="s">
        <v>2061</v>
      </c>
      <c r="G1216" s="1" t="s">
        <v>2062</v>
      </c>
      <c r="H1216" s="1" t="str">
        <f t="shared" si="72"/>
        <v/>
      </c>
      <c r="I1216" s="1" t="str">
        <f t="shared" si="73"/>
        <v/>
      </c>
      <c r="J1216" s="1" t="str">
        <f t="shared" si="74"/>
        <v>接口{#IFNAME}({#IFALIAS}): LTE调制解调器RSRQ低(低于{$LTEMODEM.RSRQ.MIN.WARN}db5分钟)</v>
      </c>
      <c r="K1216" s="1" t="str">
        <f t="shared" si="75"/>
        <v/>
      </c>
    </row>
    <row r="1217" spans="1:11">
      <c r="A1217" s="1">
        <v>2452</v>
      </c>
      <c r="B1217" s="1" t="s">
        <v>9540</v>
      </c>
      <c r="C1217" s="1" t="s">
        <v>9123</v>
      </c>
      <c r="D1217" s="1" t="s">
        <v>3372</v>
      </c>
      <c r="E1217" s="1" t="s">
        <v>3399</v>
      </c>
      <c r="F1217" s="1" t="s">
        <v>2065</v>
      </c>
      <c r="G1217" s="1" t="s">
        <v>2058</v>
      </c>
      <c r="H1217" s="1" t="str">
        <f t="shared" si="72"/>
        <v/>
      </c>
      <c r="I1217" s="1" t="str">
        <f t="shared" si="73"/>
        <v/>
      </c>
      <c r="J1217" s="1" t="str">
        <f t="shared" si="74"/>
        <v>接口{#IFNAME}({#IFALIAS}): LTE调制解调器RSRP低(低于{$LTEMODEM.RSRP.MIN.WARN}dbm5分钟)</v>
      </c>
      <c r="K1217" s="1" t="str">
        <f t="shared" si="75"/>
        <v/>
      </c>
    </row>
    <row r="1218" spans="1:11">
      <c r="A1218" s="1">
        <v>2453</v>
      </c>
      <c r="B1218" s="1" t="s">
        <v>9540</v>
      </c>
      <c r="C1218" s="1" t="s">
        <v>9124</v>
      </c>
      <c r="D1218" s="1" t="s">
        <v>3372</v>
      </c>
      <c r="E1218" s="1" t="s">
        <v>3401</v>
      </c>
      <c r="F1218" s="1" t="s">
        <v>2068</v>
      </c>
      <c r="G1218" s="1" t="s">
        <v>2062</v>
      </c>
      <c r="H1218" s="1" t="str">
        <f t="shared" ref="H1218:H1281" si="76">IFERROR(IF(OR(MID(G1218,FIND(":",G1218)-1,1)="""",MID(G1218,FIND(":",G1218)-1,1)="}",MID(G1218,FIND(":",G1218)-1,1)=")",MID(G1218,FIND(":",G1218)-1,1)="]"),"",LEFT(F1218,FIND(":",F1218)-1)),"")</f>
        <v/>
      </c>
      <c r="I1218" s="1" t="str">
        <f t="shared" ref="I1218:I1281" si="77">IFERROR(IF(OR(MID(G1218,FIND(":",G1218)-1,1)="""",MID(G1218,FIND(":",G1218)-1,1)="}",MID(G1218,FIND(":",G1218)-1,1)=")",MID(G1218,FIND(":",G1218)-1,1)="]"),"",RIGHT(G1218,LEN(G1218)-FIND(":",G1218)-1)),"")</f>
        <v/>
      </c>
      <c r="J1218" s="1" t="str">
        <f t="shared" ref="J1218:J1281" si="78">IF(AND(I1218="",H1218=""),G1218,H1218&amp;": "&amp;I1218)</f>
        <v>接口{#IFNAME}({#IFALIAS}): LTE调制解调器RSRQ低(低于{$LTEMODEM.RSRQ.MIN.WARN}db5分钟)</v>
      </c>
      <c r="K1218" s="1" t="str">
        <f t="shared" ref="K1218:K1281" si="79">IFERROR(IF(OR(MID(F1218,FIND(":",F1218)-1,1)="""",MID(F1218,FIND(":",F1218)-1,1)="}",MID(F1218,FIND(":",F1218)-1,1)=")",MID(F1218,FIND(":",F1218)-1,1)="]"),"",RIGHT(F1218,LEN(F1218)-FIND(":",F1218)-1)),"")</f>
        <v/>
      </c>
    </row>
    <row r="1219" spans="1:11">
      <c r="A1219" s="1">
        <v>2455</v>
      </c>
      <c r="B1219" s="1" t="s">
        <v>9541</v>
      </c>
      <c r="C1219" s="1" t="s">
        <v>9098</v>
      </c>
      <c r="D1219" s="1" t="s">
        <v>3403</v>
      </c>
      <c r="E1219" s="1" t="s">
        <v>3404</v>
      </c>
      <c r="F1219" s="1" t="s">
        <v>541</v>
      </c>
      <c r="G1219" s="1" t="s">
        <v>542</v>
      </c>
      <c r="H1219" s="1" t="str">
        <f t="shared" si="76"/>
        <v/>
      </c>
      <c r="I1219" s="1" t="str">
        <f t="shared" si="77"/>
        <v/>
      </c>
      <c r="J1219" s="1" t="str">
        <f t="shared" si="78"/>
        <v>#{#SNMPINDEX}: CPU使用率高了(超过{$CPU.UTIL.CRIT}%达5分钟)</v>
      </c>
      <c r="K1219" s="1" t="str">
        <f t="shared" si="79"/>
        <v/>
      </c>
    </row>
    <row r="1220" spans="1:11">
      <c r="A1220" s="1">
        <v>2456</v>
      </c>
      <c r="B1220" s="1" t="s">
        <v>9541</v>
      </c>
      <c r="C1220" s="1" t="s">
        <v>9100</v>
      </c>
      <c r="D1220" s="1" t="s">
        <v>3403</v>
      </c>
      <c r="E1220" s="1" t="s">
        <v>3406</v>
      </c>
      <c r="F1220" s="1" t="s">
        <v>1557</v>
      </c>
      <c r="G1220" s="1" t="s">
        <v>1558</v>
      </c>
      <c r="H1220" s="1" t="str">
        <f t="shared" si="76"/>
        <v>CPU</v>
      </c>
      <c r="I1220" s="1" t="str">
        <f t="shared" si="77"/>
        <v>温度高于临界阈值: &gt;{$TEMP_CRIT: "CPU"}</v>
      </c>
      <c r="J1220" s="1" t="str">
        <f t="shared" si="78"/>
        <v>CPU: 温度高于临界阈值: &gt;{$TEMP_CRIT: "CPU"}</v>
      </c>
      <c r="K1220" s="1" t="str">
        <f t="shared" si="79"/>
        <v>Temperature is above critical threshold: &gt;{$TEMP_CRIT:"CPU"}</v>
      </c>
    </row>
    <row r="1221" spans="1:11">
      <c r="A1221" s="1">
        <v>2457</v>
      </c>
      <c r="B1221" s="1" t="s">
        <v>9541</v>
      </c>
      <c r="C1221" s="1" t="s">
        <v>9102</v>
      </c>
      <c r="D1221" s="1" t="s">
        <v>3403</v>
      </c>
      <c r="E1221" s="1" t="s">
        <v>3408</v>
      </c>
      <c r="F1221" s="1" t="s">
        <v>1553</v>
      </c>
      <c r="G1221" s="1" t="s">
        <v>1554</v>
      </c>
      <c r="H1221" s="1" t="str">
        <f t="shared" si="76"/>
        <v>CPU</v>
      </c>
      <c r="I1221" s="1" t="str">
        <f t="shared" si="77"/>
        <v>温度高于告警阈值: &gt;{$TEMP_WARN: "CPU"}</v>
      </c>
      <c r="J1221" s="1" t="str">
        <f t="shared" si="78"/>
        <v>CPU: 温度高于告警阈值: &gt;{$TEMP_WARN: "CPU"}</v>
      </c>
      <c r="K1221" s="1" t="str">
        <f t="shared" si="79"/>
        <v>Temperature is above warning threshold: &gt;{$TEMP_WARN:"CPU"}</v>
      </c>
    </row>
    <row r="1222" spans="1:11">
      <c r="A1222" s="1">
        <v>2458</v>
      </c>
      <c r="B1222" s="1" t="s">
        <v>9541</v>
      </c>
      <c r="C1222" s="1" t="s">
        <v>9104</v>
      </c>
      <c r="D1222" s="1" t="s">
        <v>3403</v>
      </c>
      <c r="E1222" s="1" t="s">
        <v>3410</v>
      </c>
      <c r="F1222" s="1" t="s">
        <v>1561</v>
      </c>
      <c r="G1222" s="1" t="s">
        <v>1562</v>
      </c>
      <c r="H1222" s="1" t="str">
        <f t="shared" si="76"/>
        <v>CPU</v>
      </c>
      <c r="I1222" s="1" t="str">
        <f t="shared" si="77"/>
        <v>温度太低: &lt;{$TEMP_CRIT_LOW: "CPU"}</v>
      </c>
      <c r="J1222" s="1" t="str">
        <f t="shared" si="78"/>
        <v>CPU: 温度太低: &lt;{$TEMP_CRIT_LOW: "CPU"}</v>
      </c>
      <c r="K1222" s="1" t="str">
        <f t="shared" si="79"/>
        <v>Temperature is too low: &lt;{$TEMP_CRIT_LOW:"CPU"}</v>
      </c>
    </row>
    <row r="1223" spans="1:11">
      <c r="A1223" s="1">
        <v>2459</v>
      </c>
      <c r="B1223" s="1" t="s">
        <v>9541</v>
      </c>
      <c r="C1223" s="1" t="s">
        <v>9106</v>
      </c>
      <c r="D1223" s="1" t="s">
        <v>3403</v>
      </c>
      <c r="E1223" s="1" t="s">
        <v>3412</v>
      </c>
      <c r="F1223" s="1" t="s">
        <v>2033</v>
      </c>
      <c r="G1223" s="1" t="s">
        <v>2034</v>
      </c>
      <c r="H1223" s="1" t="str">
        <f t="shared" si="76"/>
        <v>Device</v>
      </c>
      <c r="I1223" s="1" t="str">
        <f t="shared" si="77"/>
        <v>温度高于临界阈值: &gt;{$TEMP_CRIT: "Device"}</v>
      </c>
      <c r="J1223" s="1" t="str">
        <f t="shared" si="78"/>
        <v>Device: 温度高于临界阈值: &gt;{$TEMP_CRIT: "Device"}</v>
      </c>
      <c r="K1223" s="1" t="str">
        <f t="shared" si="79"/>
        <v>Temperature is above critical threshold: &gt;{$TEMP_CRIT:"Device"}</v>
      </c>
    </row>
    <row r="1224" spans="1:11">
      <c r="A1224" s="1">
        <v>2460</v>
      </c>
      <c r="B1224" s="1" t="s">
        <v>9541</v>
      </c>
      <c r="C1224" s="1" t="s">
        <v>9108</v>
      </c>
      <c r="D1224" s="1" t="s">
        <v>3403</v>
      </c>
      <c r="E1224" s="1" t="s">
        <v>3414</v>
      </c>
      <c r="F1224" s="1" t="s">
        <v>2037</v>
      </c>
      <c r="G1224" s="1" t="s">
        <v>2038</v>
      </c>
      <c r="H1224" s="1" t="str">
        <f t="shared" si="76"/>
        <v>Device</v>
      </c>
      <c r="I1224" s="1" t="str">
        <f t="shared" si="77"/>
        <v>温度高于告警阈值: &gt;{$TEMP_WARN: "Device"}</v>
      </c>
      <c r="J1224" s="1" t="str">
        <f t="shared" si="78"/>
        <v>Device: 温度高于告警阈值: &gt;{$TEMP_WARN: "Device"}</v>
      </c>
      <c r="K1224" s="1" t="str">
        <f t="shared" si="79"/>
        <v>Temperature is above warning threshold: &gt;{$TEMP_WARN:"Device"}</v>
      </c>
    </row>
    <row r="1225" spans="1:11">
      <c r="A1225" s="1">
        <v>2461</v>
      </c>
      <c r="B1225" s="1" t="s">
        <v>9541</v>
      </c>
      <c r="C1225" s="1" t="s">
        <v>9110</v>
      </c>
      <c r="D1225" s="1" t="s">
        <v>3403</v>
      </c>
      <c r="E1225" s="1" t="s">
        <v>3416</v>
      </c>
      <c r="F1225" s="1" t="s">
        <v>2041</v>
      </c>
      <c r="G1225" s="1" t="s">
        <v>2042</v>
      </c>
      <c r="H1225" s="1" t="str">
        <f t="shared" si="76"/>
        <v>Device</v>
      </c>
      <c r="I1225" s="1" t="str">
        <f t="shared" si="77"/>
        <v>温度太低: &lt;{$TEMP_CRIT_LOW: "Device"}</v>
      </c>
      <c r="J1225" s="1" t="str">
        <f t="shared" si="78"/>
        <v>Device: 温度太低: &lt;{$TEMP_CRIT_LOW: "Device"}</v>
      </c>
      <c r="K1225" s="1" t="str">
        <f t="shared" si="79"/>
        <v>Temperature is too low: &lt;{$TEMP_CRIT_LOW:"Device"}</v>
      </c>
    </row>
    <row r="1226" spans="1:11">
      <c r="A1226" s="1">
        <v>2462</v>
      </c>
      <c r="B1226" s="1" t="s">
        <v>9541</v>
      </c>
      <c r="C1226" s="1" t="s">
        <v>9112</v>
      </c>
      <c r="D1226" s="1" t="s">
        <v>3403</v>
      </c>
      <c r="E1226" s="1" t="s">
        <v>3418</v>
      </c>
      <c r="F1226" s="1" t="s">
        <v>2045</v>
      </c>
      <c r="G1226" s="1" t="s">
        <v>2046</v>
      </c>
      <c r="H1226" s="1" t="str">
        <f t="shared" si="76"/>
        <v/>
      </c>
      <c r="I1226" s="1" t="str">
        <f t="shared" si="77"/>
        <v/>
      </c>
      <c r="J1226" s="1" t="str">
        <f t="shared" si="78"/>
        <v>Disk-{#SNMPINDEX}: 磁盘空间严重不足(已使用率&gt;{$VFS.FS.PUSED.MAX.CRIT: "Disk-{#SNMPINDEX}"}%)</v>
      </c>
      <c r="K1226" s="1" t="str">
        <f t="shared" si="79"/>
        <v/>
      </c>
    </row>
    <row r="1227" spans="1:11">
      <c r="A1227" s="1">
        <v>2463</v>
      </c>
      <c r="B1227" s="1" t="s">
        <v>9541</v>
      </c>
      <c r="C1227" s="1" t="s">
        <v>9114</v>
      </c>
      <c r="D1227" s="1" t="s">
        <v>3403</v>
      </c>
      <c r="E1227" s="1" t="s">
        <v>3420</v>
      </c>
      <c r="F1227" s="1" t="s">
        <v>2049</v>
      </c>
      <c r="G1227" s="1" t="s">
        <v>2050</v>
      </c>
      <c r="H1227" s="1" t="str">
        <f t="shared" si="76"/>
        <v/>
      </c>
      <c r="I1227" s="1" t="str">
        <f t="shared" si="77"/>
        <v/>
      </c>
      <c r="J1227" s="1" t="str">
        <f t="shared" si="78"/>
        <v>Disk-{#SNMPINDEX}: 磁盘空间不足(已使用率&gt;{$VFS.FS.PUSED.MAX.WARN: "Disk-{#SNMPINDEX}"}%)</v>
      </c>
      <c r="K1227" s="1" t="str">
        <f t="shared" si="79"/>
        <v/>
      </c>
    </row>
    <row r="1228" spans="1:11">
      <c r="A1228" s="1">
        <v>2465</v>
      </c>
      <c r="B1228" s="1" t="s">
        <v>9541</v>
      </c>
      <c r="C1228" s="1" t="s">
        <v>9117</v>
      </c>
      <c r="D1228" s="1" t="s">
        <v>3403</v>
      </c>
      <c r="E1228" s="1" t="s">
        <v>3422</v>
      </c>
      <c r="F1228" s="1" t="s">
        <v>161</v>
      </c>
      <c r="G1228" s="1" t="s">
        <v>162</v>
      </c>
      <c r="H1228" s="1" t="str">
        <f t="shared" si="76"/>
        <v/>
      </c>
      <c r="I1228" s="1" t="str">
        <f t="shared" si="77"/>
        <v/>
      </c>
      <c r="J1228" s="1" t="str">
        <f t="shared" si="78"/>
        <v>接口{#IFNAME}({#IFALIAS}): 带宽使用率太高(&gt;{$IF.UTIL.MAX: "{#IFNAME}"}%)</v>
      </c>
      <c r="K1228" s="1" t="str">
        <f t="shared" si="79"/>
        <v/>
      </c>
    </row>
    <row r="1229" spans="1:11">
      <c r="A1229" s="1">
        <v>2466</v>
      </c>
      <c r="B1229" s="1" t="s">
        <v>9541</v>
      </c>
      <c r="C1229" s="1" t="s">
        <v>9119</v>
      </c>
      <c r="D1229" s="1" t="s">
        <v>3403</v>
      </c>
      <c r="E1229" s="1" t="s">
        <v>3424</v>
      </c>
      <c r="F1229" s="1" t="s">
        <v>165</v>
      </c>
      <c r="G1229" s="1" t="s">
        <v>166</v>
      </c>
      <c r="H1229" s="1" t="str">
        <f t="shared" si="76"/>
        <v/>
      </c>
      <c r="I1229" s="1" t="str">
        <f t="shared" si="77"/>
        <v/>
      </c>
      <c r="J1229" s="1" t="str">
        <f t="shared" si="78"/>
        <v>接口{#IFNAME}({#IFALIAS}): 错误率太高(&gt;{$IF.ERRORS.WARN: "{#IFNAME}"}达5分钟)</v>
      </c>
      <c r="K1229" s="1" t="str">
        <f t="shared" si="79"/>
        <v/>
      </c>
    </row>
    <row r="1230" spans="1:11">
      <c r="A1230" s="1">
        <v>2468</v>
      </c>
      <c r="B1230" s="1" t="s">
        <v>9541</v>
      </c>
      <c r="C1230" s="1" t="s">
        <v>9121</v>
      </c>
      <c r="D1230" s="1" t="s">
        <v>3403</v>
      </c>
      <c r="E1230" s="1" t="s">
        <v>3426</v>
      </c>
      <c r="F1230" s="1" t="s">
        <v>2057</v>
      </c>
      <c r="G1230" s="1" t="s">
        <v>2058</v>
      </c>
      <c r="H1230" s="1" t="str">
        <f t="shared" si="76"/>
        <v/>
      </c>
      <c r="I1230" s="1" t="str">
        <f t="shared" si="77"/>
        <v/>
      </c>
      <c r="J1230" s="1" t="str">
        <f t="shared" si="78"/>
        <v>接口{#IFNAME}({#IFALIAS}): LTE调制解调器RSRP低(低于{$LTEMODEM.RSRP.MIN.WARN}dbm5分钟)</v>
      </c>
      <c r="K1230" s="1" t="str">
        <f t="shared" si="79"/>
        <v/>
      </c>
    </row>
    <row r="1231" spans="1:11">
      <c r="A1231" s="1">
        <v>2469</v>
      </c>
      <c r="B1231" s="1" t="s">
        <v>9541</v>
      </c>
      <c r="C1231" s="1" t="s">
        <v>9122</v>
      </c>
      <c r="D1231" s="1" t="s">
        <v>3403</v>
      </c>
      <c r="E1231" s="1" t="s">
        <v>3428</v>
      </c>
      <c r="F1231" s="1" t="s">
        <v>2061</v>
      </c>
      <c r="G1231" s="1" t="s">
        <v>2062</v>
      </c>
      <c r="H1231" s="1" t="str">
        <f t="shared" si="76"/>
        <v/>
      </c>
      <c r="I1231" s="1" t="str">
        <f t="shared" si="77"/>
        <v/>
      </c>
      <c r="J1231" s="1" t="str">
        <f t="shared" si="78"/>
        <v>接口{#IFNAME}({#IFALIAS}): LTE调制解调器RSRQ低(低于{$LTEMODEM.RSRQ.MIN.WARN}db5分钟)</v>
      </c>
      <c r="K1231" s="1" t="str">
        <f t="shared" si="79"/>
        <v/>
      </c>
    </row>
    <row r="1232" spans="1:11">
      <c r="A1232" s="1">
        <v>2470</v>
      </c>
      <c r="B1232" s="1" t="s">
        <v>9541</v>
      </c>
      <c r="C1232" s="1" t="s">
        <v>9123</v>
      </c>
      <c r="D1232" s="1" t="s">
        <v>3403</v>
      </c>
      <c r="E1232" s="1" t="s">
        <v>3430</v>
      </c>
      <c r="F1232" s="1" t="s">
        <v>2065</v>
      </c>
      <c r="G1232" s="1" t="s">
        <v>2058</v>
      </c>
      <c r="H1232" s="1" t="str">
        <f t="shared" si="76"/>
        <v/>
      </c>
      <c r="I1232" s="1" t="str">
        <f t="shared" si="77"/>
        <v/>
      </c>
      <c r="J1232" s="1" t="str">
        <f t="shared" si="78"/>
        <v>接口{#IFNAME}({#IFALIAS}): LTE调制解调器RSRP低(低于{$LTEMODEM.RSRP.MIN.WARN}dbm5分钟)</v>
      </c>
      <c r="K1232" s="1" t="str">
        <f t="shared" si="79"/>
        <v/>
      </c>
    </row>
    <row r="1233" spans="1:11">
      <c r="A1233" s="1">
        <v>2471</v>
      </c>
      <c r="B1233" s="1" t="s">
        <v>9541</v>
      </c>
      <c r="C1233" s="1" t="s">
        <v>9124</v>
      </c>
      <c r="D1233" s="1" t="s">
        <v>3403</v>
      </c>
      <c r="E1233" s="1" t="s">
        <v>3432</v>
      </c>
      <c r="F1233" s="1" t="s">
        <v>2068</v>
      </c>
      <c r="G1233" s="1" t="s">
        <v>2062</v>
      </c>
      <c r="H1233" s="1" t="str">
        <f t="shared" si="76"/>
        <v/>
      </c>
      <c r="I1233" s="1" t="str">
        <f t="shared" si="77"/>
        <v/>
      </c>
      <c r="J1233" s="1" t="str">
        <f t="shared" si="78"/>
        <v>接口{#IFNAME}({#IFALIAS}): LTE调制解调器RSRQ低(低于{$LTEMODEM.RSRQ.MIN.WARN}db5分钟)</v>
      </c>
      <c r="K1233" s="1" t="str">
        <f t="shared" si="79"/>
        <v/>
      </c>
    </row>
    <row r="1234" spans="1:11">
      <c r="A1234" s="1">
        <v>2473</v>
      </c>
      <c r="B1234" s="1" t="s">
        <v>9542</v>
      </c>
      <c r="C1234" s="1" t="s">
        <v>9098</v>
      </c>
      <c r="D1234" s="1" t="s">
        <v>3434</v>
      </c>
      <c r="E1234" s="1" t="s">
        <v>3435</v>
      </c>
      <c r="F1234" s="1" t="s">
        <v>541</v>
      </c>
      <c r="G1234" s="1" t="s">
        <v>542</v>
      </c>
      <c r="H1234" s="1" t="str">
        <f t="shared" si="76"/>
        <v/>
      </c>
      <c r="I1234" s="1" t="str">
        <f t="shared" si="77"/>
        <v/>
      </c>
      <c r="J1234" s="1" t="str">
        <f t="shared" si="78"/>
        <v>#{#SNMPINDEX}: CPU使用率高了(超过{$CPU.UTIL.CRIT}%达5分钟)</v>
      </c>
      <c r="K1234" s="1" t="str">
        <f t="shared" si="79"/>
        <v/>
      </c>
    </row>
    <row r="1235" spans="1:11">
      <c r="A1235" s="1">
        <v>2474</v>
      </c>
      <c r="B1235" s="1" t="s">
        <v>9542</v>
      </c>
      <c r="C1235" s="1" t="s">
        <v>9100</v>
      </c>
      <c r="D1235" s="1" t="s">
        <v>3434</v>
      </c>
      <c r="E1235" s="1" t="s">
        <v>3437</v>
      </c>
      <c r="F1235" s="1" t="s">
        <v>1557</v>
      </c>
      <c r="G1235" s="1" t="s">
        <v>1558</v>
      </c>
      <c r="H1235" s="1" t="str">
        <f t="shared" si="76"/>
        <v>CPU</v>
      </c>
      <c r="I1235" s="1" t="str">
        <f t="shared" si="77"/>
        <v>温度高于临界阈值: &gt;{$TEMP_CRIT: "CPU"}</v>
      </c>
      <c r="J1235" s="1" t="str">
        <f t="shared" si="78"/>
        <v>CPU: 温度高于临界阈值: &gt;{$TEMP_CRIT: "CPU"}</v>
      </c>
      <c r="K1235" s="1" t="str">
        <f t="shared" si="79"/>
        <v>Temperature is above critical threshold: &gt;{$TEMP_CRIT:"CPU"}</v>
      </c>
    </row>
    <row r="1236" spans="1:11">
      <c r="A1236" s="1">
        <v>2475</v>
      </c>
      <c r="B1236" s="1" t="s">
        <v>9542</v>
      </c>
      <c r="C1236" s="1" t="s">
        <v>9102</v>
      </c>
      <c r="D1236" s="1" t="s">
        <v>3434</v>
      </c>
      <c r="E1236" s="1" t="s">
        <v>3439</v>
      </c>
      <c r="F1236" s="1" t="s">
        <v>1553</v>
      </c>
      <c r="G1236" s="1" t="s">
        <v>1554</v>
      </c>
      <c r="H1236" s="1" t="str">
        <f t="shared" si="76"/>
        <v>CPU</v>
      </c>
      <c r="I1236" s="1" t="str">
        <f t="shared" si="77"/>
        <v>温度高于告警阈值: &gt;{$TEMP_WARN: "CPU"}</v>
      </c>
      <c r="J1236" s="1" t="str">
        <f t="shared" si="78"/>
        <v>CPU: 温度高于告警阈值: &gt;{$TEMP_WARN: "CPU"}</v>
      </c>
      <c r="K1236" s="1" t="str">
        <f t="shared" si="79"/>
        <v>Temperature is above warning threshold: &gt;{$TEMP_WARN:"CPU"}</v>
      </c>
    </row>
    <row r="1237" spans="1:11">
      <c r="A1237" s="1">
        <v>2476</v>
      </c>
      <c r="B1237" s="1" t="s">
        <v>9542</v>
      </c>
      <c r="C1237" s="1" t="s">
        <v>9104</v>
      </c>
      <c r="D1237" s="1" t="s">
        <v>3434</v>
      </c>
      <c r="E1237" s="1" t="s">
        <v>3441</v>
      </c>
      <c r="F1237" s="1" t="s">
        <v>1561</v>
      </c>
      <c r="G1237" s="1" t="s">
        <v>1562</v>
      </c>
      <c r="H1237" s="1" t="str">
        <f t="shared" si="76"/>
        <v>CPU</v>
      </c>
      <c r="I1237" s="1" t="str">
        <f t="shared" si="77"/>
        <v>温度太低: &lt;{$TEMP_CRIT_LOW: "CPU"}</v>
      </c>
      <c r="J1237" s="1" t="str">
        <f t="shared" si="78"/>
        <v>CPU: 温度太低: &lt;{$TEMP_CRIT_LOW: "CPU"}</v>
      </c>
      <c r="K1237" s="1" t="str">
        <f t="shared" si="79"/>
        <v>Temperature is too low: &lt;{$TEMP_CRIT_LOW:"CPU"}</v>
      </c>
    </row>
    <row r="1238" spans="1:11">
      <c r="A1238" s="1">
        <v>2477</v>
      </c>
      <c r="B1238" s="1" t="s">
        <v>9542</v>
      </c>
      <c r="C1238" s="1" t="s">
        <v>9106</v>
      </c>
      <c r="D1238" s="1" t="s">
        <v>3434</v>
      </c>
      <c r="E1238" s="1" t="s">
        <v>3443</v>
      </c>
      <c r="F1238" s="1" t="s">
        <v>2033</v>
      </c>
      <c r="G1238" s="1" t="s">
        <v>2034</v>
      </c>
      <c r="H1238" s="1" t="str">
        <f t="shared" si="76"/>
        <v>Device</v>
      </c>
      <c r="I1238" s="1" t="str">
        <f t="shared" si="77"/>
        <v>温度高于临界阈值: &gt;{$TEMP_CRIT: "Device"}</v>
      </c>
      <c r="J1238" s="1" t="str">
        <f t="shared" si="78"/>
        <v>Device: 温度高于临界阈值: &gt;{$TEMP_CRIT: "Device"}</v>
      </c>
      <c r="K1238" s="1" t="str">
        <f t="shared" si="79"/>
        <v>Temperature is above critical threshold: &gt;{$TEMP_CRIT:"Device"}</v>
      </c>
    </row>
    <row r="1239" spans="1:11">
      <c r="A1239" s="1">
        <v>2478</v>
      </c>
      <c r="B1239" s="1" t="s">
        <v>9542</v>
      </c>
      <c r="C1239" s="1" t="s">
        <v>9108</v>
      </c>
      <c r="D1239" s="1" t="s">
        <v>3434</v>
      </c>
      <c r="E1239" s="1" t="s">
        <v>3445</v>
      </c>
      <c r="F1239" s="1" t="s">
        <v>2037</v>
      </c>
      <c r="G1239" s="1" t="s">
        <v>2038</v>
      </c>
      <c r="H1239" s="1" t="str">
        <f t="shared" si="76"/>
        <v>Device</v>
      </c>
      <c r="I1239" s="1" t="str">
        <f t="shared" si="77"/>
        <v>温度高于告警阈值: &gt;{$TEMP_WARN: "Device"}</v>
      </c>
      <c r="J1239" s="1" t="str">
        <f t="shared" si="78"/>
        <v>Device: 温度高于告警阈值: &gt;{$TEMP_WARN: "Device"}</v>
      </c>
      <c r="K1239" s="1" t="str">
        <f t="shared" si="79"/>
        <v>Temperature is above warning threshold: &gt;{$TEMP_WARN:"Device"}</v>
      </c>
    </row>
    <row r="1240" spans="1:11">
      <c r="A1240" s="1">
        <v>2479</v>
      </c>
      <c r="B1240" s="1" t="s">
        <v>9542</v>
      </c>
      <c r="C1240" s="1" t="s">
        <v>9110</v>
      </c>
      <c r="D1240" s="1" t="s">
        <v>3434</v>
      </c>
      <c r="E1240" s="1" t="s">
        <v>3447</v>
      </c>
      <c r="F1240" s="1" t="s">
        <v>2041</v>
      </c>
      <c r="G1240" s="1" t="s">
        <v>2042</v>
      </c>
      <c r="H1240" s="1" t="str">
        <f t="shared" si="76"/>
        <v>Device</v>
      </c>
      <c r="I1240" s="1" t="str">
        <f t="shared" si="77"/>
        <v>温度太低: &lt;{$TEMP_CRIT_LOW: "Device"}</v>
      </c>
      <c r="J1240" s="1" t="str">
        <f t="shared" si="78"/>
        <v>Device: 温度太低: &lt;{$TEMP_CRIT_LOW: "Device"}</v>
      </c>
      <c r="K1240" s="1" t="str">
        <f t="shared" si="79"/>
        <v>Temperature is too low: &lt;{$TEMP_CRIT_LOW:"Device"}</v>
      </c>
    </row>
    <row r="1241" spans="1:11">
      <c r="A1241" s="1">
        <v>2480</v>
      </c>
      <c r="B1241" s="1" t="s">
        <v>9542</v>
      </c>
      <c r="C1241" s="1" t="s">
        <v>9112</v>
      </c>
      <c r="D1241" s="1" t="s">
        <v>3434</v>
      </c>
      <c r="E1241" s="1" t="s">
        <v>3449</v>
      </c>
      <c r="F1241" s="1" t="s">
        <v>2045</v>
      </c>
      <c r="G1241" s="1" t="s">
        <v>2046</v>
      </c>
      <c r="H1241" s="1" t="str">
        <f t="shared" si="76"/>
        <v/>
      </c>
      <c r="I1241" s="1" t="str">
        <f t="shared" si="77"/>
        <v/>
      </c>
      <c r="J1241" s="1" t="str">
        <f t="shared" si="78"/>
        <v>Disk-{#SNMPINDEX}: 磁盘空间严重不足(已使用率&gt;{$VFS.FS.PUSED.MAX.CRIT: "Disk-{#SNMPINDEX}"}%)</v>
      </c>
      <c r="K1241" s="1" t="str">
        <f t="shared" si="79"/>
        <v/>
      </c>
    </row>
    <row r="1242" spans="1:11">
      <c r="A1242" s="1">
        <v>2481</v>
      </c>
      <c r="B1242" s="1" t="s">
        <v>9542</v>
      </c>
      <c r="C1242" s="1" t="s">
        <v>9114</v>
      </c>
      <c r="D1242" s="1" t="s">
        <v>3434</v>
      </c>
      <c r="E1242" s="1" t="s">
        <v>3451</v>
      </c>
      <c r="F1242" s="1" t="s">
        <v>2049</v>
      </c>
      <c r="G1242" s="1" t="s">
        <v>2050</v>
      </c>
      <c r="H1242" s="1" t="str">
        <f t="shared" si="76"/>
        <v/>
      </c>
      <c r="I1242" s="1" t="str">
        <f t="shared" si="77"/>
        <v/>
      </c>
      <c r="J1242" s="1" t="str">
        <f t="shared" si="78"/>
        <v>Disk-{#SNMPINDEX}: 磁盘空间不足(已使用率&gt;{$VFS.FS.PUSED.MAX.WARN: "Disk-{#SNMPINDEX}"}%)</v>
      </c>
      <c r="K1242" s="1" t="str">
        <f t="shared" si="79"/>
        <v/>
      </c>
    </row>
    <row r="1243" spans="1:11">
      <c r="A1243" s="1">
        <v>2483</v>
      </c>
      <c r="B1243" s="1" t="s">
        <v>9542</v>
      </c>
      <c r="C1243" s="1" t="s">
        <v>9117</v>
      </c>
      <c r="D1243" s="1" t="s">
        <v>3434</v>
      </c>
      <c r="E1243" s="1" t="s">
        <v>3453</v>
      </c>
      <c r="F1243" s="1" t="s">
        <v>161</v>
      </c>
      <c r="G1243" s="1" t="s">
        <v>162</v>
      </c>
      <c r="H1243" s="1" t="str">
        <f t="shared" si="76"/>
        <v/>
      </c>
      <c r="I1243" s="1" t="str">
        <f t="shared" si="77"/>
        <v/>
      </c>
      <c r="J1243" s="1" t="str">
        <f t="shared" si="78"/>
        <v>接口{#IFNAME}({#IFALIAS}): 带宽使用率太高(&gt;{$IF.UTIL.MAX: "{#IFNAME}"}%)</v>
      </c>
      <c r="K1243" s="1" t="str">
        <f t="shared" si="79"/>
        <v/>
      </c>
    </row>
    <row r="1244" spans="1:11">
      <c r="A1244" s="1">
        <v>2484</v>
      </c>
      <c r="B1244" s="1" t="s">
        <v>9542</v>
      </c>
      <c r="C1244" s="1" t="s">
        <v>9119</v>
      </c>
      <c r="D1244" s="1" t="s">
        <v>3434</v>
      </c>
      <c r="E1244" s="1" t="s">
        <v>3455</v>
      </c>
      <c r="F1244" s="1" t="s">
        <v>165</v>
      </c>
      <c r="G1244" s="1" t="s">
        <v>166</v>
      </c>
      <c r="H1244" s="1" t="str">
        <f t="shared" si="76"/>
        <v/>
      </c>
      <c r="I1244" s="1" t="str">
        <f t="shared" si="77"/>
        <v/>
      </c>
      <c r="J1244" s="1" t="str">
        <f t="shared" si="78"/>
        <v>接口{#IFNAME}({#IFALIAS}): 错误率太高(&gt;{$IF.ERRORS.WARN: "{#IFNAME}"}达5分钟)</v>
      </c>
      <c r="K1244" s="1" t="str">
        <f t="shared" si="79"/>
        <v/>
      </c>
    </row>
    <row r="1245" spans="1:11">
      <c r="A1245" s="1">
        <v>2486</v>
      </c>
      <c r="B1245" s="1" t="s">
        <v>9542</v>
      </c>
      <c r="C1245" s="1" t="s">
        <v>9121</v>
      </c>
      <c r="D1245" s="1" t="s">
        <v>3434</v>
      </c>
      <c r="E1245" s="1" t="s">
        <v>3457</v>
      </c>
      <c r="F1245" s="1" t="s">
        <v>2057</v>
      </c>
      <c r="G1245" s="1" t="s">
        <v>2058</v>
      </c>
      <c r="H1245" s="1" t="str">
        <f t="shared" si="76"/>
        <v/>
      </c>
      <c r="I1245" s="1" t="str">
        <f t="shared" si="77"/>
        <v/>
      </c>
      <c r="J1245" s="1" t="str">
        <f t="shared" si="78"/>
        <v>接口{#IFNAME}({#IFALIAS}): LTE调制解调器RSRP低(低于{$LTEMODEM.RSRP.MIN.WARN}dbm5分钟)</v>
      </c>
      <c r="K1245" s="1" t="str">
        <f t="shared" si="79"/>
        <v/>
      </c>
    </row>
    <row r="1246" spans="1:11">
      <c r="A1246" s="1">
        <v>2487</v>
      </c>
      <c r="B1246" s="1" t="s">
        <v>9542</v>
      </c>
      <c r="C1246" s="1" t="s">
        <v>9122</v>
      </c>
      <c r="D1246" s="1" t="s">
        <v>3434</v>
      </c>
      <c r="E1246" s="1" t="s">
        <v>3459</v>
      </c>
      <c r="F1246" s="1" t="s">
        <v>2061</v>
      </c>
      <c r="G1246" s="1" t="s">
        <v>2062</v>
      </c>
      <c r="H1246" s="1" t="str">
        <f t="shared" si="76"/>
        <v/>
      </c>
      <c r="I1246" s="1" t="str">
        <f t="shared" si="77"/>
        <v/>
      </c>
      <c r="J1246" s="1" t="str">
        <f t="shared" si="78"/>
        <v>接口{#IFNAME}({#IFALIAS}): LTE调制解调器RSRQ低(低于{$LTEMODEM.RSRQ.MIN.WARN}db5分钟)</v>
      </c>
      <c r="K1246" s="1" t="str">
        <f t="shared" si="79"/>
        <v/>
      </c>
    </row>
    <row r="1247" spans="1:11">
      <c r="A1247" s="1">
        <v>2488</v>
      </c>
      <c r="B1247" s="1" t="s">
        <v>9542</v>
      </c>
      <c r="C1247" s="1" t="s">
        <v>9123</v>
      </c>
      <c r="D1247" s="1" t="s">
        <v>3434</v>
      </c>
      <c r="E1247" s="1" t="s">
        <v>3461</v>
      </c>
      <c r="F1247" s="1" t="s">
        <v>2065</v>
      </c>
      <c r="G1247" s="1" t="s">
        <v>2058</v>
      </c>
      <c r="H1247" s="1" t="str">
        <f t="shared" si="76"/>
        <v/>
      </c>
      <c r="I1247" s="1" t="str">
        <f t="shared" si="77"/>
        <v/>
      </c>
      <c r="J1247" s="1" t="str">
        <f t="shared" si="78"/>
        <v>接口{#IFNAME}({#IFALIAS}): LTE调制解调器RSRP低(低于{$LTEMODEM.RSRP.MIN.WARN}dbm5分钟)</v>
      </c>
      <c r="K1247" s="1" t="str">
        <f t="shared" si="79"/>
        <v/>
      </c>
    </row>
    <row r="1248" spans="1:11">
      <c r="A1248" s="1">
        <v>2489</v>
      </c>
      <c r="B1248" s="1" t="s">
        <v>9542</v>
      </c>
      <c r="C1248" s="1" t="s">
        <v>9124</v>
      </c>
      <c r="D1248" s="1" t="s">
        <v>3434</v>
      </c>
      <c r="E1248" s="1" t="s">
        <v>3463</v>
      </c>
      <c r="F1248" s="1" t="s">
        <v>2068</v>
      </c>
      <c r="G1248" s="1" t="s">
        <v>2062</v>
      </c>
      <c r="H1248" s="1" t="str">
        <f t="shared" si="76"/>
        <v/>
      </c>
      <c r="I1248" s="1" t="str">
        <f t="shared" si="77"/>
        <v/>
      </c>
      <c r="J1248" s="1" t="str">
        <f t="shared" si="78"/>
        <v>接口{#IFNAME}({#IFALIAS}): LTE调制解调器RSRQ低(低于{$LTEMODEM.RSRQ.MIN.WARN}db5分钟)</v>
      </c>
      <c r="K1248" s="1" t="str">
        <f t="shared" si="79"/>
        <v/>
      </c>
    </row>
    <row r="1249" spans="1:11">
      <c r="A1249" s="1">
        <v>2491</v>
      </c>
      <c r="B1249" s="1" t="s">
        <v>9543</v>
      </c>
      <c r="C1249" s="1" t="s">
        <v>9098</v>
      </c>
      <c r="D1249" s="1" t="s">
        <v>3465</v>
      </c>
      <c r="E1249" s="1" t="s">
        <v>3466</v>
      </c>
      <c r="F1249" s="1" t="s">
        <v>541</v>
      </c>
      <c r="G1249" s="1" t="s">
        <v>542</v>
      </c>
      <c r="H1249" s="1" t="str">
        <f t="shared" si="76"/>
        <v/>
      </c>
      <c r="I1249" s="1" t="str">
        <f t="shared" si="77"/>
        <v/>
      </c>
      <c r="J1249" s="1" t="str">
        <f t="shared" si="78"/>
        <v>#{#SNMPINDEX}: CPU使用率高了(超过{$CPU.UTIL.CRIT}%达5分钟)</v>
      </c>
      <c r="K1249" s="1" t="str">
        <f t="shared" si="79"/>
        <v/>
      </c>
    </row>
    <row r="1250" spans="1:11">
      <c r="A1250" s="1">
        <v>2492</v>
      </c>
      <c r="B1250" s="1" t="s">
        <v>9543</v>
      </c>
      <c r="C1250" s="1" t="s">
        <v>9100</v>
      </c>
      <c r="D1250" s="1" t="s">
        <v>3465</v>
      </c>
      <c r="E1250" s="1" t="s">
        <v>3468</v>
      </c>
      <c r="F1250" s="1" t="s">
        <v>1557</v>
      </c>
      <c r="G1250" s="1" t="s">
        <v>1558</v>
      </c>
      <c r="H1250" s="1" t="str">
        <f t="shared" si="76"/>
        <v>CPU</v>
      </c>
      <c r="I1250" s="1" t="str">
        <f t="shared" si="77"/>
        <v>温度高于临界阈值: &gt;{$TEMP_CRIT: "CPU"}</v>
      </c>
      <c r="J1250" s="1" t="str">
        <f t="shared" si="78"/>
        <v>CPU: 温度高于临界阈值: &gt;{$TEMP_CRIT: "CPU"}</v>
      </c>
      <c r="K1250" s="1" t="str">
        <f t="shared" si="79"/>
        <v>Temperature is above critical threshold: &gt;{$TEMP_CRIT:"CPU"}</v>
      </c>
    </row>
    <row r="1251" spans="1:11">
      <c r="A1251" s="1">
        <v>2493</v>
      </c>
      <c r="B1251" s="1" t="s">
        <v>9543</v>
      </c>
      <c r="C1251" s="1" t="s">
        <v>9102</v>
      </c>
      <c r="D1251" s="1" t="s">
        <v>3465</v>
      </c>
      <c r="E1251" s="1" t="s">
        <v>3470</v>
      </c>
      <c r="F1251" s="1" t="s">
        <v>1553</v>
      </c>
      <c r="G1251" s="1" t="s">
        <v>1554</v>
      </c>
      <c r="H1251" s="1" t="str">
        <f t="shared" si="76"/>
        <v>CPU</v>
      </c>
      <c r="I1251" s="1" t="str">
        <f t="shared" si="77"/>
        <v>温度高于告警阈值: &gt;{$TEMP_WARN: "CPU"}</v>
      </c>
      <c r="J1251" s="1" t="str">
        <f t="shared" si="78"/>
        <v>CPU: 温度高于告警阈值: &gt;{$TEMP_WARN: "CPU"}</v>
      </c>
      <c r="K1251" s="1" t="str">
        <f t="shared" si="79"/>
        <v>Temperature is above warning threshold: &gt;{$TEMP_WARN:"CPU"}</v>
      </c>
    </row>
    <row r="1252" spans="1:11">
      <c r="A1252" s="1">
        <v>2494</v>
      </c>
      <c r="B1252" s="1" t="s">
        <v>9543</v>
      </c>
      <c r="C1252" s="1" t="s">
        <v>9104</v>
      </c>
      <c r="D1252" s="1" t="s">
        <v>3465</v>
      </c>
      <c r="E1252" s="1" t="s">
        <v>3472</v>
      </c>
      <c r="F1252" s="1" t="s">
        <v>1561</v>
      </c>
      <c r="G1252" s="1" t="s">
        <v>1562</v>
      </c>
      <c r="H1252" s="1" t="str">
        <f t="shared" si="76"/>
        <v>CPU</v>
      </c>
      <c r="I1252" s="1" t="str">
        <f t="shared" si="77"/>
        <v>温度太低: &lt;{$TEMP_CRIT_LOW: "CPU"}</v>
      </c>
      <c r="J1252" s="1" t="str">
        <f t="shared" si="78"/>
        <v>CPU: 温度太低: &lt;{$TEMP_CRIT_LOW: "CPU"}</v>
      </c>
      <c r="K1252" s="1" t="str">
        <f t="shared" si="79"/>
        <v>Temperature is too low: &lt;{$TEMP_CRIT_LOW:"CPU"}</v>
      </c>
    </row>
    <row r="1253" spans="1:11">
      <c r="A1253" s="1">
        <v>2495</v>
      </c>
      <c r="B1253" s="1" t="s">
        <v>9543</v>
      </c>
      <c r="C1253" s="1" t="s">
        <v>9106</v>
      </c>
      <c r="D1253" s="1" t="s">
        <v>3465</v>
      </c>
      <c r="E1253" s="1" t="s">
        <v>3474</v>
      </c>
      <c r="F1253" s="1" t="s">
        <v>2033</v>
      </c>
      <c r="G1253" s="1" t="s">
        <v>2034</v>
      </c>
      <c r="H1253" s="1" t="str">
        <f t="shared" si="76"/>
        <v>Device</v>
      </c>
      <c r="I1253" s="1" t="str">
        <f t="shared" si="77"/>
        <v>温度高于临界阈值: &gt;{$TEMP_CRIT: "Device"}</v>
      </c>
      <c r="J1253" s="1" t="str">
        <f t="shared" si="78"/>
        <v>Device: 温度高于临界阈值: &gt;{$TEMP_CRIT: "Device"}</v>
      </c>
      <c r="K1253" s="1" t="str">
        <f t="shared" si="79"/>
        <v>Temperature is above critical threshold: &gt;{$TEMP_CRIT:"Device"}</v>
      </c>
    </row>
    <row r="1254" spans="1:11">
      <c r="A1254" s="1">
        <v>2496</v>
      </c>
      <c r="B1254" s="1" t="s">
        <v>9543</v>
      </c>
      <c r="C1254" s="1" t="s">
        <v>9108</v>
      </c>
      <c r="D1254" s="1" t="s">
        <v>3465</v>
      </c>
      <c r="E1254" s="1" t="s">
        <v>3476</v>
      </c>
      <c r="F1254" s="1" t="s">
        <v>2037</v>
      </c>
      <c r="G1254" s="1" t="s">
        <v>2038</v>
      </c>
      <c r="H1254" s="1" t="str">
        <f t="shared" si="76"/>
        <v>Device</v>
      </c>
      <c r="I1254" s="1" t="str">
        <f t="shared" si="77"/>
        <v>温度高于告警阈值: &gt;{$TEMP_WARN: "Device"}</v>
      </c>
      <c r="J1254" s="1" t="str">
        <f t="shared" si="78"/>
        <v>Device: 温度高于告警阈值: &gt;{$TEMP_WARN: "Device"}</v>
      </c>
      <c r="K1254" s="1" t="str">
        <f t="shared" si="79"/>
        <v>Temperature is above warning threshold: &gt;{$TEMP_WARN:"Device"}</v>
      </c>
    </row>
    <row r="1255" spans="1:11">
      <c r="A1255" s="1">
        <v>2497</v>
      </c>
      <c r="B1255" s="1" t="s">
        <v>9543</v>
      </c>
      <c r="C1255" s="1" t="s">
        <v>9110</v>
      </c>
      <c r="D1255" s="1" t="s">
        <v>3465</v>
      </c>
      <c r="E1255" s="1" t="s">
        <v>3478</v>
      </c>
      <c r="F1255" s="1" t="s">
        <v>2041</v>
      </c>
      <c r="G1255" s="1" t="s">
        <v>2042</v>
      </c>
      <c r="H1255" s="1" t="str">
        <f t="shared" si="76"/>
        <v>Device</v>
      </c>
      <c r="I1255" s="1" t="str">
        <f t="shared" si="77"/>
        <v>温度太低: &lt;{$TEMP_CRIT_LOW: "Device"}</v>
      </c>
      <c r="J1255" s="1" t="str">
        <f t="shared" si="78"/>
        <v>Device: 温度太低: &lt;{$TEMP_CRIT_LOW: "Device"}</v>
      </c>
      <c r="K1255" s="1" t="str">
        <f t="shared" si="79"/>
        <v>Temperature is too low: &lt;{$TEMP_CRIT_LOW:"Device"}</v>
      </c>
    </row>
    <row r="1256" spans="1:11">
      <c r="A1256" s="1">
        <v>2498</v>
      </c>
      <c r="B1256" s="1" t="s">
        <v>9543</v>
      </c>
      <c r="C1256" s="1" t="s">
        <v>9112</v>
      </c>
      <c r="D1256" s="1" t="s">
        <v>3465</v>
      </c>
      <c r="E1256" s="1" t="s">
        <v>3480</v>
      </c>
      <c r="F1256" s="1" t="s">
        <v>2045</v>
      </c>
      <c r="G1256" s="1" t="s">
        <v>2046</v>
      </c>
      <c r="H1256" s="1" t="str">
        <f t="shared" si="76"/>
        <v/>
      </c>
      <c r="I1256" s="1" t="str">
        <f t="shared" si="77"/>
        <v/>
      </c>
      <c r="J1256" s="1" t="str">
        <f t="shared" si="78"/>
        <v>Disk-{#SNMPINDEX}: 磁盘空间严重不足(已使用率&gt;{$VFS.FS.PUSED.MAX.CRIT: "Disk-{#SNMPINDEX}"}%)</v>
      </c>
      <c r="K1256" s="1" t="str">
        <f t="shared" si="79"/>
        <v/>
      </c>
    </row>
    <row r="1257" spans="1:11">
      <c r="A1257" s="1">
        <v>2499</v>
      </c>
      <c r="B1257" s="1" t="s">
        <v>9543</v>
      </c>
      <c r="C1257" s="1" t="s">
        <v>9114</v>
      </c>
      <c r="D1257" s="1" t="s">
        <v>3465</v>
      </c>
      <c r="E1257" s="1" t="s">
        <v>3482</v>
      </c>
      <c r="F1257" s="1" t="s">
        <v>2049</v>
      </c>
      <c r="G1257" s="1" t="s">
        <v>2050</v>
      </c>
      <c r="H1257" s="1" t="str">
        <f t="shared" si="76"/>
        <v/>
      </c>
      <c r="I1257" s="1" t="str">
        <f t="shared" si="77"/>
        <v/>
      </c>
      <c r="J1257" s="1" t="str">
        <f t="shared" si="78"/>
        <v>Disk-{#SNMPINDEX}: 磁盘空间不足(已使用率&gt;{$VFS.FS.PUSED.MAX.WARN: "Disk-{#SNMPINDEX}"}%)</v>
      </c>
      <c r="K1257" s="1" t="str">
        <f t="shared" si="79"/>
        <v/>
      </c>
    </row>
    <row r="1258" spans="1:11">
      <c r="A1258" s="1">
        <v>2501</v>
      </c>
      <c r="B1258" s="1" t="s">
        <v>9543</v>
      </c>
      <c r="C1258" s="1" t="s">
        <v>9117</v>
      </c>
      <c r="D1258" s="1" t="s">
        <v>3465</v>
      </c>
      <c r="E1258" s="1" t="s">
        <v>3484</v>
      </c>
      <c r="F1258" s="1" t="s">
        <v>161</v>
      </c>
      <c r="G1258" s="1" t="s">
        <v>162</v>
      </c>
      <c r="H1258" s="1" t="str">
        <f t="shared" si="76"/>
        <v/>
      </c>
      <c r="I1258" s="1" t="str">
        <f t="shared" si="77"/>
        <v/>
      </c>
      <c r="J1258" s="1" t="str">
        <f t="shared" si="78"/>
        <v>接口{#IFNAME}({#IFALIAS}): 带宽使用率太高(&gt;{$IF.UTIL.MAX: "{#IFNAME}"}%)</v>
      </c>
      <c r="K1258" s="1" t="str">
        <f t="shared" si="79"/>
        <v/>
      </c>
    </row>
    <row r="1259" spans="1:11">
      <c r="A1259" s="1">
        <v>2502</v>
      </c>
      <c r="B1259" s="1" t="s">
        <v>9543</v>
      </c>
      <c r="C1259" s="1" t="s">
        <v>9119</v>
      </c>
      <c r="D1259" s="1" t="s">
        <v>3465</v>
      </c>
      <c r="E1259" s="1" t="s">
        <v>3486</v>
      </c>
      <c r="F1259" s="1" t="s">
        <v>165</v>
      </c>
      <c r="G1259" s="1" t="s">
        <v>166</v>
      </c>
      <c r="H1259" s="1" t="str">
        <f t="shared" si="76"/>
        <v/>
      </c>
      <c r="I1259" s="1" t="str">
        <f t="shared" si="77"/>
        <v/>
      </c>
      <c r="J1259" s="1" t="str">
        <f t="shared" si="78"/>
        <v>接口{#IFNAME}({#IFALIAS}): 错误率太高(&gt;{$IF.ERRORS.WARN: "{#IFNAME}"}达5分钟)</v>
      </c>
      <c r="K1259" s="1" t="str">
        <f t="shared" si="79"/>
        <v/>
      </c>
    </row>
    <row r="1260" spans="1:11">
      <c r="A1260" s="1">
        <v>2504</v>
      </c>
      <c r="B1260" s="1" t="s">
        <v>9543</v>
      </c>
      <c r="C1260" s="1" t="s">
        <v>9121</v>
      </c>
      <c r="D1260" s="1" t="s">
        <v>3465</v>
      </c>
      <c r="E1260" s="1" t="s">
        <v>3488</v>
      </c>
      <c r="F1260" s="1" t="s">
        <v>2057</v>
      </c>
      <c r="G1260" s="1" t="s">
        <v>2058</v>
      </c>
      <c r="H1260" s="1" t="str">
        <f t="shared" si="76"/>
        <v/>
      </c>
      <c r="I1260" s="1" t="str">
        <f t="shared" si="77"/>
        <v/>
      </c>
      <c r="J1260" s="1" t="str">
        <f t="shared" si="78"/>
        <v>接口{#IFNAME}({#IFALIAS}): LTE调制解调器RSRP低(低于{$LTEMODEM.RSRP.MIN.WARN}dbm5分钟)</v>
      </c>
      <c r="K1260" s="1" t="str">
        <f t="shared" si="79"/>
        <v/>
      </c>
    </row>
    <row r="1261" spans="1:11">
      <c r="A1261" s="1">
        <v>2505</v>
      </c>
      <c r="B1261" s="1" t="s">
        <v>9543</v>
      </c>
      <c r="C1261" s="1" t="s">
        <v>9122</v>
      </c>
      <c r="D1261" s="1" t="s">
        <v>3465</v>
      </c>
      <c r="E1261" s="1" t="s">
        <v>3490</v>
      </c>
      <c r="F1261" s="1" t="s">
        <v>2061</v>
      </c>
      <c r="G1261" s="1" t="s">
        <v>2062</v>
      </c>
      <c r="H1261" s="1" t="str">
        <f t="shared" si="76"/>
        <v/>
      </c>
      <c r="I1261" s="1" t="str">
        <f t="shared" si="77"/>
        <v/>
      </c>
      <c r="J1261" s="1" t="str">
        <f t="shared" si="78"/>
        <v>接口{#IFNAME}({#IFALIAS}): LTE调制解调器RSRQ低(低于{$LTEMODEM.RSRQ.MIN.WARN}db5分钟)</v>
      </c>
      <c r="K1261" s="1" t="str">
        <f t="shared" si="79"/>
        <v/>
      </c>
    </row>
    <row r="1262" spans="1:11">
      <c r="A1262" s="1">
        <v>2506</v>
      </c>
      <c r="B1262" s="1" t="s">
        <v>9543</v>
      </c>
      <c r="C1262" s="1" t="s">
        <v>9123</v>
      </c>
      <c r="D1262" s="1" t="s">
        <v>3465</v>
      </c>
      <c r="E1262" s="1" t="s">
        <v>3492</v>
      </c>
      <c r="F1262" s="1" t="s">
        <v>2065</v>
      </c>
      <c r="G1262" s="1" t="s">
        <v>2058</v>
      </c>
      <c r="H1262" s="1" t="str">
        <f t="shared" si="76"/>
        <v/>
      </c>
      <c r="I1262" s="1" t="str">
        <f t="shared" si="77"/>
        <v/>
      </c>
      <c r="J1262" s="1" t="str">
        <f t="shared" si="78"/>
        <v>接口{#IFNAME}({#IFALIAS}): LTE调制解调器RSRP低(低于{$LTEMODEM.RSRP.MIN.WARN}dbm5分钟)</v>
      </c>
      <c r="K1262" s="1" t="str">
        <f t="shared" si="79"/>
        <v/>
      </c>
    </row>
    <row r="1263" spans="1:11">
      <c r="A1263" s="1">
        <v>2507</v>
      </c>
      <c r="B1263" s="1" t="s">
        <v>9543</v>
      </c>
      <c r="C1263" s="1" t="s">
        <v>9124</v>
      </c>
      <c r="D1263" s="1" t="s">
        <v>3465</v>
      </c>
      <c r="E1263" s="1" t="s">
        <v>3494</v>
      </c>
      <c r="F1263" s="1" t="s">
        <v>2068</v>
      </c>
      <c r="G1263" s="1" t="s">
        <v>2062</v>
      </c>
      <c r="H1263" s="1" t="str">
        <f t="shared" si="76"/>
        <v/>
      </c>
      <c r="I1263" s="1" t="str">
        <f t="shared" si="77"/>
        <v/>
      </c>
      <c r="J1263" s="1" t="str">
        <f t="shared" si="78"/>
        <v>接口{#IFNAME}({#IFALIAS}): LTE调制解调器RSRQ低(低于{$LTEMODEM.RSRQ.MIN.WARN}db5分钟)</v>
      </c>
      <c r="K1263" s="1" t="str">
        <f t="shared" si="79"/>
        <v/>
      </c>
    </row>
    <row r="1264" spans="1:11">
      <c r="A1264" s="1">
        <v>2509</v>
      </c>
      <c r="B1264" s="1" t="s">
        <v>9544</v>
      </c>
      <c r="C1264" s="1" t="s">
        <v>9098</v>
      </c>
      <c r="D1264" s="1" t="s">
        <v>3496</v>
      </c>
      <c r="E1264" s="1" t="s">
        <v>3497</v>
      </c>
      <c r="F1264" s="1" t="s">
        <v>541</v>
      </c>
      <c r="G1264" s="1" t="s">
        <v>542</v>
      </c>
      <c r="H1264" s="1" t="str">
        <f t="shared" si="76"/>
        <v/>
      </c>
      <c r="I1264" s="1" t="str">
        <f t="shared" si="77"/>
        <v/>
      </c>
      <c r="J1264" s="1" t="str">
        <f t="shared" si="78"/>
        <v>#{#SNMPINDEX}: CPU使用率高了(超过{$CPU.UTIL.CRIT}%达5分钟)</v>
      </c>
      <c r="K1264" s="1" t="str">
        <f t="shared" si="79"/>
        <v/>
      </c>
    </row>
    <row r="1265" spans="1:11">
      <c r="A1265" s="1">
        <v>2510</v>
      </c>
      <c r="B1265" s="1" t="s">
        <v>9544</v>
      </c>
      <c r="C1265" s="1" t="s">
        <v>9100</v>
      </c>
      <c r="D1265" s="1" t="s">
        <v>3496</v>
      </c>
      <c r="E1265" s="1" t="s">
        <v>3499</v>
      </c>
      <c r="F1265" s="1" t="s">
        <v>1557</v>
      </c>
      <c r="G1265" s="1" t="s">
        <v>1558</v>
      </c>
      <c r="H1265" s="1" t="str">
        <f t="shared" si="76"/>
        <v>CPU</v>
      </c>
      <c r="I1265" s="1" t="str">
        <f t="shared" si="77"/>
        <v>温度高于临界阈值: &gt;{$TEMP_CRIT: "CPU"}</v>
      </c>
      <c r="J1265" s="1" t="str">
        <f t="shared" si="78"/>
        <v>CPU: 温度高于临界阈值: &gt;{$TEMP_CRIT: "CPU"}</v>
      </c>
      <c r="K1265" s="1" t="str">
        <f t="shared" si="79"/>
        <v>Temperature is above critical threshold: &gt;{$TEMP_CRIT:"CPU"}</v>
      </c>
    </row>
    <row r="1266" spans="1:11">
      <c r="A1266" s="1">
        <v>2511</v>
      </c>
      <c r="B1266" s="1" t="s">
        <v>9544</v>
      </c>
      <c r="C1266" s="1" t="s">
        <v>9102</v>
      </c>
      <c r="D1266" s="1" t="s">
        <v>3496</v>
      </c>
      <c r="E1266" s="1" t="s">
        <v>3501</v>
      </c>
      <c r="F1266" s="1" t="s">
        <v>1553</v>
      </c>
      <c r="G1266" s="1" t="s">
        <v>1554</v>
      </c>
      <c r="H1266" s="1" t="str">
        <f t="shared" si="76"/>
        <v>CPU</v>
      </c>
      <c r="I1266" s="1" t="str">
        <f t="shared" si="77"/>
        <v>温度高于告警阈值: &gt;{$TEMP_WARN: "CPU"}</v>
      </c>
      <c r="J1266" s="1" t="str">
        <f t="shared" si="78"/>
        <v>CPU: 温度高于告警阈值: &gt;{$TEMP_WARN: "CPU"}</v>
      </c>
      <c r="K1266" s="1" t="str">
        <f t="shared" si="79"/>
        <v>Temperature is above warning threshold: &gt;{$TEMP_WARN:"CPU"}</v>
      </c>
    </row>
    <row r="1267" spans="1:11">
      <c r="A1267" s="1">
        <v>2512</v>
      </c>
      <c r="B1267" s="1" t="s">
        <v>9544</v>
      </c>
      <c r="C1267" s="1" t="s">
        <v>9104</v>
      </c>
      <c r="D1267" s="1" t="s">
        <v>3496</v>
      </c>
      <c r="E1267" s="1" t="s">
        <v>3503</v>
      </c>
      <c r="F1267" s="1" t="s">
        <v>1561</v>
      </c>
      <c r="G1267" s="1" t="s">
        <v>1562</v>
      </c>
      <c r="H1267" s="1" t="str">
        <f t="shared" si="76"/>
        <v>CPU</v>
      </c>
      <c r="I1267" s="1" t="str">
        <f t="shared" si="77"/>
        <v>温度太低: &lt;{$TEMP_CRIT_LOW: "CPU"}</v>
      </c>
      <c r="J1267" s="1" t="str">
        <f t="shared" si="78"/>
        <v>CPU: 温度太低: &lt;{$TEMP_CRIT_LOW: "CPU"}</v>
      </c>
      <c r="K1267" s="1" t="str">
        <f t="shared" si="79"/>
        <v>Temperature is too low: &lt;{$TEMP_CRIT_LOW:"CPU"}</v>
      </c>
    </row>
    <row r="1268" spans="1:11">
      <c r="A1268" s="1">
        <v>2513</v>
      </c>
      <c r="B1268" s="1" t="s">
        <v>9544</v>
      </c>
      <c r="C1268" s="1" t="s">
        <v>9106</v>
      </c>
      <c r="D1268" s="1" t="s">
        <v>3496</v>
      </c>
      <c r="E1268" s="1" t="s">
        <v>3505</v>
      </c>
      <c r="F1268" s="1" t="s">
        <v>2033</v>
      </c>
      <c r="G1268" s="1" t="s">
        <v>2034</v>
      </c>
      <c r="H1268" s="1" t="str">
        <f t="shared" si="76"/>
        <v>Device</v>
      </c>
      <c r="I1268" s="1" t="str">
        <f t="shared" si="77"/>
        <v>温度高于临界阈值: &gt;{$TEMP_CRIT: "Device"}</v>
      </c>
      <c r="J1268" s="1" t="str">
        <f t="shared" si="78"/>
        <v>Device: 温度高于临界阈值: &gt;{$TEMP_CRIT: "Device"}</v>
      </c>
      <c r="K1268" s="1" t="str">
        <f t="shared" si="79"/>
        <v>Temperature is above critical threshold: &gt;{$TEMP_CRIT:"Device"}</v>
      </c>
    </row>
    <row r="1269" spans="1:11">
      <c r="A1269" s="1">
        <v>2514</v>
      </c>
      <c r="B1269" s="1" t="s">
        <v>9544</v>
      </c>
      <c r="C1269" s="1" t="s">
        <v>9108</v>
      </c>
      <c r="D1269" s="1" t="s">
        <v>3496</v>
      </c>
      <c r="E1269" s="1" t="s">
        <v>3507</v>
      </c>
      <c r="F1269" s="1" t="s">
        <v>2037</v>
      </c>
      <c r="G1269" s="1" t="s">
        <v>2038</v>
      </c>
      <c r="H1269" s="1" t="str">
        <f t="shared" si="76"/>
        <v>Device</v>
      </c>
      <c r="I1269" s="1" t="str">
        <f t="shared" si="77"/>
        <v>温度高于告警阈值: &gt;{$TEMP_WARN: "Device"}</v>
      </c>
      <c r="J1269" s="1" t="str">
        <f t="shared" si="78"/>
        <v>Device: 温度高于告警阈值: &gt;{$TEMP_WARN: "Device"}</v>
      </c>
      <c r="K1269" s="1" t="str">
        <f t="shared" si="79"/>
        <v>Temperature is above warning threshold: &gt;{$TEMP_WARN:"Device"}</v>
      </c>
    </row>
    <row r="1270" spans="1:11">
      <c r="A1270" s="1">
        <v>2515</v>
      </c>
      <c r="B1270" s="1" t="s">
        <v>9544</v>
      </c>
      <c r="C1270" s="1" t="s">
        <v>9110</v>
      </c>
      <c r="D1270" s="1" t="s">
        <v>3496</v>
      </c>
      <c r="E1270" s="1" t="s">
        <v>3509</v>
      </c>
      <c r="F1270" s="1" t="s">
        <v>2041</v>
      </c>
      <c r="G1270" s="1" t="s">
        <v>2042</v>
      </c>
      <c r="H1270" s="1" t="str">
        <f t="shared" si="76"/>
        <v>Device</v>
      </c>
      <c r="I1270" s="1" t="str">
        <f t="shared" si="77"/>
        <v>温度太低: &lt;{$TEMP_CRIT_LOW: "Device"}</v>
      </c>
      <c r="J1270" s="1" t="str">
        <f t="shared" si="78"/>
        <v>Device: 温度太低: &lt;{$TEMP_CRIT_LOW: "Device"}</v>
      </c>
      <c r="K1270" s="1" t="str">
        <f t="shared" si="79"/>
        <v>Temperature is too low: &lt;{$TEMP_CRIT_LOW:"Device"}</v>
      </c>
    </row>
    <row r="1271" spans="1:11">
      <c r="A1271" s="1">
        <v>2516</v>
      </c>
      <c r="B1271" s="1" t="s">
        <v>9544</v>
      </c>
      <c r="C1271" s="1" t="s">
        <v>9112</v>
      </c>
      <c r="D1271" s="1" t="s">
        <v>3496</v>
      </c>
      <c r="E1271" s="1" t="s">
        <v>3511</v>
      </c>
      <c r="F1271" s="1" t="s">
        <v>2045</v>
      </c>
      <c r="G1271" s="1" t="s">
        <v>2046</v>
      </c>
      <c r="H1271" s="1" t="str">
        <f t="shared" si="76"/>
        <v/>
      </c>
      <c r="I1271" s="1" t="str">
        <f t="shared" si="77"/>
        <v/>
      </c>
      <c r="J1271" s="1" t="str">
        <f t="shared" si="78"/>
        <v>Disk-{#SNMPINDEX}: 磁盘空间严重不足(已使用率&gt;{$VFS.FS.PUSED.MAX.CRIT: "Disk-{#SNMPINDEX}"}%)</v>
      </c>
      <c r="K1271" s="1" t="str">
        <f t="shared" si="79"/>
        <v/>
      </c>
    </row>
    <row r="1272" spans="1:11">
      <c r="A1272" s="1">
        <v>2517</v>
      </c>
      <c r="B1272" s="1" t="s">
        <v>9544</v>
      </c>
      <c r="C1272" s="1" t="s">
        <v>9114</v>
      </c>
      <c r="D1272" s="1" t="s">
        <v>3496</v>
      </c>
      <c r="E1272" s="1" t="s">
        <v>3513</v>
      </c>
      <c r="F1272" s="1" t="s">
        <v>2049</v>
      </c>
      <c r="G1272" s="1" t="s">
        <v>2050</v>
      </c>
      <c r="H1272" s="1" t="str">
        <f t="shared" si="76"/>
        <v/>
      </c>
      <c r="I1272" s="1" t="str">
        <f t="shared" si="77"/>
        <v/>
      </c>
      <c r="J1272" s="1" t="str">
        <f t="shared" si="78"/>
        <v>Disk-{#SNMPINDEX}: 磁盘空间不足(已使用率&gt;{$VFS.FS.PUSED.MAX.WARN: "Disk-{#SNMPINDEX}"}%)</v>
      </c>
      <c r="K1272" s="1" t="str">
        <f t="shared" si="79"/>
        <v/>
      </c>
    </row>
    <row r="1273" spans="1:11">
      <c r="A1273" s="1">
        <v>2519</v>
      </c>
      <c r="B1273" s="1" t="s">
        <v>9544</v>
      </c>
      <c r="C1273" s="1" t="s">
        <v>9117</v>
      </c>
      <c r="D1273" s="1" t="s">
        <v>3496</v>
      </c>
      <c r="E1273" s="1" t="s">
        <v>3515</v>
      </c>
      <c r="F1273" s="1" t="s">
        <v>161</v>
      </c>
      <c r="G1273" s="1" t="s">
        <v>162</v>
      </c>
      <c r="H1273" s="1" t="str">
        <f t="shared" si="76"/>
        <v/>
      </c>
      <c r="I1273" s="1" t="str">
        <f t="shared" si="77"/>
        <v/>
      </c>
      <c r="J1273" s="1" t="str">
        <f t="shared" si="78"/>
        <v>接口{#IFNAME}({#IFALIAS}): 带宽使用率太高(&gt;{$IF.UTIL.MAX: "{#IFNAME}"}%)</v>
      </c>
      <c r="K1273" s="1" t="str">
        <f t="shared" si="79"/>
        <v/>
      </c>
    </row>
    <row r="1274" spans="1:11">
      <c r="A1274" s="1">
        <v>2520</v>
      </c>
      <c r="B1274" s="1" t="s">
        <v>9544</v>
      </c>
      <c r="C1274" s="1" t="s">
        <v>9119</v>
      </c>
      <c r="D1274" s="1" t="s">
        <v>3496</v>
      </c>
      <c r="E1274" s="1" t="s">
        <v>3517</v>
      </c>
      <c r="F1274" s="1" t="s">
        <v>165</v>
      </c>
      <c r="G1274" s="1" t="s">
        <v>166</v>
      </c>
      <c r="H1274" s="1" t="str">
        <f t="shared" si="76"/>
        <v/>
      </c>
      <c r="I1274" s="1" t="str">
        <f t="shared" si="77"/>
        <v/>
      </c>
      <c r="J1274" s="1" t="str">
        <f t="shared" si="78"/>
        <v>接口{#IFNAME}({#IFALIAS}): 错误率太高(&gt;{$IF.ERRORS.WARN: "{#IFNAME}"}达5分钟)</v>
      </c>
      <c r="K1274" s="1" t="str">
        <f t="shared" si="79"/>
        <v/>
      </c>
    </row>
    <row r="1275" spans="1:11">
      <c r="A1275" s="1">
        <v>2522</v>
      </c>
      <c r="B1275" s="1" t="s">
        <v>9544</v>
      </c>
      <c r="C1275" s="1" t="s">
        <v>9121</v>
      </c>
      <c r="D1275" s="1" t="s">
        <v>3496</v>
      </c>
      <c r="E1275" s="1" t="s">
        <v>3519</v>
      </c>
      <c r="F1275" s="1" t="s">
        <v>2057</v>
      </c>
      <c r="G1275" s="1" t="s">
        <v>2058</v>
      </c>
      <c r="H1275" s="1" t="str">
        <f t="shared" si="76"/>
        <v/>
      </c>
      <c r="I1275" s="1" t="str">
        <f t="shared" si="77"/>
        <v/>
      </c>
      <c r="J1275" s="1" t="str">
        <f t="shared" si="78"/>
        <v>接口{#IFNAME}({#IFALIAS}): LTE调制解调器RSRP低(低于{$LTEMODEM.RSRP.MIN.WARN}dbm5分钟)</v>
      </c>
      <c r="K1275" s="1" t="str">
        <f t="shared" si="79"/>
        <v/>
      </c>
    </row>
    <row r="1276" spans="1:11">
      <c r="A1276" s="1">
        <v>2523</v>
      </c>
      <c r="B1276" s="1" t="s">
        <v>9544</v>
      </c>
      <c r="C1276" s="1" t="s">
        <v>9122</v>
      </c>
      <c r="D1276" s="1" t="s">
        <v>3496</v>
      </c>
      <c r="E1276" s="1" t="s">
        <v>3521</v>
      </c>
      <c r="F1276" s="1" t="s">
        <v>2061</v>
      </c>
      <c r="G1276" s="1" t="s">
        <v>2062</v>
      </c>
      <c r="H1276" s="1" t="str">
        <f t="shared" si="76"/>
        <v/>
      </c>
      <c r="I1276" s="1" t="str">
        <f t="shared" si="77"/>
        <v/>
      </c>
      <c r="J1276" s="1" t="str">
        <f t="shared" si="78"/>
        <v>接口{#IFNAME}({#IFALIAS}): LTE调制解调器RSRQ低(低于{$LTEMODEM.RSRQ.MIN.WARN}db5分钟)</v>
      </c>
      <c r="K1276" s="1" t="str">
        <f t="shared" si="79"/>
        <v/>
      </c>
    </row>
    <row r="1277" spans="1:11">
      <c r="A1277" s="1">
        <v>2524</v>
      </c>
      <c r="B1277" s="1" t="s">
        <v>9544</v>
      </c>
      <c r="C1277" s="1" t="s">
        <v>9123</v>
      </c>
      <c r="D1277" s="1" t="s">
        <v>3496</v>
      </c>
      <c r="E1277" s="1" t="s">
        <v>3523</v>
      </c>
      <c r="F1277" s="1" t="s">
        <v>2065</v>
      </c>
      <c r="G1277" s="1" t="s">
        <v>2058</v>
      </c>
      <c r="H1277" s="1" t="str">
        <f t="shared" si="76"/>
        <v/>
      </c>
      <c r="I1277" s="1" t="str">
        <f t="shared" si="77"/>
        <v/>
      </c>
      <c r="J1277" s="1" t="str">
        <f t="shared" si="78"/>
        <v>接口{#IFNAME}({#IFALIAS}): LTE调制解调器RSRP低(低于{$LTEMODEM.RSRP.MIN.WARN}dbm5分钟)</v>
      </c>
      <c r="K1277" s="1" t="str">
        <f t="shared" si="79"/>
        <v/>
      </c>
    </row>
    <row r="1278" spans="1:11">
      <c r="A1278" s="1">
        <v>2525</v>
      </c>
      <c r="B1278" s="1" t="s">
        <v>9544</v>
      </c>
      <c r="C1278" s="1" t="s">
        <v>9124</v>
      </c>
      <c r="D1278" s="1" t="s">
        <v>3496</v>
      </c>
      <c r="E1278" s="1" t="s">
        <v>3525</v>
      </c>
      <c r="F1278" s="1" t="s">
        <v>2068</v>
      </c>
      <c r="G1278" s="1" t="s">
        <v>2062</v>
      </c>
      <c r="H1278" s="1" t="str">
        <f t="shared" si="76"/>
        <v/>
      </c>
      <c r="I1278" s="1" t="str">
        <f t="shared" si="77"/>
        <v/>
      </c>
      <c r="J1278" s="1" t="str">
        <f t="shared" si="78"/>
        <v>接口{#IFNAME}({#IFALIAS}): LTE调制解调器RSRQ低(低于{$LTEMODEM.RSRQ.MIN.WARN}db5分钟)</v>
      </c>
      <c r="K1278" s="1" t="str">
        <f t="shared" si="79"/>
        <v/>
      </c>
    </row>
    <row r="1279" spans="1:11">
      <c r="A1279" s="1">
        <v>2527</v>
      </c>
      <c r="B1279" s="1" t="s">
        <v>9545</v>
      </c>
      <c r="C1279" s="1" t="s">
        <v>9098</v>
      </c>
      <c r="D1279" s="1" t="s">
        <v>3527</v>
      </c>
      <c r="E1279" s="1" t="s">
        <v>3528</v>
      </c>
      <c r="F1279" s="1" t="s">
        <v>541</v>
      </c>
      <c r="G1279" s="1" t="s">
        <v>542</v>
      </c>
      <c r="H1279" s="1" t="str">
        <f t="shared" si="76"/>
        <v/>
      </c>
      <c r="I1279" s="1" t="str">
        <f t="shared" si="77"/>
        <v/>
      </c>
      <c r="J1279" s="1" t="str">
        <f t="shared" si="78"/>
        <v>#{#SNMPINDEX}: CPU使用率高了(超过{$CPU.UTIL.CRIT}%达5分钟)</v>
      </c>
      <c r="K1279" s="1" t="str">
        <f t="shared" si="79"/>
        <v/>
      </c>
    </row>
    <row r="1280" spans="1:11">
      <c r="A1280" s="1">
        <v>2528</v>
      </c>
      <c r="B1280" s="1" t="s">
        <v>9545</v>
      </c>
      <c r="C1280" s="1" t="s">
        <v>9100</v>
      </c>
      <c r="D1280" s="1" t="s">
        <v>3527</v>
      </c>
      <c r="E1280" s="1" t="s">
        <v>3530</v>
      </c>
      <c r="F1280" s="1" t="s">
        <v>1557</v>
      </c>
      <c r="G1280" s="1" t="s">
        <v>1558</v>
      </c>
      <c r="H1280" s="1" t="str">
        <f t="shared" si="76"/>
        <v>CPU</v>
      </c>
      <c r="I1280" s="1" t="str">
        <f t="shared" si="77"/>
        <v>温度高于临界阈值: &gt;{$TEMP_CRIT: "CPU"}</v>
      </c>
      <c r="J1280" s="1" t="str">
        <f t="shared" si="78"/>
        <v>CPU: 温度高于临界阈值: &gt;{$TEMP_CRIT: "CPU"}</v>
      </c>
      <c r="K1280" s="1" t="str">
        <f t="shared" si="79"/>
        <v>Temperature is above critical threshold: &gt;{$TEMP_CRIT:"CPU"}</v>
      </c>
    </row>
    <row r="1281" spans="1:11">
      <c r="A1281" s="1">
        <v>2529</v>
      </c>
      <c r="B1281" s="1" t="s">
        <v>9545</v>
      </c>
      <c r="C1281" s="1" t="s">
        <v>9102</v>
      </c>
      <c r="D1281" s="1" t="s">
        <v>3527</v>
      </c>
      <c r="E1281" s="1" t="s">
        <v>3532</v>
      </c>
      <c r="F1281" s="1" t="s">
        <v>1553</v>
      </c>
      <c r="G1281" s="1" t="s">
        <v>1554</v>
      </c>
      <c r="H1281" s="1" t="str">
        <f t="shared" si="76"/>
        <v>CPU</v>
      </c>
      <c r="I1281" s="1" t="str">
        <f t="shared" si="77"/>
        <v>温度高于告警阈值: &gt;{$TEMP_WARN: "CPU"}</v>
      </c>
      <c r="J1281" s="1" t="str">
        <f t="shared" si="78"/>
        <v>CPU: 温度高于告警阈值: &gt;{$TEMP_WARN: "CPU"}</v>
      </c>
      <c r="K1281" s="1" t="str">
        <f t="shared" si="79"/>
        <v>Temperature is above warning threshold: &gt;{$TEMP_WARN:"CPU"}</v>
      </c>
    </row>
    <row r="1282" spans="1:11">
      <c r="A1282" s="1">
        <v>2530</v>
      </c>
      <c r="B1282" s="1" t="s">
        <v>9545</v>
      </c>
      <c r="C1282" s="1" t="s">
        <v>9104</v>
      </c>
      <c r="D1282" s="1" t="s">
        <v>3527</v>
      </c>
      <c r="E1282" s="1" t="s">
        <v>3534</v>
      </c>
      <c r="F1282" s="1" t="s">
        <v>1561</v>
      </c>
      <c r="G1282" s="1" t="s">
        <v>1562</v>
      </c>
      <c r="H1282" s="1" t="str">
        <f t="shared" ref="H1282:H1345" si="80">IFERROR(IF(OR(MID(G1282,FIND(":",G1282)-1,1)="""",MID(G1282,FIND(":",G1282)-1,1)="}",MID(G1282,FIND(":",G1282)-1,1)=")",MID(G1282,FIND(":",G1282)-1,1)="]"),"",LEFT(F1282,FIND(":",F1282)-1)),"")</f>
        <v>CPU</v>
      </c>
      <c r="I1282" s="1" t="str">
        <f t="shared" ref="I1282:I1345" si="81">IFERROR(IF(OR(MID(G1282,FIND(":",G1282)-1,1)="""",MID(G1282,FIND(":",G1282)-1,1)="}",MID(G1282,FIND(":",G1282)-1,1)=")",MID(G1282,FIND(":",G1282)-1,1)="]"),"",RIGHT(G1282,LEN(G1282)-FIND(":",G1282)-1)),"")</f>
        <v>温度太低: &lt;{$TEMP_CRIT_LOW: "CPU"}</v>
      </c>
      <c r="J1282" s="1" t="str">
        <f t="shared" ref="J1282:J1345" si="82">IF(AND(I1282="",H1282=""),G1282,H1282&amp;": "&amp;I1282)</f>
        <v>CPU: 温度太低: &lt;{$TEMP_CRIT_LOW: "CPU"}</v>
      </c>
      <c r="K1282" s="1" t="str">
        <f t="shared" ref="K1282:K1345" si="83">IFERROR(IF(OR(MID(F1282,FIND(":",F1282)-1,1)="""",MID(F1282,FIND(":",F1282)-1,1)="}",MID(F1282,FIND(":",F1282)-1,1)=")",MID(F1282,FIND(":",F1282)-1,1)="]"),"",RIGHT(F1282,LEN(F1282)-FIND(":",F1282)-1)),"")</f>
        <v>Temperature is too low: &lt;{$TEMP_CRIT_LOW:"CPU"}</v>
      </c>
    </row>
    <row r="1283" spans="1:11">
      <c r="A1283" s="1">
        <v>2531</v>
      </c>
      <c r="B1283" s="1" t="s">
        <v>9545</v>
      </c>
      <c r="C1283" s="1" t="s">
        <v>9106</v>
      </c>
      <c r="D1283" s="1" t="s">
        <v>3527</v>
      </c>
      <c r="E1283" s="1" t="s">
        <v>3536</v>
      </c>
      <c r="F1283" s="1" t="s">
        <v>2033</v>
      </c>
      <c r="G1283" s="1" t="s">
        <v>2034</v>
      </c>
      <c r="H1283" s="1" t="str">
        <f t="shared" si="80"/>
        <v>Device</v>
      </c>
      <c r="I1283" s="1" t="str">
        <f t="shared" si="81"/>
        <v>温度高于临界阈值: &gt;{$TEMP_CRIT: "Device"}</v>
      </c>
      <c r="J1283" s="1" t="str">
        <f t="shared" si="82"/>
        <v>Device: 温度高于临界阈值: &gt;{$TEMP_CRIT: "Device"}</v>
      </c>
      <c r="K1283" s="1" t="str">
        <f t="shared" si="83"/>
        <v>Temperature is above critical threshold: &gt;{$TEMP_CRIT:"Device"}</v>
      </c>
    </row>
    <row r="1284" spans="1:11">
      <c r="A1284" s="1">
        <v>2532</v>
      </c>
      <c r="B1284" s="1" t="s">
        <v>9545</v>
      </c>
      <c r="C1284" s="1" t="s">
        <v>9108</v>
      </c>
      <c r="D1284" s="1" t="s">
        <v>3527</v>
      </c>
      <c r="E1284" s="1" t="s">
        <v>3538</v>
      </c>
      <c r="F1284" s="1" t="s">
        <v>2037</v>
      </c>
      <c r="G1284" s="1" t="s">
        <v>2038</v>
      </c>
      <c r="H1284" s="1" t="str">
        <f t="shared" si="80"/>
        <v>Device</v>
      </c>
      <c r="I1284" s="1" t="str">
        <f t="shared" si="81"/>
        <v>温度高于告警阈值: &gt;{$TEMP_WARN: "Device"}</v>
      </c>
      <c r="J1284" s="1" t="str">
        <f t="shared" si="82"/>
        <v>Device: 温度高于告警阈值: &gt;{$TEMP_WARN: "Device"}</v>
      </c>
      <c r="K1284" s="1" t="str">
        <f t="shared" si="83"/>
        <v>Temperature is above warning threshold: &gt;{$TEMP_WARN:"Device"}</v>
      </c>
    </row>
    <row r="1285" spans="1:11">
      <c r="A1285" s="1">
        <v>2533</v>
      </c>
      <c r="B1285" s="1" t="s">
        <v>9545</v>
      </c>
      <c r="C1285" s="1" t="s">
        <v>9110</v>
      </c>
      <c r="D1285" s="1" t="s">
        <v>3527</v>
      </c>
      <c r="E1285" s="1" t="s">
        <v>3540</v>
      </c>
      <c r="F1285" s="1" t="s">
        <v>2041</v>
      </c>
      <c r="G1285" s="1" t="s">
        <v>2042</v>
      </c>
      <c r="H1285" s="1" t="str">
        <f t="shared" si="80"/>
        <v>Device</v>
      </c>
      <c r="I1285" s="1" t="str">
        <f t="shared" si="81"/>
        <v>温度太低: &lt;{$TEMP_CRIT_LOW: "Device"}</v>
      </c>
      <c r="J1285" s="1" t="str">
        <f t="shared" si="82"/>
        <v>Device: 温度太低: &lt;{$TEMP_CRIT_LOW: "Device"}</v>
      </c>
      <c r="K1285" s="1" t="str">
        <f t="shared" si="83"/>
        <v>Temperature is too low: &lt;{$TEMP_CRIT_LOW:"Device"}</v>
      </c>
    </row>
    <row r="1286" spans="1:11">
      <c r="A1286" s="1">
        <v>2534</v>
      </c>
      <c r="B1286" s="1" t="s">
        <v>9545</v>
      </c>
      <c r="C1286" s="1" t="s">
        <v>9112</v>
      </c>
      <c r="D1286" s="1" t="s">
        <v>3527</v>
      </c>
      <c r="E1286" s="1" t="s">
        <v>3542</v>
      </c>
      <c r="F1286" s="1" t="s">
        <v>2045</v>
      </c>
      <c r="G1286" s="1" t="s">
        <v>2046</v>
      </c>
      <c r="H1286" s="1" t="str">
        <f t="shared" si="80"/>
        <v/>
      </c>
      <c r="I1286" s="1" t="str">
        <f t="shared" si="81"/>
        <v/>
      </c>
      <c r="J1286" s="1" t="str">
        <f t="shared" si="82"/>
        <v>Disk-{#SNMPINDEX}: 磁盘空间严重不足(已使用率&gt;{$VFS.FS.PUSED.MAX.CRIT: "Disk-{#SNMPINDEX}"}%)</v>
      </c>
      <c r="K1286" s="1" t="str">
        <f t="shared" si="83"/>
        <v/>
      </c>
    </row>
    <row r="1287" spans="1:11">
      <c r="A1287" s="1">
        <v>2535</v>
      </c>
      <c r="B1287" s="1" t="s">
        <v>9545</v>
      </c>
      <c r="C1287" s="1" t="s">
        <v>9114</v>
      </c>
      <c r="D1287" s="1" t="s">
        <v>3527</v>
      </c>
      <c r="E1287" s="1" t="s">
        <v>3544</v>
      </c>
      <c r="F1287" s="1" t="s">
        <v>2049</v>
      </c>
      <c r="G1287" s="1" t="s">
        <v>2050</v>
      </c>
      <c r="H1287" s="1" t="str">
        <f t="shared" si="80"/>
        <v/>
      </c>
      <c r="I1287" s="1" t="str">
        <f t="shared" si="81"/>
        <v/>
      </c>
      <c r="J1287" s="1" t="str">
        <f t="shared" si="82"/>
        <v>Disk-{#SNMPINDEX}: 磁盘空间不足(已使用率&gt;{$VFS.FS.PUSED.MAX.WARN: "Disk-{#SNMPINDEX}"}%)</v>
      </c>
      <c r="K1287" s="1" t="str">
        <f t="shared" si="83"/>
        <v/>
      </c>
    </row>
    <row r="1288" spans="1:11">
      <c r="A1288" s="1">
        <v>2537</v>
      </c>
      <c r="B1288" s="1" t="s">
        <v>9545</v>
      </c>
      <c r="C1288" s="1" t="s">
        <v>9117</v>
      </c>
      <c r="D1288" s="1" t="s">
        <v>3527</v>
      </c>
      <c r="E1288" s="1" t="s">
        <v>3546</v>
      </c>
      <c r="F1288" s="1" t="s">
        <v>161</v>
      </c>
      <c r="G1288" s="1" t="s">
        <v>162</v>
      </c>
      <c r="H1288" s="1" t="str">
        <f t="shared" si="80"/>
        <v/>
      </c>
      <c r="I1288" s="1" t="str">
        <f t="shared" si="81"/>
        <v/>
      </c>
      <c r="J1288" s="1" t="str">
        <f t="shared" si="82"/>
        <v>接口{#IFNAME}({#IFALIAS}): 带宽使用率太高(&gt;{$IF.UTIL.MAX: "{#IFNAME}"}%)</v>
      </c>
      <c r="K1288" s="1" t="str">
        <f t="shared" si="83"/>
        <v/>
      </c>
    </row>
    <row r="1289" spans="1:11">
      <c r="A1289" s="1">
        <v>2538</v>
      </c>
      <c r="B1289" s="1" t="s">
        <v>9545</v>
      </c>
      <c r="C1289" s="1" t="s">
        <v>9119</v>
      </c>
      <c r="D1289" s="1" t="s">
        <v>3527</v>
      </c>
      <c r="E1289" s="1" t="s">
        <v>3548</v>
      </c>
      <c r="F1289" s="1" t="s">
        <v>165</v>
      </c>
      <c r="G1289" s="1" t="s">
        <v>166</v>
      </c>
      <c r="H1289" s="1" t="str">
        <f t="shared" si="80"/>
        <v/>
      </c>
      <c r="I1289" s="1" t="str">
        <f t="shared" si="81"/>
        <v/>
      </c>
      <c r="J1289" s="1" t="str">
        <f t="shared" si="82"/>
        <v>接口{#IFNAME}({#IFALIAS}): 错误率太高(&gt;{$IF.ERRORS.WARN: "{#IFNAME}"}达5分钟)</v>
      </c>
      <c r="K1289" s="1" t="str">
        <f t="shared" si="83"/>
        <v/>
      </c>
    </row>
    <row r="1290" spans="1:11">
      <c r="A1290" s="1">
        <v>2540</v>
      </c>
      <c r="B1290" s="1" t="s">
        <v>9545</v>
      </c>
      <c r="C1290" s="1" t="s">
        <v>9121</v>
      </c>
      <c r="D1290" s="1" t="s">
        <v>3527</v>
      </c>
      <c r="E1290" s="1" t="s">
        <v>3550</v>
      </c>
      <c r="F1290" s="1" t="s">
        <v>2057</v>
      </c>
      <c r="G1290" s="1" t="s">
        <v>2058</v>
      </c>
      <c r="H1290" s="1" t="str">
        <f t="shared" si="80"/>
        <v/>
      </c>
      <c r="I1290" s="1" t="str">
        <f t="shared" si="81"/>
        <v/>
      </c>
      <c r="J1290" s="1" t="str">
        <f t="shared" si="82"/>
        <v>接口{#IFNAME}({#IFALIAS}): LTE调制解调器RSRP低(低于{$LTEMODEM.RSRP.MIN.WARN}dbm5分钟)</v>
      </c>
      <c r="K1290" s="1" t="str">
        <f t="shared" si="83"/>
        <v/>
      </c>
    </row>
    <row r="1291" spans="1:11">
      <c r="A1291" s="1">
        <v>2541</v>
      </c>
      <c r="B1291" s="1" t="s">
        <v>9545</v>
      </c>
      <c r="C1291" s="1" t="s">
        <v>9122</v>
      </c>
      <c r="D1291" s="1" t="s">
        <v>3527</v>
      </c>
      <c r="E1291" s="1" t="s">
        <v>3552</v>
      </c>
      <c r="F1291" s="1" t="s">
        <v>2061</v>
      </c>
      <c r="G1291" s="1" t="s">
        <v>2062</v>
      </c>
      <c r="H1291" s="1" t="str">
        <f t="shared" si="80"/>
        <v/>
      </c>
      <c r="I1291" s="1" t="str">
        <f t="shared" si="81"/>
        <v/>
      </c>
      <c r="J1291" s="1" t="str">
        <f t="shared" si="82"/>
        <v>接口{#IFNAME}({#IFALIAS}): LTE调制解调器RSRQ低(低于{$LTEMODEM.RSRQ.MIN.WARN}db5分钟)</v>
      </c>
      <c r="K1291" s="1" t="str">
        <f t="shared" si="83"/>
        <v/>
      </c>
    </row>
    <row r="1292" spans="1:11">
      <c r="A1292" s="1">
        <v>2542</v>
      </c>
      <c r="B1292" s="1" t="s">
        <v>9545</v>
      </c>
      <c r="C1292" s="1" t="s">
        <v>9123</v>
      </c>
      <c r="D1292" s="1" t="s">
        <v>3527</v>
      </c>
      <c r="E1292" s="1" t="s">
        <v>3554</v>
      </c>
      <c r="F1292" s="1" t="s">
        <v>2065</v>
      </c>
      <c r="G1292" s="1" t="s">
        <v>2058</v>
      </c>
      <c r="H1292" s="1" t="str">
        <f t="shared" si="80"/>
        <v/>
      </c>
      <c r="I1292" s="1" t="str">
        <f t="shared" si="81"/>
        <v/>
      </c>
      <c r="J1292" s="1" t="str">
        <f t="shared" si="82"/>
        <v>接口{#IFNAME}({#IFALIAS}): LTE调制解调器RSRP低(低于{$LTEMODEM.RSRP.MIN.WARN}dbm5分钟)</v>
      </c>
      <c r="K1292" s="1" t="str">
        <f t="shared" si="83"/>
        <v/>
      </c>
    </row>
    <row r="1293" spans="1:11">
      <c r="A1293" s="1">
        <v>2543</v>
      </c>
      <c r="B1293" s="1" t="s">
        <v>9545</v>
      </c>
      <c r="C1293" s="1" t="s">
        <v>9124</v>
      </c>
      <c r="D1293" s="1" t="s">
        <v>3527</v>
      </c>
      <c r="E1293" s="1" t="s">
        <v>3556</v>
      </c>
      <c r="F1293" s="1" t="s">
        <v>2068</v>
      </c>
      <c r="G1293" s="1" t="s">
        <v>2062</v>
      </c>
      <c r="H1293" s="1" t="str">
        <f t="shared" si="80"/>
        <v/>
      </c>
      <c r="I1293" s="1" t="str">
        <f t="shared" si="81"/>
        <v/>
      </c>
      <c r="J1293" s="1" t="str">
        <f t="shared" si="82"/>
        <v>接口{#IFNAME}({#IFALIAS}): LTE调制解调器RSRQ低(低于{$LTEMODEM.RSRQ.MIN.WARN}db5分钟)</v>
      </c>
      <c r="K1293" s="1" t="str">
        <f t="shared" si="83"/>
        <v/>
      </c>
    </row>
    <row r="1294" spans="1:11">
      <c r="A1294" s="1">
        <v>2545</v>
      </c>
      <c r="B1294" s="1" t="s">
        <v>9546</v>
      </c>
      <c r="C1294" s="1" t="s">
        <v>9098</v>
      </c>
      <c r="D1294" s="1" t="s">
        <v>3558</v>
      </c>
      <c r="E1294" s="1" t="s">
        <v>3559</v>
      </c>
      <c r="F1294" s="1" t="s">
        <v>541</v>
      </c>
      <c r="G1294" s="1" t="s">
        <v>542</v>
      </c>
      <c r="H1294" s="1" t="str">
        <f t="shared" si="80"/>
        <v/>
      </c>
      <c r="I1294" s="1" t="str">
        <f t="shared" si="81"/>
        <v/>
      </c>
      <c r="J1294" s="1" t="str">
        <f t="shared" si="82"/>
        <v>#{#SNMPINDEX}: CPU使用率高了(超过{$CPU.UTIL.CRIT}%达5分钟)</v>
      </c>
      <c r="K1294" s="1" t="str">
        <f t="shared" si="83"/>
        <v/>
      </c>
    </row>
    <row r="1295" spans="1:11">
      <c r="A1295" s="1">
        <v>2546</v>
      </c>
      <c r="B1295" s="1" t="s">
        <v>9546</v>
      </c>
      <c r="C1295" s="1" t="s">
        <v>9100</v>
      </c>
      <c r="D1295" s="1" t="s">
        <v>3558</v>
      </c>
      <c r="E1295" s="1" t="s">
        <v>3561</v>
      </c>
      <c r="F1295" s="1" t="s">
        <v>1557</v>
      </c>
      <c r="G1295" s="1" t="s">
        <v>1558</v>
      </c>
      <c r="H1295" s="1" t="str">
        <f t="shared" si="80"/>
        <v>CPU</v>
      </c>
      <c r="I1295" s="1" t="str">
        <f t="shared" si="81"/>
        <v>温度高于临界阈值: &gt;{$TEMP_CRIT: "CPU"}</v>
      </c>
      <c r="J1295" s="1" t="str">
        <f t="shared" si="82"/>
        <v>CPU: 温度高于临界阈值: &gt;{$TEMP_CRIT: "CPU"}</v>
      </c>
      <c r="K1295" s="1" t="str">
        <f t="shared" si="83"/>
        <v>Temperature is above critical threshold: &gt;{$TEMP_CRIT:"CPU"}</v>
      </c>
    </row>
    <row r="1296" spans="1:11">
      <c r="A1296" s="1">
        <v>2547</v>
      </c>
      <c r="B1296" s="1" t="s">
        <v>9546</v>
      </c>
      <c r="C1296" s="1" t="s">
        <v>9102</v>
      </c>
      <c r="D1296" s="1" t="s">
        <v>3558</v>
      </c>
      <c r="E1296" s="1" t="s">
        <v>3563</v>
      </c>
      <c r="F1296" s="1" t="s">
        <v>1553</v>
      </c>
      <c r="G1296" s="1" t="s">
        <v>1554</v>
      </c>
      <c r="H1296" s="1" t="str">
        <f t="shared" si="80"/>
        <v>CPU</v>
      </c>
      <c r="I1296" s="1" t="str">
        <f t="shared" si="81"/>
        <v>温度高于告警阈值: &gt;{$TEMP_WARN: "CPU"}</v>
      </c>
      <c r="J1296" s="1" t="str">
        <f t="shared" si="82"/>
        <v>CPU: 温度高于告警阈值: &gt;{$TEMP_WARN: "CPU"}</v>
      </c>
      <c r="K1296" s="1" t="str">
        <f t="shared" si="83"/>
        <v>Temperature is above warning threshold: &gt;{$TEMP_WARN:"CPU"}</v>
      </c>
    </row>
    <row r="1297" spans="1:11">
      <c r="A1297" s="1">
        <v>2548</v>
      </c>
      <c r="B1297" s="1" t="s">
        <v>9546</v>
      </c>
      <c r="C1297" s="1" t="s">
        <v>9104</v>
      </c>
      <c r="D1297" s="1" t="s">
        <v>3558</v>
      </c>
      <c r="E1297" s="1" t="s">
        <v>3565</v>
      </c>
      <c r="F1297" s="1" t="s">
        <v>1561</v>
      </c>
      <c r="G1297" s="1" t="s">
        <v>1562</v>
      </c>
      <c r="H1297" s="1" t="str">
        <f t="shared" si="80"/>
        <v>CPU</v>
      </c>
      <c r="I1297" s="1" t="str">
        <f t="shared" si="81"/>
        <v>温度太低: &lt;{$TEMP_CRIT_LOW: "CPU"}</v>
      </c>
      <c r="J1297" s="1" t="str">
        <f t="shared" si="82"/>
        <v>CPU: 温度太低: &lt;{$TEMP_CRIT_LOW: "CPU"}</v>
      </c>
      <c r="K1297" s="1" t="str">
        <f t="shared" si="83"/>
        <v>Temperature is too low: &lt;{$TEMP_CRIT_LOW:"CPU"}</v>
      </c>
    </row>
    <row r="1298" spans="1:11">
      <c r="A1298" s="1">
        <v>2549</v>
      </c>
      <c r="B1298" s="1" t="s">
        <v>9546</v>
      </c>
      <c r="C1298" s="1" t="s">
        <v>9106</v>
      </c>
      <c r="D1298" s="1" t="s">
        <v>3558</v>
      </c>
      <c r="E1298" s="1" t="s">
        <v>3567</v>
      </c>
      <c r="F1298" s="1" t="s">
        <v>2033</v>
      </c>
      <c r="G1298" s="1" t="s">
        <v>2034</v>
      </c>
      <c r="H1298" s="1" t="str">
        <f t="shared" si="80"/>
        <v>Device</v>
      </c>
      <c r="I1298" s="1" t="str">
        <f t="shared" si="81"/>
        <v>温度高于临界阈值: &gt;{$TEMP_CRIT: "Device"}</v>
      </c>
      <c r="J1298" s="1" t="str">
        <f t="shared" si="82"/>
        <v>Device: 温度高于临界阈值: &gt;{$TEMP_CRIT: "Device"}</v>
      </c>
      <c r="K1298" s="1" t="str">
        <f t="shared" si="83"/>
        <v>Temperature is above critical threshold: &gt;{$TEMP_CRIT:"Device"}</v>
      </c>
    </row>
    <row r="1299" spans="1:11">
      <c r="A1299" s="1">
        <v>2550</v>
      </c>
      <c r="B1299" s="1" t="s">
        <v>9546</v>
      </c>
      <c r="C1299" s="1" t="s">
        <v>9108</v>
      </c>
      <c r="D1299" s="1" t="s">
        <v>3558</v>
      </c>
      <c r="E1299" s="1" t="s">
        <v>3569</v>
      </c>
      <c r="F1299" s="1" t="s">
        <v>2037</v>
      </c>
      <c r="G1299" s="1" t="s">
        <v>2038</v>
      </c>
      <c r="H1299" s="1" t="str">
        <f t="shared" si="80"/>
        <v>Device</v>
      </c>
      <c r="I1299" s="1" t="str">
        <f t="shared" si="81"/>
        <v>温度高于告警阈值: &gt;{$TEMP_WARN: "Device"}</v>
      </c>
      <c r="J1299" s="1" t="str">
        <f t="shared" si="82"/>
        <v>Device: 温度高于告警阈值: &gt;{$TEMP_WARN: "Device"}</v>
      </c>
      <c r="K1299" s="1" t="str">
        <f t="shared" si="83"/>
        <v>Temperature is above warning threshold: &gt;{$TEMP_WARN:"Device"}</v>
      </c>
    </row>
    <row r="1300" spans="1:11">
      <c r="A1300" s="1">
        <v>2551</v>
      </c>
      <c r="B1300" s="1" t="s">
        <v>9546</v>
      </c>
      <c r="C1300" s="1" t="s">
        <v>9110</v>
      </c>
      <c r="D1300" s="1" t="s">
        <v>3558</v>
      </c>
      <c r="E1300" s="1" t="s">
        <v>3571</v>
      </c>
      <c r="F1300" s="1" t="s">
        <v>2041</v>
      </c>
      <c r="G1300" s="1" t="s">
        <v>2042</v>
      </c>
      <c r="H1300" s="1" t="str">
        <f t="shared" si="80"/>
        <v>Device</v>
      </c>
      <c r="I1300" s="1" t="str">
        <f t="shared" si="81"/>
        <v>温度太低: &lt;{$TEMP_CRIT_LOW: "Device"}</v>
      </c>
      <c r="J1300" s="1" t="str">
        <f t="shared" si="82"/>
        <v>Device: 温度太低: &lt;{$TEMP_CRIT_LOW: "Device"}</v>
      </c>
      <c r="K1300" s="1" t="str">
        <f t="shared" si="83"/>
        <v>Temperature is too low: &lt;{$TEMP_CRIT_LOW:"Device"}</v>
      </c>
    </row>
    <row r="1301" spans="1:11">
      <c r="A1301" s="1">
        <v>2552</v>
      </c>
      <c r="B1301" s="1" t="s">
        <v>9546</v>
      </c>
      <c r="C1301" s="1" t="s">
        <v>9112</v>
      </c>
      <c r="D1301" s="1" t="s">
        <v>3558</v>
      </c>
      <c r="E1301" s="1" t="s">
        <v>3573</v>
      </c>
      <c r="F1301" s="1" t="s">
        <v>2045</v>
      </c>
      <c r="G1301" s="1" t="s">
        <v>2046</v>
      </c>
      <c r="H1301" s="1" t="str">
        <f t="shared" si="80"/>
        <v/>
      </c>
      <c r="I1301" s="1" t="str">
        <f t="shared" si="81"/>
        <v/>
      </c>
      <c r="J1301" s="1" t="str">
        <f t="shared" si="82"/>
        <v>Disk-{#SNMPINDEX}: 磁盘空间严重不足(已使用率&gt;{$VFS.FS.PUSED.MAX.CRIT: "Disk-{#SNMPINDEX}"}%)</v>
      </c>
      <c r="K1301" s="1" t="str">
        <f t="shared" si="83"/>
        <v/>
      </c>
    </row>
    <row r="1302" spans="1:11">
      <c r="A1302" s="1">
        <v>2553</v>
      </c>
      <c r="B1302" s="1" t="s">
        <v>9546</v>
      </c>
      <c r="C1302" s="1" t="s">
        <v>9114</v>
      </c>
      <c r="D1302" s="1" t="s">
        <v>3558</v>
      </c>
      <c r="E1302" s="1" t="s">
        <v>3575</v>
      </c>
      <c r="F1302" s="1" t="s">
        <v>2049</v>
      </c>
      <c r="G1302" s="1" t="s">
        <v>2050</v>
      </c>
      <c r="H1302" s="1" t="str">
        <f t="shared" si="80"/>
        <v/>
      </c>
      <c r="I1302" s="1" t="str">
        <f t="shared" si="81"/>
        <v/>
      </c>
      <c r="J1302" s="1" t="str">
        <f t="shared" si="82"/>
        <v>Disk-{#SNMPINDEX}: 磁盘空间不足(已使用率&gt;{$VFS.FS.PUSED.MAX.WARN: "Disk-{#SNMPINDEX}"}%)</v>
      </c>
      <c r="K1302" s="1" t="str">
        <f t="shared" si="83"/>
        <v/>
      </c>
    </row>
    <row r="1303" spans="1:11">
      <c r="A1303" s="1">
        <v>2555</v>
      </c>
      <c r="B1303" s="1" t="s">
        <v>9546</v>
      </c>
      <c r="C1303" s="1" t="s">
        <v>9117</v>
      </c>
      <c r="D1303" s="1" t="s">
        <v>3558</v>
      </c>
      <c r="E1303" s="1" t="s">
        <v>3577</v>
      </c>
      <c r="F1303" s="1" t="s">
        <v>161</v>
      </c>
      <c r="G1303" s="1" t="s">
        <v>162</v>
      </c>
      <c r="H1303" s="1" t="str">
        <f t="shared" si="80"/>
        <v/>
      </c>
      <c r="I1303" s="1" t="str">
        <f t="shared" si="81"/>
        <v/>
      </c>
      <c r="J1303" s="1" t="str">
        <f t="shared" si="82"/>
        <v>接口{#IFNAME}({#IFALIAS}): 带宽使用率太高(&gt;{$IF.UTIL.MAX: "{#IFNAME}"}%)</v>
      </c>
      <c r="K1303" s="1" t="str">
        <f t="shared" si="83"/>
        <v/>
      </c>
    </row>
    <row r="1304" spans="1:11">
      <c r="A1304" s="1">
        <v>2556</v>
      </c>
      <c r="B1304" s="1" t="s">
        <v>9546</v>
      </c>
      <c r="C1304" s="1" t="s">
        <v>9119</v>
      </c>
      <c r="D1304" s="1" t="s">
        <v>3558</v>
      </c>
      <c r="E1304" s="1" t="s">
        <v>3579</v>
      </c>
      <c r="F1304" s="1" t="s">
        <v>165</v>
      </c>
      <c r="G1304" s="1" t="s">
        <v>166</v>
      </c>
      <c r="H1304" s="1" t="str">
        <f t="shared" si="80"/>
        <v/>
      </c>
      <c r="I1304" s="1" t="str">
        <f t="shared" si="81"/>
        <v/>
      </c>
      <c r="J1304" s="1" t="str">
        <f t="shared" si="82"/>
        <v>接口{#IFNAME}({#IFALIAS}): 错误率太高(&gt;{$IF.ERRORS.WARN: "{#IFNAME}"}达5分钟)</v>
      </c>
      <c r="K1304" s="1" t="str">
        <f t="shared" si="83"/>
        <v/>
      </c>
    </row>
    <row r="1305" spans="1:11">
      <c r="A1305" s="1">
        <v>2558</v>
      </c>
      <c r="B1305" s="1" t="s">
        <v>9546</v>
      </c>
      <c r="C1305" s="1" t="s">
        <v>9121</v>
      </c>
      <c r="D1305" s="1" t="s">
        <v>3558</v>
      </c>
      <c r="E1305" s="1" t="s">
        <v>3581</v>
      </c>
      <c r="F1305" s="1" t="s">
        <v>2057</v>
      </c>
      <c r="G1305" s="1" t="s">
        <v>2058</v>
      </c>
      <c r="H1305" s="1" t="str">
        <f t="shared" si="80"/>
        <v/>
      </c>
      <c r="I1305" s="1" t="str">
        <f t="shared" si="81"/>
        <v/>
      </c>
      <c r="J1305" s="1" t="str">
        <f t="shared" si="82"/>
        <v>接口{#IFNAME}({#IFALIAS}): LTE调制解调器RSRP低(低于{$LTEMODEM.RSRP.MIN.WARN}dbm5分钟)</v>
      </c>
      <c r="K1305" s="1" t="str">
        <f t="shared" si="83"/>
        <v/>
      </c>
    </row>
    <row r="1306" spans="1:11">
      <c r="A1306" s="1">
        <v>2559</v>
      </c>
      <c r="B1306" s="1" t="s">
        <v>9546</v>
      </c>
      <c r="C1306" s="1" t="s">
        <v>9122</v>
      </c>
      <c r="D1306" s="1" t="s">
        <v>3558</v>
      </c>
      <c r="E1306" s="1" t="s">
        <v>3583</v>
      </c>
      <c r="F1306" s="1" t="s">
        <v>2061</v>
      </c>
      <c r="G1306" s="1" t="s">
        <v>2062</v>
      </c>
      <c r="H1306" s="1" t="str">
        <f t="shared" si="80"/>
        <v/>
      </c>
      <c r="I1306" s="1" t="str">
        <f t="shared" si="81"/>
        <v/>
      </c>
      <c r="J1306" s="1" t="str">
        <f t="shared" si="82"/>
        <v>接口{#IFNAME}({#IFALIAS}): LTE调制解调器RSRQ低(低于{$LTEMODEM.RSRQ.MIN.WARN}db5分钟)</v>
      </c>
      <c r="K1306" s="1" t="str">
        <f t="shared" si="83"/>
        <v/>
      </c>
    </row>
    <row r="1307" spans="1:11">
      <c r="A1307" s="1">
        <v>2560</v>
      </c>
      <c r="B1307" s="1" t="s">
        <v>9546</v>
      </c>
      <c r="C1307" s="1" t="s">
        <v>9123</v>
      </c>
      <c r="D1307" s="1" t="s">
        <v>3558</v>
      </c>
      <c r="E1307" s="1" t="s">
        <v>3585</v>
      </c>
      <c r="F1307" s="1" t="s">
        <v>2065</v>
      </c>
      <c r="G1307" s="1" t="s">
        <v>2058</v>
      </c>
      <c r="H1307" s="1" t="str">
        <f t="shared" si="80"/>
        <v/>
      </c>
      <c r="I1307" s="1" t="str">
        <f t="shared" si="81"/>
        <v/>
      </c>
      <c r="J1307" s="1" t="str">
        <f t="shared" si="82"/>
        <v>接口{#IFNAME}({#IFALIAS}): LTE调制解调器RSRP低(低于{$LTEMODEM.RSRP.MIN.WARN}dbm5分钟)</v>
      </c>
      <c r="K1307" s="1" t="str">
        <f t="shared" si="83"/>
        <v/>
      </c>
    </row>
    <row r="1308" spans="1:11">
      <c r="A1308" s="1">
        <v>2561</v>
      </c>
      <c r="B1308" s="1" t="s">
        <v>9546</v>
      </c>
      <c r="C1308" s="1" t="s">
        <v>9124</v>
      </c>
      <c r="D1308" s="1" t="s">
        <v>3558</v>
      </c>
      <c r="E1308" s="1" t="s">
        <v>3587</v>
      </c>
      <c r="F1308" s="1" t="s">
        <v>2068</v>
      </c>
      <c r="G1308" s="1" t="s">
        <v>2062</v>
      </c>
      <c r="H1308" s="1" t="str">
        <f t="shared" si="80"/>
        <v/>
      </c>
      <c r="I1308" s="1" t="str">
        <f t="shared" si="81"/>
        <v/>
      </c>
      <c r="J1308" s="1" t="str">
        <f t="shared" si="82"/>
        <v>接口{#IFNAME}({#IFALIAS}): LTE调制解调器RSRQ低(低于{$LTEMODEM.RSRQ.MIN.WARN}db5分钟)</v>
      </c>
      <c r="K1308" s="1" t="str">
        <f t="shared" si="83"/>
        <v/>
      </c>
    </row>
    <row r="1309" spans="1:11">
      <c r="A1309" s="1">
        <v>2563</v>
      </c>
      <c r="B1309" s="1" t="s">
        <v>9547</v>
      </c>
      <c r="C1309" s="1" t="s">
        <v>9098</v>
      </c>
      <c r="D1309" s="1" t="s">
        <v>3589</v>
      </c>
      <c r="E1309" s="1" t="s">
        <v>3590</v>
      </c>
      <c r="F1309" s="1" t="s">
        <v>541</v>
      </c>
      <c r="G1309" s="1" t="s">
        <v>542</v>
      </c>
      <c r="H1309" s="1" t="str">
        <f t="shared" si="80"/>
        <v/>
      </c>
      <c r="I1309" s="1" t="str">
        <f t="shared" si="81"/>
        <v/>
      </c>
      <c r="J1309" s="1" t="str">
        <f t="shared" si="82"/>
        <v>#{#SNMPINDEX}: CPU使用率高了(超过{$CPU.UTIL.CRIT}%达5分钟)</v>
      </c>
      <c r="K1309" s="1" t="str">
        <f t="shared" si="83"/>
        <v/>
      </c>
    </row>
    <row r="1310" spans="1:11">
      <c r="A1310" s="1">
        <v>2564</v>
      </c>
      <c r="B1310" s="1" t="s">
        <v>9547</v>
      </c>
      <c r="C1310" s="1" t="s">
        <v>9100</v>
      </c>
      <c r="D1310" s="1" t="s">
        <v>3589</v>
      </c>
      <c r="E1310" s="1" t="s">
        <v>3592</v>
      </c>
      <c r="F1310" s="1" t="s">
        <v>1557</v>
      </c>
      <c r="G1310" s="1" t="s">
        <v>1558</v>
      </c>
      <c r="H1310" s="1" t="str">
        <f t="shared" si="80"/>
        <v>CPU</v>
      </c>
      <c r="I1310" s="1" t="str">
        <f t="shared" si="81"/>
        <v>温度高于临界阈值: &gt;{$TEMP_CRIT: "CPU"}</v>
      </c>
      <c r="J1310" s="1" t="str">
        <f t="shared" si="82"/>
        <v>CPU: 温度高于临界阈值: &gt;{$TEMP_CRIT: "CPU"}</v>
      </c>
      <c r="K1310" s="1" t="str">
        <f t="shared" si="83"/>
        <v>Temperature is above critical threshold: &gt;{$TEMP_CRIT:"CPU"}</v>
      </c>
    </row>
    <row r="1311" spans="1:11">
      <c r="A1311" s="1">
        <v>2565</v>
      </c>
      <c r="B1311" s="1" t="s">
        <v>9547</v>
      </c>
      <c r="C1311" s="1" t="s">
        <v>9102</v>
      </c>
      <c r="D1311" s="1" t="s">
        <v>3589</v>
      </c>
      <c r="E1311" s="1" t="s">
        <v>3594</v>
      </c>
      <c r="F1311" s="1" t="s">
        <v>1553</v>
      </c>
      <c r="G1311" s="1" t="s">
        <v>1554</v>
      </c>
      <c r="H1311" s="1" t="str">
        <f t="shared" si="80"/>
        <v>CPU</v>
      </c>
      <c r="I1311" s="1" t="str">
        <f t="shared" si="81"/>
        <v>温度高于告警阈值: &gt;{$TEMP_WARN: "CPU"}</v>
      </c>
      <c r="J1311" s="1" t="str">
        <f t="shared" si="82"/>
        <v>CPU: 温度高于告警阈值: &gt;{$TEMP_WARN: "CPU"}</v>
      </c>
      <c r="K1311" s="1" t="str">
        <f t="shared" si="83"/>
        <v>Temperature is above warning threshold: &gt;{$TEMP_WARN:"CPU"}</v>
      </c>
    </row>
    <row r="1312" spans="1:11">
      <c r="A1312" s="1">
        <v>2566</v>
      </c>
      <c r="B1312" s="1" t="s">
        <v>9547</v>
      </c>
      <c r="C1312" s="1" t="s">
        <v>9104</v>
      </c>
      <c r="D1312" s="1" t="s">
        <v>3589</v>
      </c>
      <c r="E1312" s="1" t="s">
        <v>3596</v>
      </c>
      <c r="F1312" s="1" t="s">
        <v>1561</v>
      </c>
      <c r="G1312" s="1" t="s">
        <v>1562</v>
      </c>
      <c r="H1312" s="1" t="str">
        <f t="shared" si="80"/>
        <v>CPU</v>
      </c>
      <c r="I1312" s="1" t="str">
        <f t="shared" si="81"/>
        <v>温度太低: &lt;{$TEMP_CRIT_LOW: "CPU"}</v>
      </c>
      <c r="J1312" s="1" t="str">
        <f t="shared" si="82"/>
        <v>CPU: 温度太低: &lt;{$TEMP_CRIT_LOW: "CPU"}</v>
      </c>
      <c r="K1312" s="1" t="str">
        <f t="shared" si="83"/>
        <v>Temperature is too low: &lt;{$TEMP_CRIT_LOW:"CPU"}</v>
      </c>
    </row>
    <row r="1313" spans="1:11">
      <c r="A1313" s="1">
        <v>2567</v>
      </c>
      <c r="B1313" s="1" t="s">
        <v>9547</v>
      </c>
      <c r="C1313" s="1" t="s">
        <v>9106</v>
      </c>
      <c r="D1313" s="1" t="s">
        <v>3589</v>
      </c>
      <c r="E1313" s="1" t="s">
        <v>3598</v>
      </c>
      <c r="F1313" s="1" t="s">
        <v>2033</v>
      </c>
      <c r="G1313" s="1" t="s">
        <v>2034</v>
      </c>
      <c r="H1313" s="1" t="str">
        <f t="shared" si="80"/>
        <v>Device</v>
      </c>
      <c r="I1313" s="1" t="str">
        <f t="shared" si="81"/>
        <v>温度高于临界阈值: &gt;{$TEMP_CRIT: "Device"}</v>
      </c>
      <c r="J1313" s="1" t="str">
        <f t="shared" si="82"/>
        <v>Device: 温度高于临界阈值: &gt;{$TEMP_CRIT: "Device"}</v>
      </c>
      <c r="K1313" s="1" t="str">
        <f t="shared" si="83"/>
        <v>Temperature is above critical threshold: &gt;{$TEMP_CRIT:"Device"}</v>
      </c>
    </row>
    <row r="1314" spans="1:11">
      <c r="A1314" s="1">
        <v>2568</v>
      </c>
      <c r="B1314" s="1" t="s">
        <v>9547</v>
      </c>
      <c r="C1314" s="1" t="s">
        <v>9108</v>
      </c>
      <c r="D1314" s="1" t="s">
        <v>3589</v>
      </c>
      <c r="E1314" s="1" t="s">
        <v>3600</v>
      </c>
      <c r="F1314" s="1" t="s">
        <v>2037</v>
      </c>
      <c r="G1314" s="1" t="s">
        <v>2038</v>
      </c>
      <c r="H1314" s="1" t="str">
        <f t="shared" si="80"/>
        <v>Device</v>
      </c>
      <c r="I1314" s="1" t="str">
        <f t="shared" si="81"/>
        <v>温度高于告警阈值: &gt;{$TEMP_WARN: "Device"}</v>
      </c>
      <c r="J1314" s="1" t="str">
        <f t="shared" si="82"/>
        <v>Device: 温度高于告警阈值: &gt;{$TEMP_WARN: "Device"}</v>
      </c>
      <c r="K1314" s="1" t="str">
        <f t="shared" si="83"/>
        <v>Temperature is above warning threshold: &gt;{$TEMP_WARN:"Device"}</v>
      </c>
    </row>
    <row r="1315" spans="1:11">
      <c r="A1315" s="1">
        <v>2569</v>
      </c>
      <c r="B1315" s="1" t="s">
        <v>9547</v>
      </c>
      <c r="C1315" s="1" t="s">
        <v>9110</v>
      </c>
      <c r="D1315" s="1" t="s">
        <v>3589</v>
      </c>
      <c r="E1315" s="1" t="s">
        <v>3602</v>
      </c>
      <c r="F1315" s="1" t="s">
        <v>2041</v>
      </c>
      <c r="G1315" s="1" t="s">
        <v>2042</v>
      </c>
      <c r="H1315" s="1" t="str">
        <f t="shared" si="80"/>
        <v>Device</v>
      </c>
      <c r="I1315" s="1" t="str">
        <f t="shared" si="81"/>
        <v>温度太低: &lt;{$TEMP_CRIT_LOW: "Device"}</v>
      </c>
      <c r="J1315" s="1" t="str">
        <f t="shared" si="82"/>
        <v>Device: 温度太低: &lt;{$TEMP_CRIT_LOW: "Device"}</v>
      </c>
      <c r="K1315" s="1" t="str">
        <f t="shared" si="83"/>
        <v>Temperature is too low: &lt;{$TEMP_CRIT_LOW:"Device"}</v>
      </c>
    </row>
    <row r="1316" spans="1:11">
      <c r="A1316" s="1">
        <v>2570</v>
      </c>
      <c r="B1316" s="1" t="s">
        <v>9547</v>
      </c>
      <c r="C1316" s="1" t="s">
        <v>9112</v>
      </c>
      <c r="D1316" s="1" t="s">
        <v>3589</v>
      </c>
      <c r="E1316" s="1" t="s">
        <v>3604</v>
      </c>
      <c r="F1316" s="1" t="s">
        <v>2045</v>
      </c>
      <c r="G1316" s="1" t="s">
        <v>2046</v>
      </c>
      <c r="H1316" s="1" t="str">
        <f t="shared" si="80"/>
        <v/>
      </c>
      <c r="I1316" s="1" t="str">
        <f t="shared" si="81"/>
        <v/>
      </c>
      <c r="J1316" s="1" t="str">
        <f t="shared" si="82"/>
        <v>Disk-{#SNMPINDEX}: 磁盘空间严重不足(已使用率&gt;{$VFS.FS.PUSED.MAX.CRIT: "Disk-{#SNMPINDEX}"}%)</v>
      </c>
      <c r="K1316" s="1" t="str">
        <f t="shared" si="83"/>
        <v/>
      </c>
    </row>
    <row r="1317" spans="1:11">
      <c r="A1317" s="1">
        <v>2571</v>
      </c>
      <c r="B1317" s="1" t="s">
        <v>9547</v>
      </c>
      <c r="C1317" s="1" t="s">
        <v>9114</v>
      </c>
      <c r="D1317" s="1" t="s">
        <v>3589</v>
      </c>
      <c r="E1317" s="1" t="s">
        <v>3606</v>
      </c>
      <c r="F1317" s="1" t="s">
        <v>2049</v>
      </c>
      <c r="G1317" s="1" t="s">
        <v>2050</v>
      </c>
      <c r="H1317" s="1" t="str">
        <f t="shared" si="80"/>
        <v/>
      </c>
      <c r="I1317" s="1" t="str">
        <f t="shared" si="81"/>
        <v/>
      </c>
      <c r="J1317" s="1" t="str">
        <f t="shared" si="82"/>
        <v>Disk-{#SNMPINDEX}: 磁盘空间不足(已使用率&gt;{$VFS.FS.PUSED.MAX.WARN: "Disk-{#SNMPINDEX}"}%)</v>
      </c>
      <c r="K1317" s="1" t="str">
        <f t="shared" si="83"/>
        <v/>
      </c>
    </row>
    <row r="1318" spans="1:11">
      <c r="A1318" s="1">
        <v>2573</v>
      </c>
      <c r="B1318" s="1" t="s">
        <v>9547</v>
      </c>
      <c r="C1318" s="1" t="s">
        <v>9117</v>
      </c>
      <c r="D1318" s="1" t="s">
        <v>3589</v>
      </c>
      <c r="E1318" s="1" t="s">
        <v>3608</v>
      </c>
      <c r="F1318" s="1" t="s">
        <v>161</v>
      </c>
      <c r="G1318" s="1" t="s">
        <v>162</v>
      </c>
      <c r="H1318" s="1" t="str">
        <f t="shared" si="80"/>
        <v/>
      </c>
      <c r="I1318" s="1" t="str">
        <f t="shared" si="81"/>
        <v/>
      </c>
      <c r="J1318" s="1" t="str">
        <f t="shared" si="82"/>
        <v>接口{#IFNAME}({#IFALIAS}): 带宽使用率太高(&gt;{$IF.UTIL.MAX: "{#IFNAME}"}%)</v>
      </c>
      <c r="K1318" s="1" t="str">
        <f t="shared" si="83"/>
        <v/>
      </c>
    </row>
    <row r="1319" spans="1:11">
      <c r="A1319" s="1">
        <v>2574</v>
      </c>
      <c r="B1319" s="1" t="s">
        <v>9547</v>
      </c>
      <c r="C1319" s="1" t="s">
        <v>9119</v>
      </c>
      <c r="D1319" s="1" t="s">
        <v>3589</v>
      </c>
      <c r="E1319" s="1" t="s">
        <v>3610</v>
      </c>
      <c r="F1319" s="1" t="s">
        <v>165</v>
      </c>
      <c r="G1319" s="1" t="s">
        <v>166</v>
      </c>
      <c r="H1319" s="1" t="str">
        <f t="shared" si="80"/>
        <v/>
      </c>
      <c r="I1319" s="1" t="str">
        <f t="shared" si="81"/>
        <v/>
      </c>
      <c r="J1319" s="1" t="str">
        <f t="shared" si="82"/>
        <v>接口{#IFNAME}({#IFALIAS}): 错误率太高(&gt;{$IF.ERRORS.WARN: "{#IFNAME}"}达5分钟)</v>
      </c>
      <c r="K1319" s="1" t="str">
        <f t="shared" si="83"/>
        <v/>
      </c>
    </row>
    <row r="1320" spans="1:11">
      <c r="A1320" s="1">
        <v>2576</v>
      </c>
      <c r="B1320" s="1" t="s">
        <v>9547</v>
      </c>
      <c r="C1320" s="1" t="s">
        <v>9121</v>
      </c>
      <c r="D1320" s="1" t="s">
        <v>3589</v>
      </c>
      <c r="E1320" s="1" t="s">
        <v>3612</v>
      </c>
      <c r="F1320" s="1" t="s">
        <v>2057</v>
      </c>
      <c r="G1320" s="1" t="s">
        <v>2058</v>
      </c>
      <c r="H1320" s="1" t="str">
        <f t="shared" si="80"/>
        <v/>
      </c>
      <c r="I1320" s="1" t="str">
        <f t="shared" si="81"/>
        <v/>
      </c>
      <c r="J1320" s="1" t="str">
        <f t="shared" si="82"/>
        <v>接口{#IFNAME}({#IFALIAS}): LTE调制解调器RSRP低(低于{$LTEMODEM.RSRP.MIN.WARN}dbm5分钟)</v>
      </c>
      <c r="K1320" s="1" t="str">
        <f t="shared" si="83"/>
        <v/>
      </c>
    </row>
    <row r="1321" spans="1:11">
      <c r="A1321" s="1">
        <v>2577</v>
      </c>
      <c r="B1321" s="1" t="s">
        <v>9547</v>
      </c>
      <c r="C1321" s="1" t="s">
        <v>9122</v>
      </c>
      <c r="D1321" s="1" t="s">
        <v>3589</v>
      </c>
      <c r="E1321" s="1" t="s">
        <v>3614</v>
      </c>
      <c r="F1321" s="1" t="s">
        <v>2061</v>
      </c>
      <c r="G1321" s="1" t="s">
        <v>2062</v>
      </c>
      <c r="H1321" s="1" t="str">
        <f t="shared" si="80"/>
        <v/>
      </c>
      <c r="I1321" s="1" t="str">
        <f t="shared" si="81"/>
        <v/>
      </c>
      <c r="J1321" s="1" t="str">
        <f t="shared" si="82"/>
        <v>接口{#IFNAME}({#IFALIAS}): LTE调制解调器RSRQ低(低于{$LTEMODEM.RSRQ.MIN.WARN}db5分钟)</v>
      </c>
      <c r="K1321" s="1" t="str">
        <f t="shared" si="83"/>
        <v/>
      </c>
    </row>
    <row r="1322" spans="1:11">
      <c r="A1322" s="1">
        <v>2578</v>
      </c>
      <c r="B1322" s="1" t="s">
        <v>9547</v>
      </c>
      <c r="C1322" s="1" t="s">
        <v>9123</v>
      </c>
      <c r="D1322" s="1" t="s">
        <v>3589</v>
      </c>
      <c r="E1322" s="1" t="s">
        <v>3616</v>
      </c>
      <c r="F1322" s="1" t="s">
        <v>2065</v>
      </c>
      <c r="G1322" s="1" t="s">
        <v>2058</v>
      </c>
      <c r="H1322" s="1" t="str">
        <f t="shared" si="80"/>
        <v/>
      </c>
      <c r="I1322" s="1" t="str">
        <f t="shared" si="81"/>
        <v/>
      </c>
      <c r="J1322" s="1" t="str">
        <f t="shared" si="82"/>
        <v>接口{#IFNAME}({#IFALIAS}): LTE调制解调器RSRP低(低于{$LTEMODEM.RSRP.MIN.WARN}dbm5分钟)</v>
      </c>
      <c r="K1322" s="1" t="str">
        <f t="shared" si="83"/>
        <v/>
      </c>
    </row>
    <row r="1323" spans="1:11">
      <c r="A1323" s="1">
        <v>2579</v>
      </c>
      <c r="B1323" s="1" t="s">
        <v>9547</v>
      </c>
      <c r="C1323" s="1" t="s">
        <v>9124</v>
      </c>
      <c r="D1323" s="1" t="s">
        <v>3589</v>
      </c>
      <c r="E1323" s="1" t="s">
        <v>3618</v>
      </c>
      <c r="F1323" s="1" t="s">
        <v>2068</v>
      </c>
      <c r="G1323" s="1" t="s">
        <v>2062</v>
      </c>
      <c r="H1323" s="1" t="str">
        <f t="shared" si="80"/>
        <v/>
      </c>
      <c r="I1323" s="1" t="str">
        <f t="shared" si="81"/>
        <v/>
      </c>
      <c r="J1323" s="1" t="str">
        <f t="shared" si="82"/>
        <v>接口{#IFNAME}({#IFALIAS}): LTE调制解调器RSRQ低(低于{$LTEMODEM.RSRQ.MIN.WARN}db5分钟)</v>
      </c>
      <c r="K1323" s="1" t="str">
        <f t="shared" si="83"/>
        <v/>
      </c>
    </row>
    <row r="1324" spans="1:11">
      <c r="A1324" s="1">
        <v>2581</v>
      </c>
      <c r="B1324" s="1" t="s">
        <v>9548</v>
      </c>
      <c r="C1324" s="1" t="s">
        <v>9098</v>
      </c>
      <c r="D1324" s="1" t="s">
        <v>3620</v>
      </c>
      <c r="E1324" s="1" t="s">
        <v>3621</v>
      </c>
      <c r="F1324" s="1" t="s">
        <v>541</v>
      </c>
      <c r="G1324" s="1" t="s">
        <v>542</v>
      </c>
      <c r="H1324" s="1" t="str">
        <f t="shared" si="80"/>
        <v/>
      </c>
      <c r="I1324" s="1" t="str">
        <f t="shared" si="81"/>
        <v/>
      </c>
      <c r="J1324" s="1" t="str">
        <f t="shared" si="82"/>
        <v>#{#SNMPINDEX}: CPU使用率高了(超过{$CPU.UTIL.CRIT}%达5分钟)</v>
      </c>
      <c r="K1324" s="1" t="str">
        <f t="shared" si="83"/>
        <v/>
      </c>
    </row>
    <row r="1325" spans="1:11">
      <c r="A1325" s="1">
        <v>2582</v>
      </c>
      <c r="B1325" s="1" t="s">
        <v>9548</v>
      </c>
      <c r="C1325" s="1" t="s">
        <v>9100</v>
      </c>
      <c r="D1325" s="1" t="s">
        <v>3620</v>
      </c>
      <c r="E1325" s="1" t="s">
        <v>3623</v>
      </c>
      <c r="F1325" s="1" t="s">
        <v>1557</v>
      </c>
      <c r="G1325" s="1" t="s">
        <v>1558</v>
      </c>
      <c r="H1325" s="1" t="str">
        <f t="shared" si="80"/>
        <v>CPU</v>
      </c>
      <c r="I1325" s="1" t="str">
        <f t="shared" si="81"/>
        <v>温度高于临界阈值: &gt;{$TEMP_CRIT: "CPU"}</v>
      </c>
      <c r="J1325" s="1" t="str">
        <f t="shared" si="82"/>
        <v>CPU: 温度高于临界阈值: &gt;{$TEMP_CRIT: "CPU"}</v>
      </c>
      <c r="K1325" s="1" t="str">
        <f t="shared" si="83"/>
        <v>Temperature is above critical threshold: &gt;{$TEMP_CRIT:"CPU"}</v>
      </c>
    </row>
    <row r="1326" spans="1:11">
      <c r="A1326" s="1">
        <v>2583</v>
      </c>
      <c r="B1326" s="1" t="s">
        <v>9548</v>
      </c>
      <c r="C1326" s="1" t="s">
        <v>9102</v>
      </c>
      <c r="D1326" s="1" t="s">
        <v>3620</v>
      </c>
      <c r="E1326" s="1" t="s">
        <v>3625</v>
      </c>
      <c r="F1326" s="1" t="s">
        <v>1553</v>
      </c>
      <c r="G1326" s="1" t="s">
        <v>1554</v>
      </c>
      <c r="H1326" s="1" t="str">
        <f t="shared" si="80"/>
        <v>CPU</v>
      </c>
      <c r="I1326" s="1" t="str">
        <f t="shared" si="81"/>
        <v>温度高于告警阈值: &gt;{$TEMP_WARN: "CPU"}</v>
      </c>
      <c r="J1326" s="1" t="str">
        <f t="shared" si="82"/>
        <v>CPU: 温度高于告警阈值: &gt;{$TEMP_WARN: "CPU"}</v>
      </c>
      <c r="K1326" s="1" t="str">
        <f t="shared" si="83"/>
        <v>Temperature is above warning threshold: &gt;{$TEMP_WARN:"CPU"}</v>
      </c>
    </row>
    <row r="1327" spans="1:11">
      <c r="A1327" s="1">
        <v>2584</v>
      </c>
      <c r="B1327" s="1" t="s">
        <v>9548</v>
      </c>
      <c r="C1327" s="1" t="s">
        <v>9104</v>
      </c>
      <c r="D1327" s="1" t="s">
        <v>3620</v>
      </c>
      <c r="E1327" s="1" t="s">
        <v>3627</v>
      </c>
      <c r="F1327" s="1" t="s">
        <v>1561</v>
      </c>
      <c r="G1327" s="1" t="s">
        <v>1562</v>
      </c>
      <c r="H1327" s="1" t="str">
        <f t="shared" si="80"/>
        <v>CPU</v>
      </c>
      <c r="I1327" s="1" t="str">
        <f t="shared" si="81"/>
        <v>温度太低: &lt;{$TEMP_CRIT_LOW: "CPU"}</v>
      </c>
      <c r="J1327" s="1" t="str">
        <f t="shared" si="82"/>
        <v>CPU: 温度太低: &lt;{$TEMP_CRIT_LOW: "CPU"}</v>
      </c>
      <c r="K1327" s="1" t="str">
        <f t="shared" si="83"/>
        <v>Temperature is too low: &lt;{$TEMP_CRIT_LOW:"CPU"}</v>
      </c>
    </row>
    <row r="1328" spans="1:11">
      <c r="A1328" s="1">
        <v>2585</v>
      </c>
      <c r="B1328" s="1" t="s">
        <v>9548</v>
      </c>
      <c r="C1328" s="1" t="s">
        <v>9106</v>
      </c>
      <c r="D1328" s="1" t="s">
        <v>3620</v>
      </c>
      <c r="E1328" s="1" t="s">
        <v>3629</v>
      </c>
      <c r="F1328" s="1" t="s">
        <v>2033</v>
      </c>
      <c r="G1328" s="1" t="s">
        <v>2034</v>
      </c>
      <c r="H1328" s="1" t="str">
        <f t="shared" si="80"/>
        <v>Device</v>
      </c>
      <c r="I1328" s="1" t="str">
        <f t="shared" si="81"/>
        <v>温度高于临界阈值: &gt;{$TEMP_CRIT: "Device"}</v>
      </c>
      <c r="J1328" s="1" t="str">
        <f t="shared" si="82"/>
        <v>Device: 温度高于临界阈值: &gt;{$TEMP_CRIT: "Device"}</v>
      </c>
      <c r="K1328" s="1" t="str">
        <f t="shared" si="83"/>
        <v>Temperature is above critical threshold: &gt;{$TEMP_CRIT:"Device"}</v>
      </c>
    </row>
    <row r="1329" spans="1:11">
      <c r="A1329" s="1">
        <v>2586</v>
      </c>
      <c r="B1329" s="1" t="s">
        <v>9548</v>
      </c>
      <c r="C1329" s="1" t="s">
        <v>9108</v>
      </c>
      <c r="D1329" s="1" t="s">
        <v>3620</v>
      </c>
      <c r="E1329" s="1" t="s">
        <v>3631</v>
      </c>
      <c r="F1329" s="1" t="s">
        <v>2037</v>
      </c>
      <c r="G1329" s="1" t="s">
        <v>2038</v>
      </c>
      <c r="H1329" s="1" t="str">
        <f t="shared" si="80"/>
        <v>Device</v>
      </c>
      <c r="I1329" s="1" t="str">
        <f t="shared" si="81"/>
        <v>温度高于告警阈值: &gt;{$TEMP_WARN: "Device"}</v>
      </c>
      <c r="J1329" s="1" t="str">
        <f t="shared" si="82"/>
        <v>Device: 温度高于告警阈值: &gt;{$TEMP_WARN: "Device"}</v>
      </c>
      <c r="K1329" s="1" t="str">
        <f t="shared" si="83"/>
        <v>Temperature is above warning threshold: &gt;{$TEMP_WARN:"Device"}</v>
      </c>
    </row>
    <row r="1330" spans="1:11">
      <c r="A1330" s="1">
        <v>2587</v>
      </c>
      <c r="B1330" s="1" t="s">
        <v>9548</v>
      </c>
      <c r="C1330" s="1" t="s">
        <v>9110</v>
      </c>
      <c r="D1330" s="1" t="s">
        <v>3620</v>
      </c>
      <c r="E1330" s="1" t="s">
        <v>3633</v>
      </c>
      <c r="F1330" s="1" t="s">
        <v>2041</v>
      </c>
      <c r="G1330" s="1" t="s">
        <v>2042</v>
      </c>
      <c r="H1330" s="1" t="str">
        <f t="shared" si="80"/>
        <v>Device</v>
      </c>
      <c r="I1330" s="1" t="str">
        <f t="shared" si="81"/>
        <v>温度太低: &lt;{$TEMP_CRIT_LOW: "Device"}</v>
      </c>
      <c r="J1330" s="1" t="str">
        <f t="shared" si="82"/>
        <v>Device: 温度太低: &lt;{$TEMP_CRIT_LOW: "Device"}</v>
      </c>
      <c r="K1330" s="1" t="str">
        <f t="shared" si="83"/>
        <v>Temperature is too low: &lt;{$TEMP_CRIT_LOW:"Device"}</v>
      </c>
    </row>
    <row r="1331" spans="1:11">
      <c r="A1331" s="1">
        <v>2588</v>
      </c>
      <c r="B1331" s="1" t="s">
        <v>9548</v>
      </c>
      <c r="C1331" s="1" t="s">
        <v>9112</v>
      </c>
      <c r="D1331" s="1" t="s">
        <v>3620</v>
      </c>
      <c r="E1331" s="1" t="s">
        <v>3635</v>
      </c>
      <c r="F1331" s="1" t="s">
        <v>2045</v>
      </c>
      <c r="G1331" s="1" t="s">
        <v>2046</v>
      </c>
      <c r="H1331" s="1" t="str">
        <f t="shared" si="80"/>
        <v/>
      </c>
      <c r="I1331" s="1" t="str">
        <f t="shared" si="81"/>
        <v/>
      </c>
      <c r="J1331" s="1" t="str">
        <f t="shared" si="82"/>
        <v>Disk-{#SNMPINDEX}: 磁盘空间严重不足(已使用率&gt;{$VFS.FS.PUSED.MAX.CRIT: "Disk-{#SNMPINDEX}"}%)</v>
      </c>
      <c r="K1331" s="1" t="str">
        <f t="shared" si="83"/>
        <v/>
      </c>
    </row>
    <row r="1332" spans="1:11">
      <c r="A1332" s="1">
        <v>2589</v>
      </c>
      <c r="B1332" s="1" t="s">
        <v>9548</v>
      </c>
      <c r="C1332" s="1" t="s">
        <v>9114</v>
      </c>
      <c r="D1332" s="1" t="s">
        <v>3620</v>
      </c>
      <c r="E1332" s="1" t="s">
        <v>3637</v>
      </c>
      <c r="F1332" s="1" t="s">
        <v>2049</v>
      </c>
      <c r="G1332" s="1" t="s">
        <v>2050</v>
      </c>
      <c r="H1332" s="1" t="str">
        <f t="shared" si="80"/>
        <v/>
      </c>
      <c r="I1332" s="1" t="str">
        <f t="shared" si="81"/>
        <v/>
      </c>
      <c r="J1332" s="1" t="str">
        <f t="shared" si="82"/>
        <v>Disk-{#SNMPINDEX}: 磁盘空间不足(已使用率&gt;{$VFS.FS.PUSED.MAX.WARN: "Disk-{#SNMPINDEX}"}%)</v>
      </c>
      <c r="K1332" s="1" t="str">
        <f t="shared" si="83"/>
        <v/>
      </c>
    </row>
    <row r="1333" spans="1:11">
      <c r="A1333" s="1">
        <v>2591</v>
      </c>
      <c r="B1333" s="1" t="s">
        <v>9548</v>
      </c>
      <c r="C1333" s="1" t="s">
        <v>9117</v>
      </c>
      <c r="D1333" s="1" t="s">
        <v>3620</v>
      </c>
      <c r="E1333" s="1" t="s">
        <v>3639</v>
      </c>
      <c r="F1333" s="1" t="s">
        <v>161</v>
      </c>
      <c r="G1333" s="1" t="s">
        <v>162</v>
      </c>
      <c r="H1333" s="1" t="str">
        <f t="shared" si="80"/>
        <v/>
      </c>
      <c r="I1333" s="1" t="str">
        <f t="shared" si="81"/>
        <v/>
      </c>
      <c r="J1333" s="1" t="str">
        <f t="shared" si="82"/>
        <v>接口{#IFNAME}({#IFALIAS}): 带宽使用率太高(&gt;{$IF.UTIL.MAX: "{#IFNAME}"}%)</v>
      </c>
      <c r="K1333" s="1" t="str">
        <f t="shared" si="83"/>
        <v/>
      </c>
    </row>
    <row r="1334" spans="1:11">
      <c r="A1334" s="1">
        <v>2592</v>
      </c>
      <c r="B1334" s="1" t="s">
        <v>9548</v>
      </c>
      <c r="C1334" s="1" t="s">
        <v>9119</v>
      </c>
      <c r="D1334" s="1" t="s">
        <v>3620</v>
      </c>
      <c r="E1334" s="1" t="s">
        <v>3641</v>
      </c>
      <c r="F1334" s="1" t="s">
        <v>165</v>
      </c>
      <c r="G1334" s="1" t="s">
        <v>166</v>
      </c>
      <c r="H1334" s="1" t="str">
        <f t="shared" si="80"/>
        <v/>
      </c>
      <c r="I1334" s="1" t="str">
        <f t="shared" si="81"/>
        <v/>
      </c>
      <c r="J1334" s="1" t="str">
        <f t="shared" si="82"/>
        <v>接口{#IFNAME}({#IFALIAS}): 错误率太高(&gt;{$IF.ERRORS.WARN: "{#IFNAME}"}达5分钟)</v>
      </c>
      <c r="K1334" s="1" t="str">
        <f t="shared" si="83"/>
        <v/>
      </c>
    </row>
    <row r="1335" spans="1:11">
      <c r="A1335" s="1">
        <v>2594</v>
      </c>
      <c r="B1335" s="1" t="s">
        <v>9548</v>
      </c>
      <c r="C1335" s="1" t="s">
        <v>9121</v>
      </c>
      <c r="D1335" s="1" t="s">
        <v>3620</v>
      </c>
      <c r="E1335" s="1" t="s">
        <v>3643</v>
      </c>
      <c r="F1335" s="1" t="s">
        <v>2057</v>
      </c>
      <c r="G1335" s="1" t="s">
        <v>2058</v>
      </c>
      <c r="H1335" s="1" t="str">
        <f t="shared" si="80"/>
        <v/>
      </c>
      <c r="I1335" s="1" t="str">
        <f t="shared" si="81"/>
        <v/>
      </c>
      <c r="J1335" s="1" t="str">
        <f t="shared" si="82"/>
        <v>接口{#IFNAME}({#IFALIAS}): LTE调制解调器RSRP低(低于{$LTEMODEM.RSRP.MIN.WARN}dbm5分钟)</v>
      </c>
      <c r="K1335" s="1" t="str">
        <f t="shared" si="83"/>
        <v/>
      </c>
    </row>
    <row r="1336" spans="1:11">
      <c r="A1336" s="1">
        <v>2595</v>
      </c>
      <c r="B1336" s="1" t="s">
        <v>9548</v>
      </c>
      <c r="C1336" s="1" t="s">
        <v>9122</v>
      </c>
      <c r="D1336" s="1" t="s">
        <v>3620</v>
      </c>
      <c r="E1336" s="1" t="s">
        <v>3645</v>
      </c>
      <c r="F1336" s="1" t="s">
        <v>2061</v>
      </c>
      <c r="G1336" s="1" t="s">
        <v>2062</v>
      </c>
      <c r="H1336" s="1" t="str">
        <f t="shared" si="80"/>
        <v/>
      </c>
      <c r="I1336" s="1" t="str">
        <f t="shared" si="81"/>
        <v/>
      </c>
      <c r="J1336" s="1" t="str">
        <f t="shared" si="82"/>
        <v>接口{#IFNAME}({#IFALIAS}): LTE调制解调器RSRQ低(低于{$LTEMODEM.RSRQ.MIN.WARN}db5分钟)</v>
      </c>
      <c r="K1336" s="1" t="str">
        <f t="shared" si="83"/>
        <v/>
      </c>
    </row>
    <row r="1337" spans="1:11">
      <c r="A1337" s="1">
        <v>2596</v>
      </c>
      <c r="B1337" s="1" t="s">
        <v>9548</v>
      </c>
      <c r="C1337" s="1" t="s">
        <v>9123</v>
      </c>
      <c r="D1337" s="1" t="s">
        <v>3620</v>
      </c>
      <c r="E1337" s="1" t="s">
        <v>3647</v>
      </c>
      <c r="F1337" s="1" t="s">
        <v>2065</v>
      </c>
      <c r="G1337" s="1" t="s">
        <v>2058</v>
      </c>
      <c r="H1337" s="1" t="str">
        <f t="shared" si="80"/>
        <v/>
      </c>
      <c r="I1337" s="1" t="str">
        <f t="shared" si="81"/>
        <v/>
      </c>
      <c r="J1337" s="1" t="str">
        <f t="shared" si="82"/>
        <v>接口{#IFNAME}({#IFALIAS}): LTE调制解调器RSRP低(低于{$LTEMODEM.RSRP.MIN.WARN}dbm5分钟)</v>
      </c>
      <c r="K1337" s="1" t="str">
        <f t="shared" si="83"/>
        <v/>
      </c>
    </row>
    <row r="1338" spans="1:11">
      <c r="A1338" s="1">
        <v>2597</v>
      </c>
      <c r="B1338" s="1" t="s">
        <v>9548</v>
      </c>
      <c r="C1338" s="1" t="s">
        <v>9124</v>
      </c>
      <c r="D1338" s="1" t="s">
        <v>3620</v>
      </c>
      <c r="E1338" s="1" t="s">
        <v>3649</v>
      </c>
      <c r="F1338" s="1" t="s">
        <v>2068</v>
      </c>
      <c r="G1338" s="1" t="s">
        <v>2062</v>
      </c>
      <c r="H1338" s="1" t="str">
        <f t="shared" si="80"/>
        <v/>
      </c>
      <c r="I1338" s="1" t="str">
        <f t="shared" si="81"/>
        <v/>
      </c>
      <c r="J1338" s="1" t="str">
        <f t="shared" si="82"/>
        <v>接口{#IFNAME}({#IFALIAS}): LTE调制解调器RSRQ低(低于{$LTEMODEM.RSRQ.MIN.WARN}db5分钟)</v>
      </c>
      <c r="K1338" s="1" t="str">
        <f t="shared" si="83"/>
        <v/>
      </c>
    </row>
    <row r="1339" spans="1:11">
      <c r="A1339" s="1">
        <v>2599</v>
      </c>
      <c r="B1339" s="1" t="s">
        <v>9549</v>
      </c>
      <c r="C1339" s="1" t="s">
        <v>9098</v>
      </c>
      <c r="D1339" s="1" t="s">
        <v>3651</v>
      </c>
      <c r="E1339" s="1" t="s">
        <v>3652</v>
      </c>
      <c r="F1339" s="1" t="s">
        <v>541</v>
      </c>
      <c r="G1339" s="1" t="s">
        <v>542</v>
      </c>
      <c r="H1339" s="1" t="str">
        <f t="shared" si="80"/>
        <v/>
      </c>
      <c r="I1339" s="1" t="str">
        <f t="shared" si="81"/>
        <v/>
      </c>
      <c r="J1339" s="1" t="str">
        <f t="shared" si="82"/>
        <v>#{#SNMPINDEX}: CPU使用率高了(超过{$CPU.UTIL.CRIT}%达5分钟)</v>
      </c>
      <c r="K1339" s="1" t="str">
        <f t="shared" si="83"/>
        <v/>
      </c>
    </row>
    <row r="1340" spans="1:11">
      <c r="A1340" s="1">
        <v>2600</v>
      </c>
      <c r="B1340" s="1" t="s">
        <v>9549</v>
      </c>
      <c r="C1340" s="1" t="s">
        <v>9100</v>
      </c>
      <c r="D1340" s="1" t="s">
        <v>3651</v>
      </c>
      <c r="E1340" s="1" t="s">
        <v>3654</v>
      </c>
      <c r="F1340" s="1" t="s">
        <v>1557</v>
      </c>
      <c r="G1340" s="1" t="s">
        <v>1558</v>
      </c>
      <c r="H1340" s="1" t="str">
        <f t="shared" si="80"/>
        <v>CPU</v>
      </c>
      <c r="I1340" s="1" t="str">
        <f t="shared" si="81"/>
        <v>温度高于临界阈值: &gt;{$TEMP_CRIT: "CPU"}</v>
      </c>
      <c r="J1340" s="1" t="str">
        <f t="shared" si="82"/>
        <v>CPU: 温度高于临界阈值: &gt;{$TEMP_CRIT: "CPU"}</v>
      </c>
      <c r="K1340" s="1" t="str">
        <f t="shared" si="83"/>
        <v>Temperature is above critical threshold: &gt;{$TEMP_CRIT:"CPU"}</v>
      </c>
    </row>
    <row r="1341" spans="1:11">
      <c r="A1341" s="1">
        <v>2601</v>
      </c>
      <c r="B1341" s="1" t="s">
        <v>9549</v>
      </c>
      <c r="C1341" s="1" t="s">
        <v>9102</v>
      </c>
      <c r="D1341" s="1" t="s">
        <v>3651</v>
      </c>
      <c r="E1341" s="1" t="s">
        <v>3656</v>
      </c>
      <c r="F1341" s="1" t="s">
        <v>1553</v>
      </c>
      <c r="G1341" s="1" t="s">
        <v>1554</v>
      </c>
      <c r="H1341" s="1" t="str">
        <f t="shared" si="80"/>
        <v>CPU</v>
      </c>
      <c r="I1341" s="1" t="str">
        <f t="shared" si="81"/>
        <v>温度高于告警阈值: &gt;{$TEMP_WARN: "CPU"}</v>
      </c>
      <c r="J1341" s="1" t="str">
        <f t="shared" si="82"/>
        <v>CPU: 温度高于告警阈值: &gt;{$TEMP_WARN: "CPU"}</v>
      </c>
      <c r="K1341" s="1" t="str">
        <f t="shared" si="83"/>
        <v>Temperature is above warning threshold: &gt;{$TEMP_WARN:"CPU"}</v>
      </c>
    </row>
    <row r="1342" spans="1:11">
      <c r="A1342" s="1">
        <v>2602</v>
      </c>
      <c r="B1342" s="1" t="s">
        <v>9549</v>
      </c>
      <c r="C1342" s="1" t="s">
        <v>9104</v>
      </c>
      <c r="D1342" s="1" t="s">
        <v>3651</v>
      </c>
      <c r="E1342" s="1" t="s">
        <v>3658</v>
      </c>
      <c r="F1342" s="1" t="s">
        <v>1561</v>
      </c>
      <c r="G1342" s="1" t="s">
        <v>1562</v>
      </c>
      <c r="H1342" s="1" t="str">
        <f t="shared" si="80"/>
        <v>CPU</v>
      </c>
      <c r="I1342" s="1" t="str">
        <f t="shared" si="81"/>
        <v>温度太低: &lt;{$TEMP_CRIT_LOW: "CPU"}</v>
      </c>
      <c r="J1342" s="1" t="str">
        <f t="shared" si="82"/>
        <v>CPU: 温度太低: &lt;{$TEMP_CRIT_LOW: "CPU"}</v>
      </c>
      <c r="K1342" s="1" t="str">
        <f t="shared" si="83"/>
        <v>Temperature is too low: &lt;{$TEMP_CRIT_LOW:"CPU"}</v>
      </c>
    </row>
    <row r="1343" spans="1:11">
      <c r="A1343" s="1">
        <v>2603</v>
      </c>
      <c r="B1343" s="1" t="s">
        <v>9549</v>
      </c>
      <c r="C1343" s="1" t="s">
        <v>9106</v>
      </c>
      <c r="D1343" s="1" t="s">
        <v>3651</v>
      </c>
      <c r="E1343" s="1" t="s">
        <v>3660</v>
      </c>
      <c r="F1343" s="1" t="s">
        <v>2033</v>
      </c>
      <c r="G1343" s="1" t="s">
        <v>2034</v>
      </c>
      <c r="H1343" s="1" t="str">
        <f t="shared" si="80"/>
        <v>Device</v>
      </c>
      <c r="I1343" s="1" t="str">
        <f t="shared" si="81"/>
        <v>温度高于临界阈值: &gt;{$TEMP_CRIT: "Device"}</v>
      </c>
      <c r="J1343" s="1" t="str">
        <f t="shared" si="82"/>
        <v>Device: 温度高于临界阈值: &gt;{$TEMP_CRIT: "Device"}</v>
      </c>
      <c r="K1343" s="1" t="str">
        <f t="shared" si="83"/>
        <v>Temperature is above critical threshold: &gt;{$TEMP_CRIT:"Device"}</v>
      </c>
    </row>
    <row r="1344" spans="1:11">
      <c r="A1344" s="1">
        <v>2604</v>
      </c>
      <c r="B1344" s="1" t="s">
        <v>9549</v>
      </c>
      <c r="C1344" s="1" t="s">
        <v>9108</v>
      </c>
      <c r="D1344" s="1" t="s">
        <v>3651</v>
      </c>
      <c r="E1344" s="1" t="s">
        <v>3662</v>
      </c>
      <c r="F1344" s="1" t="s">
        <v>2037</v>
      </c>
      <c r="G1344" s="1" t="s">
        <v>2038</v>
      </c>
      <c r="H1344" s="1" t="str">
        <f t="shared" si="80"/>
        <v>Device</v>
      </c>
      <c r="I1344" s="1" t="str">
        <f t="shared" si="81"/>
        <v>温度高于告警阈值: &gt;{$TEMP_WARN: "Device"}</v>
      </c>
      <c r="J1344" s="1" t="str">
        <f t="shared" si="82"/>
        <v>Device: 温度高于告警阈值: &gt;{$TEMP_WARN: "Device"}</v>
      </c>
      <c r="K1344" s="1" t="str">
        <f t="shared" si="83"/>
        <v>Temperature is above warning threshold: &gt;{$TEMP_WARN:"Device"}</v>
      </c>
    </row>
    <row r="1345" spans="1:11">
      <c r="A1345" s="1">
        <v>2605</v>
      </c>
      <c r="B1345" s="1" t="s">
        <v>9549</v>
      </c>
      <c r="C1345" s="1" t="s">
        <v>9110</v>
      </c>
      <c r="D1345" s="1" t="s">
        <v>3651</v>
      </c>
      <c r="E1345" s="1" t="s">
        <v>3664</v>
      </c>
      <c r="F1345" s="1" t="s">
        <v>2041</v>
      </c>
      <c r="G1345" s="1" t="s">
        <v>2042</v>
      </c>
      <c r="H1345" s="1" t="str">
        <f t="shared" si="80"/>
        <v>Device</v>
      </c>
      <c r="I1345" s="1" t="str">
        <f t="shared" si="81"/>
        <v>温度太低: &lt;{$TEMP_CRIT_LOW: "Device"}</v>
      </c>
      <c r="J1345" s="1" t="str">
        <f t="shared" si="82"/>
        <v>Device: 温度太低: &lt;{$TEMP_CRIT_LOW: "Device"}</v>
      </c>
      <c r="K1345" s="1" t="str">
        <f t="shared" si="83"/>
        <v>Temperature is too low: &lt;{$TEMP_CRIT_LOW:"Device"}</v>
      </c>
    </row>
    <row r="1346" spans="1:11">
      <c r="A1346" s="1">
        <v>2606</v>
      </c>
      <c r="B1346" s="1" t="s">
        <v>9549</v>
      </c>
      <c r="C1346" s="1" t="s">
        <v>9112</v>
      </c>
      <c r="D1346" s="1" t="s">
        <v>3651</v>
      </c>
      <c r="E1346" s="1" t="s">
        <v>3666</v>
      </c>
      <c r="F1346" s="1" t="s">
        <v>2045</v>
      </c>
      <c r="G1346" s="1" t="s">
        <v>2046</v>
      </c>
      <c r="H1346" s="1" t="str">
        <f t="shared" ref="H1346:H1409" si="84">IFERROR(IF(OR(MID(G1346,FIND(":",G1346)-1,1)="""",MID(G1346,FIND(":",G1346)-1,1)="}",MID(G1346,FIND(":",G1346)-1,1)=")",MID(G1346,FIND(":",G1346)-1,1)="]"),"",LEFT(F1346,FIND(":",F1346)-1)),"")</f>
        <v/>
      </c>
      <c r="I1346" s="1" t="str">
        <f t="shared" ref="I1346:I1409" si="85">IFERROR(IF(OR(MID(G1346,FIND(":",G1346)-1,1)="""",MID(G1346,FIND(":",G1346)-1,1)="}",MID(G1346,FIND(":",G1346)-1,1)=")",MID(G1346,FIND(":",G1346)-1,1)="]"),"",RIGHT(G1346,LEN(G1346)-FIND(":",G1346)-1)),"")</f>
        <v/>
      </c>
      <c r="J1346" s="1" t="str">
        <f t="shared" ref="J1346:J1409" si="86">IF(AND(I1346="",H1346=""),G1346,H1346&amp;": "&amp;I1346)</f>
        <v>Disk-{#SNMPINDEX}: 磁盘空间严重不足(已使用率&gt;{$VFS.FS.PUSED.MAX.CRIT: "Disk-{#SNMPINDEX}"}%)</v>
      </c>
      <c r="K1346" s="1" t="str">
        <f t="shared" ref="K1346:K1409" si="87">IFERROR(IF(OR(MID(F1346,FIND(":",F1346)-1,1)="""",MID(F1346,FIND(":",F1346)-1,1)="}",MID(F1346,FIND(":",F1346)-1,1)=")",MID(F1346,FIND(":",F1346)-1,1)="]"),"",RIGHT(F1346,LEN(F1346)-FIND(":",F1346)-1)),"")</f>
        <v/>
      </c>
    </row>
    <row r="1347" spans="1:11">
      <c r="A1347" s="1">
        <v>2607</v>
      </c>
      <c r="B1347" s="1" t="s">
        <v>9549</v>
      </c>
      <c r="C1347" s="1" t="s">
        <v>9114</v>
      </c>
      <c r="D1347" s="1" t="s">
        <v>3651</v>
      </c>
      <c r="E1347" s="1" t="s">
        <v>3668</v>
      </c>
      <c r="F1347" s="1" t="s">
        <v>2049</v>
      </c>
      <c r="G1347" s="1" t="s">
        <v>2050</v>
      </c>
      <c r="H1347" s="1" t="str">
        <f t="shared" si="84"/>
        <v/>
      </c>
      <c r="I1347" s="1" t="str">
        <f t="shared" si="85"/>
        <v/>
      </c>
      <c r="J1347" s="1" t="str">
        <f t="shared" si="86"/>
        <v>Disk-{#SNMPINDEX}: 磁盘空间不足(已使用率&gt;{$VFS.FS.PUSED.MAX.WARN: "Disk-{#SNMPINDEX}"}%)</v>
      </c>
      <c r="K1347" s="1" t="str">
        <f t="shared" si="87"/>
        <v/>
      </c>
    </row>
    <row r="1348" spans="1:11">
      <c r="A1348" s="1">
        <v>2609</v>
      </c>
      <c r="B1348" s="1" t="s">
        <v>9549</v>
      </c>
      <c r="C1348" s="1" t="s">
        <v>9117</v>
      </c>
      <c r="D1348" s="1" t="s">
        <v>3651</v>
      </c>
      <c r="E1348" s="1" t="s">
        <v>3670</v>
      </c>
      <c r="F1348" s="1" t="s">
        <v>161</v>
      </c>
      <c r="G1348" s="1" t="s">
        <v>162</v>
      </c>
      <c r="H1348" s="1" t="str">
        <f t="shared" si="84"/>
        <v/>
      </c>
      <c r="I1348" s="1" t="str">
        <f t="shared" si="85"/>
        <v/>
      </c>
      <c r="J1348" s="1" t="str">
        <f t="shared" si="86"/>
        <v>接口{#IFNAME}({#IFALIAS}): 带宽使用率太高(&gt;{$IF.UTIL.MAX: "{#IFNAME}"}%)</v>
      </c>
      <c r="K1348" s="1" t="str">
        <f t="shared" si="87"/>
        <v/>
      </c>
    </row>
    <row r="1349" spans="1:11">
      <c r="A1349" s="1">
        <v>2610</v>
      </c>
      <c r="B1349" s="1" t="s">
        <v>9549</v>
      </c>
      <c r="C1349" s="1" t="s">
        <v>9119</v>
      </c>
      <c r="D1349" s="1" t="s">
        <v>3651</v>
      </c>
      <c r="E1349" s="1" t="s">
        <v>3672</v>
      </c>
      <c r="F1349" s="1" t="s">
        <v>165</v>
      </c>
      <c r="G1349" s="1" t="s">
        <v>166</v>
      </c>
      <c r="H1349" s="1" t="str">
        <f t="shared" si="84"/>
        <v/>
      </c>
      <c r="I1349" s="1" t="str">
        <f t="shared" si="85"/>
        <v/>
      </c>
      <c r="J1349" s="1" t="str">
        <f t="shared" si="86"/>
        <v>接口{#IFNAME}({#IFALIAS}): 错误率太高(&gt;{$IF.ERRORS.WARN: "{#IFNAME}"}达5分钟)</v>
      </c>
      <c r="K1349" s="1" t="str">
        <f t="shared" si="87"/>
        <v/>
      </c>
    </row>
    <row r="1350" spans="1:11">
      <c r="A1350" s="1">
        <v>2612</v>
      </c>
      <c r="B1350" s="1" t="s">
        <v>9549</v>
      </c>
      <c r="C1350" s="1" t="s">
        <v>9121</v>
      </c>
      <c r="D1350" s="1" t="s">
        <v>3651</v>
      </c>
      <c r="E1350" s="1" t="s">
        <v>3674</v>
      </c>
      <c r="F1350" s="1" t="s">
        <v>2057</v>
      </c>
      <c r="G1350" s="1" t="s">
        <v>2058</v>
      </c>
      <c r="H1350" s="1" t="str">
        <f t="shared" si="84"/>
        <v/>
      </c>
      <c r="I1350" s="1" t="str">
        <f t="shared" si="85"/>
        <v/>
      </c>
      <c r="J1350" s="1" t="str">
        <f t="shared" si="86"/>
        <v>接口{#IFNAME}({#IFALIAS}): LTE调制解调器RSRP低(低于{$LTEMODEM.RSRP.MIN.WARN}dbm5分钟)</v>
      </c>
      <c r="K1350" s="1" t="str">
        <f t="shared" si="87"/>
        <v/>
      </c>
    </row>
    <row r="1351" spans="1:11">
      <c r="A1351" s="1">
        <v>2613</v>
      </c>
      <c r="B1351" s="1" t="s">
        <v>9549</v>
      </c>
      <c r="C1351" s="1" t="s">
        <v>9122</v>
      </c>
      <c r="D1351" s="1" t="s">
        <v>3651</v>
      </c>
      <c r="E1351" s="1" t="s">
        <v>3676</v>
      </c>
      <c r="F1351" s="1" t="s">
        <v>2061</v>
      </c>
      <c r="G1351" s="1" t="s">
        <v>2062</v>
      </c>
      <c r="H1351" s="1" t="str">
        <f t="shared" si="84"/>
        <v/>
      </c>
      <c r="I1351" s="1" t="str">
        <f t="shared" si="85"/>
        <v/>
      </c>
      <c r="J1351" s="1" t="str">
        <f t="shared" si="86"/>
        <v>接口{#IFNAME}({#IFALIAS}): LTE调制解调器RSRQ低(低于{$LTEMODEM.RSRQ.MIN.WARN}db5分钟)</v>
      </c>
      <c r="K1351" s="1" t="str">
        <f t="shared" si="87"/>
        <v/>
      </c>
    </row>
    <row r="1352" spans="1:11">
      <c r="A1352" s="1">
        <v>2614</v>
      </c>
      <c r="B1352" s="1" t="s">
        <v>9549</v>
      </c>
      <c r="C1352" s="1" t="s">
        <v>9123</v>
      </c>
      <c r="D1352" s="1" t="s">
        <v>3651</v>
      </c>
      <c r="E1352" s="1" t="s">
        <v>3678</v>
      </c>
      <c r="F1352" s="1" t="s">
        <v>2065</v>
      </c>
      <c r="G1352" s="1" t="s">
        <v>2058</v>
      </c>
      <c r="H1352" s="1" t="str">
        <f t="shared" si="84"/>
        <v/>
      </c>
      <c r="I1352" s="1" t="str">
        <f t="shared" si="85"/>
        <v/>
      </c>
      <c r="J1352" s="1" t="str">
        <f t="shared" si="86"/>
        <v>接口{#IFNAME}({#IFALIAS}): LTE调制解调器RSRP低(低于{$LTEMODEM.RSRP.MIN.WARN}dbm5分钟)</v>
      </c>
      <c r="K1352" s="1" t="str">
        <f t="shared" si="87"/>
        <v/>
      </c>
    </row>
    <row r="1353" spans="1:11">
      <c r="A1353" s="1">
        <v>2615</v>
      </c>
      <c r="B1353" s="1" t="s">
        <v>9549</v>
      </c>
      <c r="C1353" s="1" t="s">
        <v>9124</v>
      </c>
      <c r="D1353" s="1" t="s">
        <v>3651</v>
      </c>
      <c r="E1353" s="1" t="s">
        <v>3680</v>
      </c>
      <c r="F1353" s="1" t="s">
        <v>2068</v>
      </c>
      <c r="G1353" s="1" t="s">
        <v>2062</v>
      </c>
      <c r="H1353" s="1" t="str">
        <f t="shared" si="84"/>
        <v/>
      </c>
      <c r="I1353" s="1" t="str">
        <f t="shared" si="85"/>
        <v/>
      </c>
      <c r="J1353" s="1" t="str">
        <f t="shared" si="86"/>
        <v>接口{#IFNAME}({#IFALIAS}): LTE调制解调器RSRQ低(低于{$LTEMODEM.RSRQ.MIN.WARN}db5分钟)</v>
      </c>
      <c r="K1353" s="1" t="str">
        <f t="shared" si="87"/>
        <v/>
      </c>
    </row>
    <row r="1354" spans="1:11">
      <c r="A1354" s="1">
        <v>2617</v>
      </c>
      <c r="B1354" s="1" t="s">
        <v>9550</v>
      </c>
      <c r="C1354" s="1" t="s">
        <v>9098</v>
      </c>
      <c r="D1354" s="1" t="s">
        <v>3682</v>
      </c>
      <c r="E1354" s="1" t="s">
        <v>3683</v>
      </c>
      <c r="F1354" s="1" t="s">
        <v>541</v>
      </c>
      <c r="G1354" s="1" t="s">
        <v>542</v>
      </c>
      <c r="H1354" s="1" t="str">
        <f t="shared" si="84"/>
        <v/>
      </c>
      <c r="I1354" s="1" t="str">
        <f t="shared" si="85"/>
        <v/>
      </c>
      <c r="J1354" s="1" t="str">
        <f t="shared" si="86"/>
        <v>#{#SNMPINDEX}: CPU使用率高了(超过{$CPU.UTIL.CRIT}%达5分钟)</v>
      </c>
      <c r="K1354" s="1" t="str">
        <f t="shared" si="87"/>
        <v/>
      </c>
    </row>
    <row r="1355" spans="1:11">
      <c r="A1355" s="1">
        <v>2618</v>
      </c>
      <c r="B1355" s="1" t="s">
        <v>9550</v>
      </c>
      <c r="C1355" s="1" t="s">
        <v>9100</v>
      </c>
      <c r="D1355" s="1" t="s">
        <v>3682</v>
      </c>
      <c r="E1355" s="1" t="s">
        <v>3685</v>
      </c>
      <c r="F1355" s="1" t="s">
        <v>1557</v>
      </c>
      <c r="G1355" s="1" t="s">
        <v>1558</v>
      </c>
      <c r="H1355" s="1" t="str">
        <f t="shared" si="84"/>
        <v>CPU</v>
      </c>
      <c r="I1355" s="1" t="str">
        <f t="shared" si="85"/>
        <v>温度高于临界阈值: &gt;{$TEMP_CRIT: "CPU"}</v>
      </c>
      <c r="J1355" s="1" t="str">
        <f t="shared" si="86"/>
        <v>CPU: 温度高于临界阈值: &gt;{$TEMP_CRIT: "CPU"}</v>
      </c>
      <c r="K1355" s="1" t="str">
        <f t="shared" si="87"/>
        <v>Temperature is above critical threshold: &gt;{$TEMP_CRIT:"CPU"}</v>
      </c>
    </row>
    <row r="1356" spans="1:11">
      <c r="A1356" s="1">
        <v>2619</v>
      </c>
      <c r="B1356" s="1" t="s">
        <v>9550</v>
      </c>
      <c r="C1356" s="1" t="s">
        <v>9102</v>
      </c>
      <c r="D1356" s="1" t="s">
        <v>3682</v>
      </c>
      <c r="E1356" s="1" t="s">
        <v>3687</v>
      </c>
      <c r="F1356" s="1" t="s">
        <v>1553</v>
      </c>
      <c r="G1356" s="1" t="s">
        <v>1554</v>
      </c>
      <c r="H1356" s="1" t="str">
        <f t="shared" si="84"/>
        <v>CPU</v>
      </c>
      <c r="I1356" s="1" t="str">
        <f t="shared" si="85"/>
        <v>温度高于告警阈值: &gt;{$TEMP_WARN: "CPU"}</v>
      </c>
      <c r="J1356" s="1" t="str">
        <f t="shared" si="86"/>
        <v>CPU: 温度高于告警阈值: &gt;{$TEMP_WARN: "CPU"}</v>
      </c>
      <c r="K1356" s="1" t="str">
        <f t="shared" si="87"/>
        <v>Temperature is above warning threshold: &gt;{$TEMP_WARN:"CPU"}</v>
      </c>
    </row>
    <row r="1357" spans="1:11">
      <c r="A1357" s="1">
        <v>2620</v>
      </c>
      <c r="B1357" s="1" t="s">
        <v>9550</v>
      </c>
      <c r="C1357" s="1" t="s">
        <v>9104</v>
      </c>
      <c r="D1357" s="1" t="s">
        <v>3682</v>
      </c>
      <c r="E1357" s="1" t="s">
        <v>3689</v>
      </c>
      <c r="F1357" s="1" t="s">
        <v>1561</v>
      </c>
      <c r="G1357" s="1" t="s">
        <v>1562</v>
      </c>
      <c r="H1357" s="1" t="str">
        <f t="shared" si="84"/>
        <v>CPU</v>
      </c>
      <c r="I1357" s="1" t="str">
        <f t="shared" si="85"/>
        <v>温度太低: &lt;{$TEMP_CRIT_LOW: "CPU"}</v>
      </c>
      <c r="J1357" s="1" t="str">
        <f t="shared" si="86"/>
        <v>CPU: 温度太低: &lt;{$TEMP_CRIT_LOW: "CPU"}</v>
      </c>
      <c r="K1357" s="1" t="str">
        <f t="shared" si="87"/>
        <v>Temperature is too low: &lt;{$TEMP_CRIT_LOW:"CPU"}</v>
      </c>
    </row>
    <row r="1358" spans="1:11">
      <c r="A1358" s="1">
        <v>2621</v>
      </c>
      <c r="B1358" s="1" t="s">
        <v>9550</v>
      </c>
      <c r="C1358" s="1" t="s">
        <v>9106</v>
      </c>
      <c r="D1358" s="1" t="s">
        <v>3682</v>
      </c>
      <c r="E1358" s="1" t="s">
        <v>3691</v>
      </c>
      <c r="F1358" s="1" t="s">
        <v>2033</v>
      </c>
      <c r="G1358" s="1" t="s">
        <v>2034</v>
      </c>
      <c r="H1358" s="1" t="str">
        <f t="shared" si="84"/>
        <v>Device</v>
      </c>
      <c r="I1358" s="1" t="str">
        <f t="shared" si="85"/>
        <v>温度高于临界阈值: &gt;{$TEMP_CRIT: "Device"}</v>
      </c>
      <c r="J1358" s="1" t="str">
        <f t="shared" si="86"/>
        <v>Device: 温度高于临界阈值: &gt;{$TEMP_CRIT: "Device"}</v>
      </c>
      <c r="K1358" s="1" t="str">
        <f t="shared" si="87"/>
        <v>Temperature is above critical threshold: &gt;{$TEMP_CRIT:"Device"}</v>
      </c>
    </row>
    <row r="1359" spans="1:11">
      <c r="A1359" s="1">
        <v>2622</v>
      </c>
      <c r="B1359" s="1" t="s">
        <v>9550</v>
      </c>
      <c r="C1359" s="1" t="s">
        <v>9108</v>
      </c>
      <c r="D1359" s="1" t="s">
        <v>3682</v>
      </c>
      <c r="E1359" s="1" t="s">
        <v>3693</v>
      </c>
      <c r="F1359" s="1" t="s">
        <v>2037</v>
      </c>
      <c r="G1359" s="1" t="s">
        <v>2038</v>
      </c>
      <c r="H1359" s="1" t="str">
        <f t="shared" si="84"/>
        <v>Device</v>
      </c>
      <c r="I1359" s="1" t="str">
        <f t="shared" si="85"/>
        <v>温度高于告警阈值: &gt;{$TEMP_WARN: "Device"}</v>
      </c>
      <c r="J1359" s="1" t="str">
        <f t="shared" si="86"/>
        <v>Device: 温度高于告警阈值: &gt;{$TEMP_WARN: "Device"}</v>
      </c>
      <c r="K1359" s="1" t="str">
        <f t="shared" si="87"/>
        <v>Temperature is above warning threshold: &gt;{$TEMP_WARN:"Device"}</v>
      </c>
    </row>
    <row r="1360" spans="1:11">
      <c r="A1360" s="1">
        <v>2623</v>
      </c>
      <c r="B1360" s="1" t="s">
        <v>9550</v>
      </c>
      <c r="C1360" s="1" t="s">
        <v>9110</v>
      </c>
      <c r="D1360" s="1" t="s">
        <v>3682</v>
      </c>
      <c r="E1360" s="1" t="s">
        <v>3695</v>
      </c>
      <c r="F1360" s="1" t="s">
        <v>2041</v>
      </c>
      <c r="G1360" s="1" t="s">
        <v>2042</v>
      </c>
      <c r="H1360" s="1" t="str">
        <f t="shared" si="84"/>
        <v>Device</v>
      </c>
      <c r="I1360" s="1" t="str">
        <f t="shared" si="85"/>
        <v>温度太低: &lt;{$TEMP_CRIT_LOW: "Device"}</v>
      </c>
      <c r="J1360" s="1" t="str">
        <f t="shared" si="86"/>
        <v>Device: 温度太低: &lt;{$TEMP_CRIT_LOW: "Device"}</v>
      </c>
      <c r="K1360" s="1" t="str">
        <f t="shared" si="87"/>
        <v>Temperature is too low: &lt;{$TEMP_CRIT_LOW:"Device"}</v>
      </c>
    </row>
    <row r="1361" spans="1:11">
      <c r="A1361" s="1">
        <v>2624</v>
      </c>
      <c r="B1361" s="1" t="s">
        <v>9550</v>
      </c>
      <c r="C1361" s="1" t="s">
        <v>9112</v>
      </c>
      <c r="D1361" s="1" t="s">
        <v>3682</v>
      </c>
      <c r="E1361" s="1" t="s">
        <v>3697</v>
      </c>
      <c r="F1361" s="1" t="s">
        <v>2045</v>
      </c>
      <c r="G1361" s="1" t="s">
        <v>2046</v>
      </c>
      <c r="H1361" s="1" t="str">
        <f t="shared" si="84"/>
        <v/>
      </c>
      <c r="I1361" s="1" t="str">
        <f t="shared" si="85"/>
        <v/>
      </c>
      <c r="J1361" s="1" t="str">
        <f t="shared" si="86"/>
        <v>Disk-{#SNMPINDEX}: 磁盘空间严重不足(已使用率&gt;{$VFS.FS.PUSED.MAX.CRIT: "Disk-{#SNMPINDEX}"}%)</v>
      </c>
      <c r="K1361" s="1" t="str">
        <f t="shared" si="87"/>
        <v/>
      </c>
    </row>
    <row r="1362" spans="1:11">
      <c r="A1362" s="1">
        <v>2625</v>
      </c>
      <c r="B1362" s="1" t="s">
        <v>9550</v>
      </c>
      <c r="C1362" s="1" t="s">
        <v>9114</v>
      </c>
      <c r="D1362" s="1" t="s">
        <v>3682</v>
      </c>
      <c r="E1362" s="1" t="s">
        <v>3699</v>
      </c>
      <c r="F1362" s="1" t="s">
        <v>2049</v>
      </c>
      <c r="G1362" s="1" t="s">
        <v>2050</v>
      </c>
      <c r="H1362" s="1" t="str">
        <f t="shared" si="84"/>
        <v/>
      </c>
      <c r="I1362" s="1" t="str">
        <f t="shared" si="85"/>
        <v/>
      </c>
      <c r="J1362" s="1" t="str">
        <f t="shared" si="86"/>
        <v>Disk-{#SNMPINDEX}: 磁盘空间不足(已使用率&gt;{$VFS.FS.PUSED.MAX.WARN: "Disk-{#SNMPINDEX}"}%)</v>
      </c>
      <c r="K1362" s="1" t="str">
        <f t="shared" si="87"/>
        <v/>
      </c>
    </row>
    <row r="1363" spans="1:11">
      <c r="A1363" s="1">
        <v>2627</v>
      </c>
      <c r="B1363" s="1" t="s">
        <v>9550</v>
      </c>
      <c r="C1363" s="1" t="s">
        <v>9117</v>
      </c>
      <c r="D1363" s="1" t="s">
        <v>3682</v>
      </c>
      <c r="E1363" s="1" t="s">
        <v>3701</v>
      </c>
      <c r="F1363" s="1" t="s">
        <v>161</v>
      </c>
      <c r="G1363" s="1" t="s">
        <v>162</v>
      </c>
      <c r="H1363" s="1" t="str">
        <f t="shared" si="84"/>
        <v/>
      </c>
      <c r="I1363" s="1" t="str">
        <f t="shared" si="85"/>
        <v/>
      </c>
      <c r="J1363" s="1" t="str">
        <f t="shared" si="86"/>
        <v>接口{#IFNAME}({#IFALIAS}): 带宽使用率太高(&gt;{$IF.UTIL.MAX: "{#IFNAME}"}%)</v>
      </c>
      <c r="K1363" s="1" t="str">
        <f t="shared" si="87"/>
        <v/>
      </c>
    </row>
    <row r="1364" spans="1:11">
      <c r="A1364" s="1">
        <v>2628</v>
      </c>
      <c r="B1364" s="1" t="s">
        <v>9550</v>
      </c>
      <c r="C1364" s="1" t="s">
        <v>9119</v>
      </c>
      <c r="D1364" s="1" t="s">
        <v>3682</v>
      </c>
      <c r="E1364" s="1" t="s">
        <v>3703</v>
      </c>
      <c r="F1364" s="1" t="s">
        <v>165</v>
      </c>
      <c r="G1364" s="1" t="s">
        <v>166</v>
      </c>
      <c r="H1364" s="1" t="str">
        <f t="shared" si="84"/>
        <v/>
      </c>
      <c r="I1364" s="1" t="str">
        <f t="shared" si="85"/>
        <v/>
      </c>
      <c r="J1364" s="1" t="str">
        <f t="shared" si="86"/>
        <v>接口{#IFNAME}({#IFALIAS}): 错误率太高(&gt;{$IF.ERRORS.WARN: "{#IFNAME}"}达5分钟)</v>
      </c>
      <c r="K1364" s="1" t="str">
        <f t="shared" si="87"/>
        <v/>
      </c>
    </row>
    <row r="1365" spans="1:11">
      <c r="A1365" s="1">
        <v>2630</v>
      </c>
      <c r="B1365" s="1" t="s">
        <v>9550</v>
      </c>
      <c r="C1365" s="1" t="s">
        <v>9121</v>
      </c>
      <c r="D1365" s="1" t="s">
        <v>3682</v>
      </c>
      <c r="E1365" s="1" t="s">
        <v>3705</v>
      </c>
      <c r="F1365" s="1" t="s">
        <v>2057</v>
      </c>
      <c r="G1365" s="1" t="s">
        <v>2058</v>
      </c>
      <c r="H1365" s="1" t="str">
        <f t="shared" si="84"/>
        <v/>
      </c>
      <c r="I1365" s="1" t="str">
        <f t="shared" si="85"/>
        <v/>
      </c>
      <c r="J1365" s="1" t="str">
        <f t="shared" si="86"/>
        <v>接口{#IFNAME}({#IFALIAS}): LTE调制解调器RSRP低(低于{$LTEMODEM.RSRP.MIN.WARN}dbm5分钟)</v>
      </c>
      <c r="K1365" s="1" t="str">
        <f t="shared" si="87"/>
        <v/>
      </c>
    </row>
    <row r="1366" spans="1:11">
      <c r="A1366" s="1">
        <v>2631</v>
      </c>
      <c r="B1366" s="1" t="s">
        <v>9550</v>
      </c>
      <c r="C1366" s="1" t="s">
        <v>9122</v>
      </c>
      <c r="D1366" s="1" t="s">
        <v>3682</v>
      </c>
      <c r="E1366" s="1" t="s">
        <v>3707</v>
      </c>
      <c r="F1366" s="1" t="s">
        <v>2061</v>
      </c>
      <c r="G1366" s="1" t="s">
        <v>2062</v>
      </c>
      <c r="H1366" s="1" t="str">
        <f t="shared" si="84"/>
        <v/>
      </c>
      <c r="I1366" s="1" t="str">
        <f t="shared" si="85"/>
        <v/>
      </c>
      <c r="J1366" s="1" t="str">
        <f t="shared" si="86"/>
        <v>接口{#IFNAME}({#IFALIAS}): LTE调制解调器RSRQ低(低于{$LTEMODEM.RSRQ.MIN.WARN}db5分钟)</v>
      </c>
      <c r="K1366" s="1" t="str">
        <f t="shared" si="87"/>
        <v/>
      </c>
    </row>
    <row r="1367" spans="1:11">
      <c r="A1367" s="1">
        <v>2632</v>
      </c>
      <c r="B1367" s="1" t="s">
        <v>9550</v>
      </c>
      <c r="C1367" s="1" t="s">
        <v>9123</v>
      </c>
      <c r="D1367" s="1" t="s">
        <v>3682</v>
      </c>
      <c r="E1367" s="1" t="s">
        <v>3709</v>
      </c>
      <c r="F1367" s="1" t="s">
        <v>2065</v>
      </c>
      <c r="G1367" s="1" t="s">
        <v>2058</v>
      </c>
      <c r="H1367" s="1" t="str">
        <f t="shared" si="84"/>
        <v/>
      </c>
      <c r="I1367" s="1" t="str">
        <f t="shared" si="85"/>
        <v/>
      </c>
      <c r="J1367" s="1" t="str">
        <f t="shared" si="86"/>
        <v>接口{#IFNAME}({#IFALIAS}): LTE调制解调器RSRP低(低于{$LTEMODEM.RSRP.MIN.WARN}dbm5分钟)</v>
      </c>
      <c r="K1367" s="1" t="str">
        <f t="shared" si="87"/>
        <v/>
      </c>
    </row>
    <row r="1368" spans="1:11">
      <c r="A1368" s="1">
        <v>2633</v>
      </c>
      <c r="B1368" s="1" t="s">
        <v>9550</v>
      </c>
      <c r="C1368" s="1" t="s">
        <v>9124</v>
      </c>
      <c r="D1368" s="1" t="s">
        <v>3682</v>
      </c>
      <c r="E1368" s="1" t="s">
        <v>3711</v>
      </c>
      <c r="F1368" s="1" t="s">
        <v>2068</v>
      </c>
      <c r="G1368" s="1" t="s">
        <v>2062</v>
      </c>
      <c r="H1368" s="1" t="str">
        <f t="shared" si="84"/>
        <v/>
      </c>
      <c r="I1368" s="1" t="str">
        <f t="shared" si="85"/>
        <v/>
      </c>
      <c r="J1368" s="1" t="str">
        <f t="shared" si="86"/>
        <v>接口{#IFNAME}({#IFALIAS}): LTE调制解调器RSRQ低(低于{$LTEMODEM.RSRQ.MIN.WARN}db5分钟)</v>
      </c>
      <c r="K1368" s="1" t="str">
        <f t="shared" si="87"/>
        <v/>
      </c>
    </row>
    <row r="1369" spans="1:11">
      <c r="A1369" s="1">
        <v>2635</v>
      </c>
      <c r="B1369" s="1" t="s">
        <v>9551</v>
      </c>
      <c r="C1369" s="1" t="s">
        <v>9098</v>
      </c>
      <c r="D1369" s="1" t="s">
        <v>3713</v>
      </c>
      <c r="E1369" s="1" t="s">
        <v>3714</v>
      </c>
      <c r="F1369" s="1" t="s">
        <v>541</v>
      </c>
      <c r="G1369" s="1" t="s">
        <v>542</v>
      </c>
      <c r="H1369" s="1" t="str">
        <f t="shared" si="84"/>
        <v/>
      </c>
      <c r="I1369" s="1" t="str">
        <f t="shared" si="85"/>
        <v/>
      </c>
      <c r="J1369" s="1" t="str">
        <f t="shared" si="86"/>
        <v>#{#SNMPINDEX}: CPU使用率高了(超过{$CPU.UTIL.CRIT}%达5分钟)</v>
      </c>
      <c r="K1369" s="1" t="str">
        <f t="shared" si="87"/>
        <v/>
      </c>
    </row>
    <row r="1370" spans="1:11">
      <c r="A1370" s="1">
        <v>2636</v>
      </c>
      <c r="B1370" s="1" t="s">
        <v>9551</v>
      </c>
      <c r="C1370" s="1" t="s">
        <v>9100</v>
      </c>
      <c r="D1370" s="1" t="s">
        <v>3713</v>
      </c>
      <c r="E1370" s="1" t="s">
        <v>3716</v>
      </c>
      <c r="F1370" s="1" t="s">
        <v>1553</v>
      </c>
      <c r="G1370" s="1" t="s">
        <v>1554</v>
      </c>
      <c r="H1370" s="1" t="str">
        <f t="shared" si="84"/>
        <v>CPU</v>
      </c>
      <c r="I1370" s="1" t="str">
        <f t="shared" si="85"/>
        <v>温度高于告警阈值: &gt;{$TEMP_WARN: "CPU"}</v>
      </c>
      <c r="J1370" s="1" t="str">
        <f t="shared" si="86"/>
        <v>CPU: 温度高于告警阈值: &gt;{$TEMP_WARN: "CPU"}</v>
      </c>
      <c r="K1370" s="1" t="str">
        <f t="shared" si="87"/>
        <v>Temperature is above warning threshold: &gt;{$TEMP_WARN:"CPU"}</v>
      </c>
    </row>
    <row r="1371" spans="1:11">
      <c r="A1371" s="1">
        <v>2637</v>
      </c>
      <c r="B1371" s="1" t="s">
        <v>9551</v>
      </c>
      <c r="C1371" s="1" t="s">
        <v>9102</v>
      </c>
      <c r="D1371" s="1" t="s">
        <v>3713</v>
      </c>
      <c r="E1371" s="1" t="s">
        <v>3718</v>
      </c>
      <c r="F1371" s="1" t="s">
        <v>1557</v>
      </c>
      <c r="G1371" s="1" t="s">
        <v>1558</v>
      </c>
      <c r="H1371" s="1" t="str">
        <f t="shared" si="84"/>
        <v>CPU</v>
      </c>
      <c r="I1371" s="1" t="str">
        <f t="shared" si="85"/>
        <v>温度高于临界阈值: &gt;{$TEMP_CRIT: "CPU"}</v>
      </c>
      <c r="J1371" s="1" t="str">
        <f t="shared" si="86"/>
        <v>CPU: 温度高于临界阈值: &gt;{$TEMP_CRIT: "CPU"}</v>
      </c>
      <c r="K1371" s="1" t="str">
        <f t="shared" si="87"/>
        <v>Temperature is above critical threshold: &gt;{$TEMP_CRIT:"CPU"}</v>
      </c>
    </row>
    <row r="1372" spans="1:11">
      <c r="A1372" s="1">
        <v>2638</v>
      </c>
      <c r="B1372" s="1" t="s">
        <v>9551</v>
      </c>
      <c r="C1372" s="1" t="s">
        <v>9104</v>
      </c>
      <c r="D1372" s="1" t="s">
        <v>3713</v>
      </c>
      <c r="E1372" s="1" t="s">
        <v>3720</v>
      </c>
      <c r="F1372" s="1" t="s">
        <v>1561</v>
      </c>
      <c r="G1372" s="1" t="s">
        <v>1562</v>
      </c>
      <c r="H1372" s="1" t="str">
        <f t="shared" si="84"/>
        <v>CPU</v>
      </c>
      <c r="I1372" s="1" t="str">
        <f t="shared" si="85"/>
        <v>温度太低: &lt;{$TEMP_CRIT_LOW: "CPU"}</v>
      </c>
      <c r="J1372" s="1" t="str">
        <f t="shared" si="86"/>
        <v>CPU: 温度太低: &lt;{$TEMP_CRIT_LOW: "CPU"}</v>
      </c>
      <c r="K1372" s="1" t="str">
        <f t="shared" si="87"/>
        <v>Temperature is too low: &lt;{$TEMP_CRIT_LOW:"CPU"}</v>
      </c>
    </row>
    <row r="1373" spans="1:11">
      <c r="A1373" s="1">
        <v>2639</v>
      </c>
      <c r="B1373" s="1" t="s">
        <v>9551</v>
      </c>
      <c r="C1373" s="1" t="s">
        <v>9106</v>
      </c>
      <c r="D1373" s="1" t="s">
        <v>3713</v>
      </c>
      <c r="E1373" s="1" t="s">
        <v>3722</v>
      </c>
      <c r="F1373" s="1" t="s">
        <v>2037</v>
      </c>
      <c r="G1373" s="1" t="s">
        <v>2038</v>
      </c>
      <c r="H1373" s="1" t="str">
        <f t="shared" si="84"/>
        <v>Device</v>
      </c>
      <c r="I1373" s="1" t="str">
        <f t="shared" si="85"/>
        <v>温度高于告警阈值: &gt;{$TEMP_WARN: "Device"}</v>
      </c>
      <c r="J1373" s="1" t="str">
        <f t="shared" si="86"/>
        <v>Device: 温度高于告警阈值: &gt;{$TEMP_WARN: "Device"}</v>
      </c>
      <c r="K1373" s="1" t="str">
        <f t="shared" si="87"/>
        <v>Temperature is above warning threshold: &gt;{$TEMP_WARN:"Device"}</v>
      </c>
    </row>
    <row r="1374" spans="1:11">
      <c r="A1374" s="1">
        <v>2640</v>
      </c>
      <c r="B1374" s="1" t="s">
        <v>9551</v>
      </c>
      <c r="C1374" s="1" t="s">
        <v>9108</v>
      </c>
      <c r="D1374" s="1" t="s">
        <v>3713</v>
      </c>
      <c r="E1374" s="1" t="s">
        <v>3724</v>
      </c>
      <c r="F1374" s="1" t="s">
        <v>2033</v>
      </c>
      <c r="G1374" s="1" t="s">
        <v>2034</v>
      </c>
      <c r="H1374" s="1" t="str">
        <f t="shared" si="84"/>
        <v>Device</v>
      </c>
      <c r="I1374" s="1" t="str">
        <f t="shared" si="85"/>
        <v>温度高于临界阈值: &gt;{$TEMP_CRIT: "Device"}</v>
      </c>
      <c r="J1374" s="1" t="str">
        <f t="shared" si="86"/>
        <v>Device: 温度高于临界阈值: &gt;{$TEMP_CRIT: "Device"}</v>
      </c>
      <c r="K1374" s="1" t="str">
        <f t="shared" si="87"/>
        <v>Temperature is above critical threshold: &gt;{$TEMP_CRIT:"Device"}</v>
      </c>
    </row>
    <row r="1375" spans="1:11">
      <c r="A1375" s="1">
        <v>2641</v>
      </c>
      <c r="B1375" s="1" t="s">
        <v>9551</v>
      </c>
      <c r="C1375" s="1" t="s">
        <v>9110</v>
      </c>
      <c r="D1375" s="1" t="s">
        <v>3713</v>
      </c>
      <c r="E1375" s="1" t="s">
        <v>3726</v>
      </c>
      <c r="F1375" s="1" t="s">
        <v>2041</v>
      </c>
      <c r="G1375" s="1" t="s">
        <v>2042</v>
      </c>
      <c r="H1375" s="1" t="str">
        <f t="shared" si="84"/>
        <v>Device</v>
      </c>
      <c r="I1375" s="1" t="str">
        <f t="shared" si="85"/>
        <v>温度太低: &lt;{$TEMP_CRIT_LOW: "Device"}</v>
      </c>
      <c r="J1375" s="1" t="str">
        <f t="shared" si="86"/>
        <v>Device: 温度太低: &lt;{$TEMP_CRIT_LOW: "Device"}</v>
      </c>
      <c r="K1375" s="1" t="str">
        <f t="shared" si="87"/>
        <v>Temperature is too low: &lt;{$TEMP_CRIT_LOW:"Device"}</v>
      </c>
    </row>
    <row r="1376" spans="1:11">
      <c r="A1376" s="1">
        <v>2642</v>
      </c>
      <c r="B1376" s="1" t="s">
        <v>9551</v>
      </c>
      <c r="C1376" s="1" t="s">
        <v>9112</v>
      </c>
      <c r="D1376" s="1" t="s">
        <v>3713</v>
      </c>
      <c r="E1376" s="1" t="s">
        <v>3728</v>
      </c>
      <c r="F1376" s="1" t="s">
        <v>2045</v>
      </c>
      <c r="G1376" s="1" t="s">
        <v>2046</v>
      </c>
      <c r="H1376" s="1" t="str">
        <f t="shared" si="84"/>
        <v/>
      </c>
      <c r="I1376" s="1" t="str">
        <f t="shared" si="85"/>
        <v/>
      </c>
      <c r="J1376" s="1" t="str">
        <f t="shared" si="86"/>
        <v>Disk-{#SNMPINDEX}: 磁盘空间严重不足(已使用率&gt;{$VFS.FS.PUSED.MAX.CRIT: "Disk-{#SNMPINDEX}"}%)</v>
      </c>
      <c r="K1376" s="1" t="str">
        <f t="shared" si="87"/>
        <v/>
      </c>
    </row>
    <row r="1377" spans="1:11">
      <c r="A1377" s="1">
        <v>2643</v>
      </c>
      <c r="B1377" s="1" t="s">
        <v>9551</v>
      </c>
      <c r="C1377" s="1" t="s">
        <v>9114</v>
      </c>
      <c r="D1377" s="1" t="s">
        <v>3713</v>
      </c>
      <c r="E1377" s="1" t="s">
        <v>3730</v>
      </c>
      <c r="F1377" s="1" t="s">
        <v>2049</v>
      </c>
      <c r="G1377" s="1" t="s">
        <v>2050</v>
      </c>
      <c r="H1377" s="1" t="str">
        <f t="shared" si="84"/>
        <v/>
      </c>
      <c r="I1377" s="1" t="str">
        <f t="shared" si="85"/>
        <v/>
      </c>
      <c r="J1377" s="1" t="str">
        <f t="shared" si="86"/>
        <v>Disk-{#SNMPINDEX}: 磁盘空间不足(已使用率&gt;{$VFS.FS.PUSED.MAX.WARN: "Disk-{#SNMPINDEX}"}%)</v>
      </c>
      <c r="K1377" s="1" t="str">
        <f t="shared" si="87"/>
        <v/>
      </c>
    </row>
    <row r="1378" spans="1:11">
      <c r="A1378" s="1">
        <v>2645</v>
      </c>
      <c r="B1378" s="1" t="s">
        <v>9551</v>
      </c>
      <c r="C1378" s="1" t="s">
        <v>9117</v>
      </c>
      <c r="D1378" s="1" t="s">
        <v>3713</v>
      </c>
      <c r="E1378" s="1" t="s">
        <v>3732</v>
      </c>
      <c r="F1378" s="1" t="s">
        <v>161</v>
      </c>
      <c r="G1378" s="1" t="s">
        <v>162</v>
      </c>
      <c r="H1378" s="1" t="str">
        <f t="shared" si="84"/>
        <v/>
      </c>
      <c r="I1378" s="1" t="str">
        <f t="shared" si="85"/>
        <v/>
      </c>
      <c r="J1378" s="1" t="str">
        <f t="shared" si="86"/>
        <v>接口{#IFNAME}({#IFALIAS}): 带宽使用率太高(&gt;{$IF.UTIL.MAX: "{#IFNAME}"}%)</v>
      </c>
      <c r="K1378" s="1" t="str">
        <f t="shared" si="87"/>
        <v/>
      </c>
    </row>
    <row r="1379" spans="1:11">
      <c r="A1379" s="1">
        <v>2646</v>
      </c>
      <c r="B1379" s="1" t="s">
        <v>9551</v>
      </c>
      <c r="C1379" s="1" t="s">
        <v>9119</v>
      </c>
      <c r="D1379" s="1" t="s">
        <v>3713</v>
      </c>
      <c r="E1379" s="1" t="s">
        <v>3734</v>
      </c>
      <c r="F1379" s="1" t="s">
        <v>165</v>
      </c>
      <c r="G1379" s="1" t="s">
        <v>166</v>
      </c>
      <c r="H1379" s="1" t="str">
        <f t="shared" si="84"/>
        <v/>
      </c>
      <c r="I1379" s="1" t="str">
        <f t="shared" si="85"/>
        <v/>
      </c>
      <c r="J1379" s="1" t="str">
        <f t="shared" si="86"/>
        <v>接口{#IFNAME}({#IFALIAS}): 错误率太高(&gt;{$IF.ERRORS.WARN: "{#IFNAME}"}达5分钟)</v>
      </c>
      <c r="K1379" s="1" t="str">
        <f t="shared" si="87"/>
        <v/>
      </c>
    </row>
    <row r="1380" spans="1:11">
      <c r="A1380" s="1">
        <v>2648</v>
      </c>
      <c r="B1380" s="1" t="s">
        <v>9551</v>
      </c>
      <c r="C1380" s="1" t="s">
        <v>9121</v>
      </c>
      <c r="D1380" s="1" t="s">
        <v>3713</v>
      </c>
      <c r="E1380" s="1" t="s">
        <v>3736</v>
      </c>
      <c r="F1380" s="1" t="s">
        <v>2057</v>
      </c>
      <c r="G1380" s="1" t="s">
        <v>2058</v>
      </c>
      <c r="H1380" s="1" t="str">
        <f t="shared" si="84"/>
        <v/>
      </c>
      <c r="I1380" s="1" t="str">
        <f t="shared" si="85"/>
        <v/>
      </c>
      <c r="J1380" s="1" t="str">
        <f t="shared" si="86"/>
        <v>接口{#IFNAME}({#IFALIAS}): LTE调制解调器RSRP低(低于{$LTEMODEM.RSRP.MIN.WARN}dbm5分钟)</v>
      </c>
      <c r="K1380" s="1" t="str">
        <f t="shared" si="87"/>
        <v/>
      </c>
    </row>
    <row r="1381" spans="1:11">
      <c r="A1381" s="1">
        <v>2649</v>
      </c>
      <c r="B1381" s="1" t="s">
        <v>9551</v>
      </c>
      <c r="C1381" s="1" t="s">
        <v>9122</v>
      </c>
      <c r="D1381" s="1" t="s">
        <v>3713</v>
      </c>
      <c r="E1381" s="1" t="s">
        <v>3738</v>
      </c>
      <c r="F1381" s="1" t="s">
        <v>2061</v>
      </c>
      <c r="G1381" s="1" t="s">
        <v>2062</v>
      </c>
      <c r="H1381" s="1" t="str">
        <f t="shared" si="84"/>
        <v/>
      </c>
      <c r="I1381" s="1" t="str">
        <f t="shared" si="85"/>
        <v/>
      </c>
      <c r="J1381" s="1" t="str">
        <f t="shared" si="86"/>
        <v>接口{#IFNAME}({#IFALIAS}): LTE调制解调器RSRQ低(低于{$LTEMODEM.RSRQ.MIN.WARN}db5分钟)</v>
      </c>
      <c r="K1381" s="1" t="str">
        <f t="shared" si="87"/>
        <v/>
      </c>
    </row>
    <row r="1382" spans="1:11">
      <c r="A1382" s="1">
        <v>2650</v>
      </c>
      <c r="B1382" s="1" t="s">
        <v>9551</v>
      </c>
      <c r="C1382" s="1" t="s">
        <v>9123</v>
      </c>
      <c r="D1382" s="1" t="s">
        <v>3713</v>
      </c>
      <c r="E1382" s="1" t="s">
        <v>3740</v>
      </c>
      <c r="F1382" s="1" t="s">
        <v>2065</v>
      </c>
      <c r="G1382" s="1" t="s">
        <v>2058</v>
      </c>
      <c r="H1382" s="1" t="str">
        <f t="shared" si="84"/>
        <v/>
      </c>
      <c r="I1382" s="1" t="str">
        <f t="shared" si="85"/>
        <v/>
      </c>
      <c r="J1382" s="1" t="str">
        <f t="shared" si="86"/>
        <v>接口{#IFNAME}({#IFALIAS}): LTE调制解调器RSRP低(低于{$LTEMODEM.RSRP.MIN.WARN}dbm5分钟)</v>
      </c>
      <c r="K1382" s="1" t="str">
        <f t="shared" si="87"/>
        <v/>
      </c>
    </row>
    <row r="1383" spans="1:11">
      <c r="A1383" s="1">
        <v>2651</v>
      </c>
      <c r="B1383" s="1" t="s">
        <v>9551</v>
      </c>
      <c r="C1383" s="1" t="s">
        <v>9124</v>
      </c>
      <c r="D1383" s="1" t="s">
        <v>3713</v>
      </c>
      <c r="E1383" s="1" t="s">
        <v>3742</v>
      </c>
      <c r="F1383" s="1" t="s">
        <v>2068</v>
      </c>
      <c r="G1383" s="1" t="s">
        <v>2062</v>
      </c>
      <c r="H1383" s="1" t="str">
        <f t="shared" si="84"/>
        <v/>
      </c>
      <c r="I1383" s="1" t="str">
        <f t="shared" si="85"/>
        <v/>
      </c>
      <c r="J1383" s="1" t="str">
        <f t="shared" si="86"/>
        <v>接口{#IFNAME}({#IFALIAS}): LTE调制解调器RSRQ低(低于{$LTEMODEM.RSRQ.MIN.WARN}db5分钟)</v>
      </c>
      <c r="K1383" s="1" t="str">
        <f t="shared" si="87"/>
        <v/>
      </c>
    </row>
    <row r="1384" spans="1:11">
      <c r="A1384" s="1">
        <v>2653</v>
      </c>
      <c r="B1384" s="1" t="s">
        <v>9552</v>
      </c>
      <c r="C1384" s="1" t="s">
        <v>9553</v>
      </c>
      <c r="D1384" s="1" t="s">
        <v>3744</v>
      </c>
      <c r="E1384" s="1" t="s">
        <v>3745</v>
      </c>
      <c r="F1384" s="1" t="s">
        <v>3746</v>
      </c>
      <c r="G1384" s="1" t="s">
        <v>3747</v>
      </c>
      <c r="H1384" s="1" t="str">
        <f t="shared" si="84"/>
        <v>MongoDB</v>
      </c>
      <c r="I1384" s="1" t="str">
        <f t="shared" si="85"/>
        <v>ReplicaSet中的节点变更了状态(新状态: {ITEM.VALUE})</v>
      </c>
      <c r="J1384" s="1" t="str">
        <f t="shared" si="86"/>
        <v>MongoDB: ReplicaSet中的节点变更了状态(新状态: {ITEM.VALUE})</v>
      </c>
      <c r="K1384" s="1" t="str">
        <f t="shared" si="87"/>
        <v>Node in ReplicaSet changed the state (new state: {ITEM.VALUE})</v>
      </c>
    </row>
    <row r="1385" spans="1:11">
      <c r="A1385" s="1">
        <v>2655</v>
      </c>
      <c r="B1385" s="1" t="s">
        <v>9552</v>
      </c>
      <c r="C1385" s="1" t="s">
        <v>9291</v>
      </c>
      <c r="D1385" s="1" t="s">
        <v>3744</v>
      </c>
      <c r="E1385" s="1" t="s">
        <v>3749</v>
      </c>
      <c r="F1385" s="1" t="s">
        <v>3750</v>
      </c>
      <c r="G1385" s="1" t="s">
        <v>3751</v>
      </c>
      <c r="H1385" s="1" t="str">
        <f t="shared" si="84"/>
        <v>MongoDB</v>
      </c>
      <c r="I1385" s="1" t="str">
        <f t="shared" si="85"/>
        <v>主数据库的复制延迟太高(超过{$MONGODB.REPL.LAG.MAX.WARN}达5分钟)</v>
      </c>
      <c r="J1385" s="1" t="str">
        <f t="shared" si="86"/>
        <v>MongoDB: 主数据库的复制延迟太高(超过{$MONGODB.REPL.LAG.MAX.WARN}达5分钟)</v>
      </c>
      <c r="K1385" s="1" t="str">
        <f t="shared" si="87"/>
        <v>Replication lag with primary is too high (over {$MONGODB.REPL.LAG.MAX.WARN} in 5m)</v>
      </c>
    </row>
    <row r="1386" spans="1:11">
      <c r="A1386" s="1">
        <v>2656</v>
      </c>
      <c r="B1386" s="1" t="s">
        <v>9552</v>
      </c>
      <c r="C1386" s="1" t="s">
        <v>9554</v>
      </c>
      <c r="D1386" s="1" t="s">
        <v>3744</v>
      </c>
      <c r="E1386" s="1" t="s">
        <v>3753</v>
      </c>
      <c r="F1386" s="1" t="s">
        <v>3754</v>
      </c>
      <c r="G1386" s="1" t="s">
        <v>3755</v>
      </c>
      <c r="H1386" s="1" t="str">
        <f t="shared" si="84"/>
        <v>MongoDB</v>
      </c>
      <c r="I1386" s="1" t="str">
        <f t="shared" si="85"/>
        <v>可用的WiredTiger读取票证少于{$MONGODB.WIRED_TIGER.TICKETS.AVAILABLE.MIN.WARN}</v>
      </c>
      <c r="J1386" s="1" t="str">
        <f t="shared" si="86"/>
        <v>MongoDB: 可用的WiredTiger读取票证少于{$MONGODB.WIRED_TIGER.TICKETS.AVAILABLE.MIN.WARN}</v>
      </c>
      <c r="K1386" s="1" t="str">
        <f t="shared" si="87"/>
        <v>Available WiredTiger read tickets less than {$MONGODB.WIRED_TIGER.TICKETS.AVAILABLE.MIN.WARN}</v>
      </c>
    </row>
    <row r="1387" spans="1:11">
      <c r="A1387" s="1">
        <v>2657</v>
      </c>
      <c r="B1387" s="1" t="s">
        <v>9552</v>
      </c>
      <c r="C1387" s="1" t="s">
        <v>9555</v>
      </c>
      <c r="D1387" s="1" t="s">
        <v>3744</v>
      </c>
      <c r="E1387" s="1" t="s">
        <v>3757</v>
      </c>
      <c r="F1387" s="1" t="s">
        <v>3758</v>
      </c>
      <c r="G1387" s="1" t="s">
        <v>3759</v>
      </c>
      <c r="H1387" s="1" t="str">
        <f t="shared" si="84"/>
        <v>MongoDB</v>
      </c>
      <c r="I1387" s="1" t="str">
        <f t="shared" si="85"/>
        <v>可用的WiredTiger写入票证少于{$MONGODB.WIRED_TIGER.TICKETS.AVAILABLE.MIN.WARN}</v>
      </c>
      <c r="J1387" s="1" t="str">
        <f t="shared" si="86"/>
        <v>MongoDB: 可用的WiredTiger写入票证少于{$MONGODB.WIRED_TIGER.TICKETS.AVAILABLE.MIN.WARN}</v>
      </c>
      <c r="K1387" s="1" t="str">
        <f t="shared" si="87"/>
        <v>Available WiredTiger write tickets less than {$MONGODB.WIRED_TIGER.TICKETS.AVAILABLE.MIN.WARN}</v>
      </c>
    </row>
    <row r="1388" spans="1:11">
      <c r="A1388" s="1">
        <v>2658</v>
      </c>
      <c r="B1388" s="1" t="s">
        <v>9556</v>
      </c>
      <c r="C1388" s="1" t="s">
        <v>9066</v>
      </c>
      <c r="D1388" s="1" t="s">
        <v>3761</v>
      </c>
      <c r="E1388" s="1" t="s">
        <v>3762</v>
      </c>
      <c r="F1388" s="1" t="s">
        <v>3763</v>
      </c>
      <c r="G1388" s="1" t="s">
        <v>3764</v>
      </c>
      <c r="H1388" s="1" t="str">
        <f t="shared" si="84"/>
        <v>Battery</v>
      </c>
      <c r="I1388" s="1" t="str">
        <f t="shared" si="85"/>
        <v>电池电压严重告警(低于{#VOLTAGE.MIN.CRIT}伏达5分钟)</v>
      </c>
      <c r="J1388" s="1" t="str">
        <f t="shared" si="86"/>
        <v>Battery: 电池电压严重告警(低于{#VOLTAGE.MIN.CRIT}伏达5分钟)</v>
      </c>
      <c r="K1388" s="1" t="str">
        <f t="shared" si="87"/>
        <v>Critically low battery voltage (below {#VOLTAGE.MIN.CRIT}V for 5m)</v>
      </c>
    </row>
    <row r="1389" spans="1:11">
      <c r="A1389" s="1">
        <v>2659</v>
      </c>
      <c r="B1389" s="1" t="s">
        <v>9556</v>
      </c>
      <c r="C1389" s="1" t="s">
        <v>9207</v>
      </c>
      <c r="D1389" s="1" t="s">
        <v>3761</v>
      </c>
      <c r="E1389" s="1" t="s">
        <v>3766</v>
      </c>
      <c r="F1389" s="1" t="s">
        <v>3767</v>
      </c>
      <c r="G1389" s="1" t="s">
        <v>3768</v>
      </c>
      <c r="H1389" s="1" t="str">
        <f t="shared" si="84"/>
        <v>Battery</v>
      </c>
      <c r="I1389" s="1" t="str">
        <f t="shared" si="85"/>
        <v>电池电压告警(低于{#VOLTAGE.MIN.WARN}伏达5分钟)</v>
      </c>
      <c r="J1389" s="1" t="str">
        <f t="shared" si="86"/>
        <v>Battery: 电池电压告警(低于{#VOLTAGE.MIN.WARN}伏达5分钟)</v>
      </c>
      <c r="K1389" s="1" t="str">
        <f t="shared" si="87"/>
        <v>Low battery voltage (below {#VOLTAGE.MIN.WARN}V for 5m)</v>
      </c>
    </row>
    <row r="1390" spans="1:11">
      <c r="A1390" s="1">
        <v>2660</v>
      </c>
      <c r="B1390" s="1" t="s">
        <v>9556</v>
      </c>
      <c r="C1390" s="1" t="s">
        <v>9068</v>
      </c>
      <c r="D1390" s="1" t="s">
        <v>3761</v>
      </c>
      <c r="E1390" s="1" t="s">
        <v>3770</v>
      </c>
      <c r="F1390" s="1" t="s">
        <v>3771</v>
      </c>
      <c r="G1390" s="1" t="s">
        <v>3772</v>
      </c>
      <c r="H1390" s="1" t="str">
        <f t="shared" si="84"/>
        <v>Battery</v>
      </c>
      <c r="I1390" s="1" t="str">
        <f t="shared" si="85"/>
        <v>电池电压严重告警(超过{#VOLTAGE.MAX.CRIT}伏达5分钟)</v>
      </c>
      <c r="J1390" s="1" t="str">
        <f t="shared" si="86"/>
        <v>Battery: 电池电压严重告警(超过{#VOLTAGE.MAX.CRIT}伏达5分钟)</v>
      </c>
      <c r="K1390" s="1" t="str">
        <f t="shared" si="87"/>
        <v>Critically high battery voltage (over {#VOLTAGE.MAX.CRIT}V for 5m)</v>
      </c>
    </row>
    <row r="1391" spans="1:11">
      <c r="A1391" s="1">
        <v>2661</v>
      </c>
      <c r="B1391" s="1" t="s">
        <v>9556</v>
      </c>
      <c r="C1391" s="1" t="s">
        <v>9071</v>
      </c>
      <c r="D1391" s="1" t="s">
        <v>3761</v>
      </c>
      <c r="E1391" s="1" t="s">
        <v>3774</v>
      </c>
      <c r="F1391" s="1" t="s">
        <v>3775</v>
      </c>
      <c r="G1391" s="1" t="s">
        <v>3776</v>
      </c>
      <c r="H1391" s="1" t="str">
        <f t="shared" si="84"/>
        <v>Battery</v>
      </c>
      <c r="I1391" s="1" t="str">
        <f t="shared" si="85"/>
        <v>电池电压告警(超过{#VOLTAGE.MAX.WARN}伏达5分钟)</v>
      </c>
      <c r="J1391" s="1" t="str">
        <f t="shared" si="86"/>
        <v>Battery: 电池电压告警(超过{#VOLTAGE.MAX.WARN}伏达5分钟)</v>
      </c>
      <c r="K1391" s="1" t="str">
        <f t="shared" si="87"/>
        <v>High battery voltage (over {#VOLTAGE.MAX.WARN}V for 5m)</v>
      </c>
    </row>
    <row r="1392" spans="1:11">
      <c r="A1392" s="1">
        <v>2662</v>
      </c>
      <c r="B1392" s="1" t="s">
        <v>9557</v>
      </c>
      <c r="C1392" s="1" t="s">
        <v>9066</v>
      </c>
      <c r="D1392" s="1" t="s">
        <v>3778</v>
      </c>
      <c r="E1392" s="1" t="s">
        <v>3779</v>
      </c>
      <c r="F1392" s="1" t="s">
        <v>3763</v>
      </c>
      <c r="G1392" s="1" t="s">
        <v>3764</v>
      </c>
      <c r="H1392" s="1" t="str">
        <f t="shared" si="84"/>
        <v>Battery</v>
      </c>
      <c r="I1392" s="1" t="str">
        <f t="shared" si="85"/>
        <v>电池电压严重告警(低于{#VOLTAGE.MIN.CRIT}伏达5分钟)</v>
      </c>
      <c r="J1392" s="1" t="str">
        <f t="shared" si="86"/>
        <v>Battery: 电池电压严重告警(低于{#VOLTAGE.MIN.CRIT}伏达5分钟)</v>
      </c>
      <c r="K1392" s="1" t="str">
        <f t="shared" si="87"/>
        <v>Critically low battery voltage (below {#VOLTAGE.MIN.CRIT}V for 5m)</v>
      </c>
    </row>
    <row r="1393" spans="1:11">
      <c r="A1393" s="1">
        <v>2663</v>
      </c>
      <c r="B1393" s="1" t="s">
        <v>9557</v>
      </c>
      <c r="C1393" s="1" t="s">
        <v>9207</v>
      </c>
      <c r="D1393" s="1" t="s">
        <v>3778</v>
      </c>
      <c r="E1393" s="1" t="s">
        <v>3781</v>
      </c>
      <c r="F1393" s="1" t="s">
        <v>3767</v>
      </c>
      <c r="G1393" s="1" t="s">
        <v>3768</v>
      </c>
      <c r="H1393" s="1" t="str">
        <f t="shared" si="84"/>
        <v>Battery</v>
      </c>
      <c r="I1393" s="1" t="str">
        <f t="shared" si="85"/>
        <v>电池电压告警(低于{#VOLTAGE.MIN.WARN}伏达5分钟)</v>
      </c>
      <c r="J1393" s="1" t="str">
        <f t="shared" si="86"/>
        <v>Battery: 电池电压告警(低于{#VOLTAGE.MIN.WARN}伏达5分钟)</v>
      </c>
      <c r="K1393" s="1" t="str">
        <f t="shared" si="87"/>
        <v>Low battery voltage (below {#VOLTAGE.MIN.WARN}V for 5m)</v>
      </c>
    </row>
    <row r="1394" spans="1:11">
      <c r="A1394" s="1">
        <v>2664</v>
      </c>
      <c r="B1394" s="1" t="s">
        <v>9557</v>
      </c>
      <c r="C1394" s="1" t="s">
        <v>9068</v>
      </c>
      <c r="D1394" s="1" t="s">
        <v>3778</v>
      </c>
      <c r="E1394" s="1" t="s">
        <v>3783</v>
      </c>
      <c r="F1394" s="1" t="s">
        <v>3771</v>
      </c>
      <c r="G1394" s="1" t="s">
        <v>3772</v>
      </c>
      <c r="H1394" s="1" t="str">
        <f t="shared" si="84"/>
        <v>Battery</v>
      </c>
      <c r="I1394" s="1" t="str">
        <f t="shared" si="85"/>
        <v>电池电压严重告警(超过{#VOLTAGE.MAX.CRIT}伏达5分钟)</v>
      </c>
      <c r="J1394" s="1" t="str">
        <f t="shared" si="86"/>
        <v>Battery: 电池电压严重告警(超过{#VOLTAGE.MAX.CRIT}伏达5分钟)</v>
      </c>
      <c r="K1394" s="1" t="str">
        <f t="shared" si="87"/>
        <v>Critically high battery voltage (over {#VOLTAGE.MAX.CRIT}V for 5m)</v>
      </c>
    </row>
    <row r="1395" spans="1:11">
      <c r="A1395" s="1">
        <v>2665</v>
      </c>
      <c r="B1395" s="1" t="s">
        <v>9557</v>
      </c>
      <c r="C1395" s="1" t="s">
        <v>9071</v>
      </c>
      <c r="D1395" s="1" t="s">
        <v>3778</v>
      </c>
      <c r="E1395" s="1" t="s">
        <v>3785</v>
      </c>
      <c r="F1395" s="1" t="s">
        <v>3775</v>
      </c>
      <c r="G1395" s="1" t="s">
        <v>3776</v>
      </c>
      <c r="H1395" s="1" t="str">
        <f t="shared" si="84"/>
        <v>Battery</v>
      </c>
      <c r="I1395" s="1" t="str">
        <f t="shared" si="85"/>
        <v>电池电压告警(超过{#VOLTAGE.MAX.WARN}伏达5分钟)</v>
      </c>
      <c r="J1395" s="1" t="str">
        <f t="shared" si="86"/>
        <v>Battery: 电池电压告警(超过{#VOLTAGE.MAX.WARN}伏达5分钟)</v>
      </c>
      <c r="K1395" s="1" t="str">
        <f t="shared" si="87"/>
        <v>High battery voltage (over {#VOLTAGE.MAX.WARN}V for 5m)</v>
      </c>
    </row>
    <row r="1396" spans="1:11">
      <c r="A1396" s="1">
        <v>2666</v>
      </c>
      <c r="B1396" s="1" t="s">
        <v>9558</v>
      </c>
      <c r="C1396" s="1" t="s">
        <v>9066</v>
      </c>
      <c r="D1396" s="1" t="s">
        <v>3787</v>
      </c>
      <c r="E1396" s="1" t="s">
        <v>3788</v>
      </c>
      <c r="F1396" s="1" t="s">
        <v>3763</v>
      </c>
      <c r="G1396" s="1" t="s">
        <v>3764</v>
      </c>
      <c r="H1396" s="1" t="str">
        <f t="shared" si="84"/>
        <v>Battery</v>
      </c>
      <c r="I1396" s="1" t="str">
        <f t="shared" si="85"/>
        <v>电池电压严重告警(低于{#VOLTAGE.MIN.CRIT}伏达5分钟)</v>
      </c>
      <c r="J1396" s="1" t="str">
        <f t="shared" si="86"/>
        <v>Battery: 电池电压严重告警(低于{#VOLTAGE.MIN.CRIT}伏达5分钟)</v>
      </c>
      <c r="K1396" s="1" t="str">
        <f t="shared" si="87"/>
        <v>Critically low battery voltage (below {#VOLTAGE.MIN.CRIT}V for 5m)</v>
      </c>
    </row>
    <row r="1397" spans="1:11">
      <c r="A1397" s="1">
        <v>2667</v>
      </c>
      <c r="B1397" s="1" t="s">
        <v>9558</v>
      </c>
      <c r="C1397" s="1" t="s">
        <v>9207</v>
      </c>
      <c r="D1397" s="1" t="s">
        <v>3787</v>
      </c>
      <c r="E1397" s="1" t="s">
        <v>3790</v>
      </c>
      <c r="F1397" s="1" t="s">
        <v>3767</v>
      </c>
      <c r="G1397" s="1" t="s">
        <v>3768</v>
      </c>
      <c r="H1397" s="1" t="str">
        <f t="shared" si="84"/>
        <v>Battery</v>
      </c>
      <c r="I1397" s="1" t="str">
        <f t="shared" si="85"/>
        <v>电池电压告警(低于{#VOLTAGE.MIN.WARN}伏达5分钟)</v>
      </c>
      <c r="J1397" s="1" t="str">
        <f t="shared" si="86"/>
        <v>Battery: 电池电压告警(低于{#VOLTAGE.MIN.WARN}伏达5分钟)</v>
      </c>
      <c r="K1397" s="1" t="str">
        <f t="shared" si="87"/>
        <v>Low battery voltage (below {#VOLTAGE.MIN.WARN}V for 5m)</v>
      </c>
    </row>
    <row r="1398" spans="1:11">
      <c r="A1398" s="1">
        <v>2668</v>
      </c>
      <c r="B1398" s="1" t="s">
        <v>9558</v>
      </c>
      <c r="C1398" s="1" t="s">
        <v>9068</v>
      </c>
      <c r="D1398" s="1" t="s">
        <v>3787</v>
      </c>
      <c r="E1398" s="1" t="s">
        <v>3792</v>
      </c>
      <c r="F1398" s="1" t="s">
        <v>3771</v>
      </c>
      <c r="G1398" s="1" t="s">
        <v>3772</v>
      </c>
      <c r="H1398" s="1" t="str">
        <f t="shared" si="84"/>
        <v>Battery</v>
      </c>
      <c r="I1398" s="1" t="str">
        <f t="shared" si="85"/>
        <v>电池电压严重告警(超过{#VOLTAGE.MAX.CRIT}伏达5分钟)</v>
      </c>
      <c r="J1398" s="1" t="str">
        <f t="shared" si="86"/>
        <v>Battery: 电池电压严重告警(超过{#VOLTAGE.MAX.CRIT}伏达5分钟)</v>
      </c>
      <c r="K1398" s="1" t="str">
        <f t="shared" si="87"/>
        <v>Critically high battery voltage (over {#VOLTAGE.MAX.CRIT}V for 5m)</v>
      </c>
    </row>
    <row r="1399" spans="1:11">
      <c r="A1399" s="1">
        <v>2669</v>
      </c>
      <c r="B1399" s="1" t="s">
        <v>9558</v>
      </c>
      <c r="C1399" s="1" t="s">
        <v>9071</v>
      </c>
      <c r="D1399" s="1" t="s">
        <v>3787</v>
      </c>
      <c r="E1399" s="1" t="s">
        <v>3794</v>
      </c>
      <c r="F1399" s="1" t="s">
        <v>3775</v>
      </c>
      <c r="G1399" s="1" t="s">
        <v>3776</v>
      </c>
      <c r="H1399" s="1" t="str">
        <f t="shared" si="84"/>
        <v>Battery</v>
      </c>
      <c r="I1399" s="1" t="str">
        <f t="shared" si="85"/>
        <v>电池电压告警(超过{#VOLTAGE.MAX.WARN}伏达5分钟)</v>
      </c>
      <c r="J1399" s="1" t="str">
        <f t="shared" si="86"/>
        <v>Battery: 电池电压告警(超过{#VOLTAGE.MAX.WARN}伏达5分钟)</v>
      </c>
      <c r="K1399" s="1" t="str">
        <f t="shared" si="87"/>
        <v>High battery voltage (over {#VOLTAGE.MAX.WARN}V for 5m)</v>
      </c>
    </row>
    <row r="1400" spans="1:11">
      <c r="A1400" s="1">
        <v>2670</v>
      </c>
      <c r="B1400" s="1" t="s">
        <v>9559</v>
      </c>
      <c r="C1400" s="1" t="s">
        <v>9066</v>
      </c>
      <c r="D1400" s="1" t="s">
        <v>3796</v>
      </c>
      <c r="E1400" s="1" t="s">
        <v>3797</v>
      </c>
      <c r="F1400" s="1" t="s">
        <v>3763</v>
      </c>
      <c r="G1400" s="1" t="s">
        <v>3764</v>
      </c>
      <c r="H1400" s="1" t="str">
        <f t="shared" si="84"/>
        <v>Battery</v>
      </c>
      <c r="I1400" s="1" t="str">
        <f t="shared" si="85"/>
        <v>电池电压严重告警(低于{#VOLTAGE.MIN.CRIT}伏达5分钟)</v>
      </c>
      <c r="J1400" s="1" t="str">
        <f t="shared" si="86"/>
        <v>Battery: 电池电压严重告警(低于{#VOLTAGE.MIN.CRIT}伏达5分钟)</v>
      </c>
      <c r="K1400" s="1" t="str">
        <f t="shared" si="87"/>
        <v>Critically low battery voltage (below {#VOLTAGE.MIN.CRIT}V for 5m)</v>
      </c>
    </row>
    <row r="1401" spans="1:11">
      <c r="A1401" s="1">
        <v>2671</v>
      </c>
      <c r="B1401" s="1" t="s">
        <v>9559</v>
      </c>
      <c r="C1401" s="1" t="s">
        <v>9207</v>
      </c>
      <c r="D1401" s="1" t="s">
        <v>3796</v>
      </c>
      <c r="E1401" s="1" t="s">
        <v>3799</v>
      </c>
      <c r="F1401" s="1" t="s">
        <v>3767</v>
      </c>
      <c r="G1401" s="1" t="s">
        <v>3768</v>
      </c>
      <c r="H1401" s="1" t="str">
        <f t="shared" si="84"/>
        <v>Battery</v>
      </c>
      <c r="I1401" s="1" t="str">
        <f t="shared" si="85"/>
        <v>电池电压告警(低于{#VOLTAGE.MIN.WARN}伏达5分钟)</v>
      </c>
      <c r="J1401" s="1" t="str">
        <f t="shared" si="86"/>
        <v>Battery: 电池电压告警(低于{#VOLTAGE.MIN.WARN}伏达5分钟)</v>
      </c>
      <c r="K1401" s="1" t="str">
        <f t="shared" si="87"/>
        <v>Low battery voltage (below {#VOLTAGE.MIN.WARN}V for 5m)</v>
      </c>
    </row>
    <row r="1402" spans="1:11">
      <c r="A1402" s="1">
        <v>2672</v>
      </c>
      <c r="B1402" s="1" t="s">
        <v>9559</v>
      </c>
      <c r="C1402" s="1" t="s">
        <v>9068</v>
      </c>
      <c r="D1402" s="1" t="s">
        <v>3796</v>
      </c>
      <c r="E1402" s="1" t="s">
        <v>3801</v>
      </c>
      <c r="F1402" s="1" t="s">
        <v>3771</v>
      </c>
      <c r="G1402" s="1" t="s">
        <v>3772</v>
      </c>
      <c r="H1402" s="1" t="str">
        <f t="shared" si="84"/>
        <v>Battery</v>
      </c>
      <c r="I1402" s="1" t="str">
        <f t="shared" si="85"/>
        <v>电池电压严重告警(超过{#VOLTAGE.MAX.CRIT}伏达5分钟)</v>
      </c>
      <c r="J1402" s="1" t="str">
        <f t="shared" si="86"/>
        <v>Battery: 电池电压严重告警(超过{#VOLTAGE.MAX.CRIT}伏达5分钟)</v>
      </c>
      <c r="K1402" s="1" t="str">
        <f t="shared" si="87"/>
        <v>Critically high battery voltage (over {#VOLTAGE.MAX.CRIT}V for 5m)</v>
      </c>
    </row>
    <row r="1403" spans="1:11">
      <c r="A1403" s="1">
        <v>2673</v>
      </c>
      <c r="B1403" s="1" t="s">
        <v>9559</v>
      </c>
      <c r="C1403" s="1" t="s">
        <v>9071</v>
      </c>
      <c r="D1403" s="1" t="s">
        <v>3796</v>
      </c>
      <c r="E1403" s="1" t="s">
        <v>3803</v>
      </c>
      <c r="F1403" s="1" t="s">
        <v>3775</v>
      </c>
      <c r="G1403" s="1" t="s">
        <v>3776</v>
      </c>
      <c r="H1403" s="1" t="str">
        <f t="shared" si="84"/>
        <v>Battery</v>
      </c>
      <c r="I1403" s="1" t="str">
        <f t="shared" si="85"/>
        <v>电池电压告警(超过{#VOLTAGE.MAX.WARN}伏达5分钟)</v>
      </c>
      <c r="J1403" s="1" t="str">
        <f t="shared" si="86"/>
        <v>Battery: 电池电压告警(超过{#VOLTAGE.MAX.WARN}伏达5分钟)</v>
      </c>
      <c r="K1403" s="1" t="str">
        <f t="shared" si="87"/>
        <v>High battery voltage (over {#VOLTAGE.MAX.WARN}V for 5m)</v>
      </c>
    </row>
    <row r="1404" spans="1:11">
      <c r="A1404" s="1">
        <v>2674</v>
      </c>
      <c r="B1404" s="1" t="s">
        <v>9560</v>
      </c>
      <c r="C1404" s="1" t="s">
        <v>9066</v>
      </c>
      <c r="D1404" s="1" t="s">
        <v>3805</v>
      </c>
      <c r="E1404" s="1" t="s">
        <v>3806</v>
      </c>
      <c r="F1404" s="1" t="s">
        <v>3763</v>
      </c>
      <c r="G1404" s="1" t="s">
        <v>3764</v>
      </c>
      <c r="H1404" s="1" t="str">
        <f t="shared" si="84"/>
        <v>Battery</v>
      </c>
      <c r="I1404" s="1" t="str">
        <f t="shared" si="85"/>
        <v>电池电压严重告警(低于{#VOLTAGE.MIN.CRIT}伏达5分钟)</v>
      </c>
      <c r="J1404" s="1" t="str">
        <f t="shared" si="86"/>
        <v>Battery: 电池电压严重告警(低于{#VOLTAGE.MIN.CRIT}伏达5分钟)</v>
      </c>
      <c r="K1404" s="1" t="str">
        <f t="shared" si="87"/>
        <v>Critically low battery voltage (below {#VOLTAGE.MIN.CRIT}V for 5m)</v>
      </c>
    </row>
    <row r="1405" spans="1:11">
      <c r="A1405" s="1">
        <v>2675</v>
      </c>
      <c r="B1405" s="1" t="s">
        <v>9560</v>
      </c>
      <c r="C1405" s="1" t="s">
        <v>9207</v>
      </c>
      <c r="D1405" s="1" t="s">
        <v>3805</v>
      </c>
      <c r="E1405" s="1" t="s">
        <v>3808</v>
      </c>
      <c r="F1405" s="1" t="s">
        <v>3767</v>
      </c>
      <c r="G1405" s="1" t="s">
        <v>3768</v>
      </c>
      <c r="H1405" s="1" t="str">
        <f t="shared" si="84"/>
        <v>Battery</v>
      </c>
      <c r="I1405" s="1" t="str">
        <f t="shared" si="85"/>
        <v>电池电压告警(低于{#VOLTAGE.MIN.WARN}伏达5分钟)</v>
      </c>
      <c r="J1405" s="1" t="str">
        <f t="shared" si="86"/>
        <v>Battery: 电池电压告警(低于{#VOLTAGE.MIN.WARN}伏达5分钟)</v>
      </c>
      <c r="K1405" s="1" t="str">
        <f t="shared" si="87"/>
        <v>Low battery voltage (below {#VOLTAGE.MIN.WARN}V for 5m)</v>
      </c>
    </row>
    <row r="1406" spans="1:11">
      <c r="A1406" s="1">
        <v>2676</v>
      </c>
      <c r="B1406" s="1" t="s">
        <v>9560</v>
      </c>
      <c r="C1406" s="1" t="s">
        <v>9068</v>
      </c>
      <c r="D1406" s="1" t="s">
        <v>3805</v>
      </c>
      <c r="E1406" s="1" t="s">
        <v>3810</v>
      </c>
      <c r="F1406" s="1" t="s">
        <v>3771</v>
      </c>
      <c r="G1406" s="1" t="s">
        <v>3772</v>
      </c>
      <c r="H1406" s="1" t="str">
        <f t="shared" si="84"/>
        <v>Battery</v>
      </c>
      <c r="I1406" s="1" t="str">
        <f t="shared" si="85"/>
        <v>电池电压严重告警(超过{#VOLTAGE.MAX.CRIT}伏达5分钟)</v>
      </c>
      <c r="J1406" s="1" t="str">
        <f t="shared" si="86"/>
        <v>Battery: 电池电压严重告警(超过{#VOLTAGE.MAX.CRIT}伏达5分钟)</v>
      </c>
      <c r="K1406" s="1" t="str">
        <f t="shared" si="87"/>
        <v>Critically high battery voltage (over {#VOLTAGE.MAX.CRIT}V for 5m)</v>
      </c>
    </row>
    <row r="1407" spans="1:11">
      <c r="A1407" s="1">
        <v>2677</v>
      </c>
      <c r="B1407" s="1" t="s">
        <v>9560</v>
      </c>
      <c r="C1407" s="1" t="s">
        <v>9071</v>
      </c>
      <c r="D1407" s="1" t="s">
        <v>3805</v>
      </c>
      <c r="E1407" s="1" t="s">
        <v>3812</v>
      </c>
      <c r="F1407" s="1" t="s">
        <v>3775</v>
      </c>
      <c r="G1407" s="1" t="s">
        <v>3776</v>
      </c>
      <c r="H1407" s="1" t="str">
        <f t="shared" si="84"/>
        <v>Battery</v>
      </c>
      <c r="I1407" s="1" t="str">
        <f t="shared" si="85"/>
        <v>电池电压告警(超过{#VOLTAGE.MAX.WARN}伏达5分钟)</v>
      </c>
      <c r="J1407" s="1" t="str">
        <f t="shared" si="86"/>
        <v>Battery: 电池电压告警(超过{#VOLTAGE.MAX.WARN}伏达5分钟)</v>
      </c>
      <c r="K1407" s="1" t="str">
        <f t="shared" si="87"/>
        <v>High battery voltage (over {#VOLTAGE.MAX.WARN}V for 5m)</v>
      </c>
    </row>
    <row r="1408" spans="1:11">
      <c r="A1408" s="1">
        <v>2678</v>
      </c>
      <c r="B1408" s="1" t="s">
        <v>9561</v>
      </c>
      <c r="C1408" s="1" t="s">
        <v>9066</v>
      </c>
      <c r="D1408" s="1" t="s">
        <v>3814</v>
      </c>
      <c r="E1408" s="1" t="s">
        <v>3815</v>
      </c>
      <c r="F1408" s="1" t="s">
        <v>3763</v>
      </c>
      <c r="G1408" s="1" t="s">
        <v>3764</v>
      </c>
      <c r="H1408" s="1" t="str">
        <f t="shared" si="84"/>
        <v>Battery</v>
      </c>
      <c r="I1408" s="1" t="str">
        <f t="shared" si="85"/>
        <v>电池电压严重告警(低于{#VOLTAGE.MIN.CRIT}伏达5分钟)</v>
      </c>
      <c r="J1408" s="1" t="str">
        <f t="shared" si="86"/>
        <v>Battery: 电池电压严重告警(低于{#VOLTAGE.MIN.CRIT}伏达5分钟)</v>
      </c>
      <c r="K1408" s="1" t="str">
        <f t="shared" si="87"/>
        <v>Critically low battery voltage (below {#VOLTAGE.MIN.CRIT}V for 5m)</v>
      </c>
    </row>
    <row r="1409" spans="1:11">
      <c r="A1409" s="1">
        <v>2679</v>
      </c>
      <c r="B1409" s="1" t="s">
        <v>9561</v>
      </c>
      <c r="C1409" s="1" t="s">
        <v>9207</v>
      </c>
      <c r="D1409" s="1" t="s">
        <v>3814</v>
      </c>
      <c r="E1409" s="1" t="s">
        <v>3817</v>
      </c>
      <c r="F1409" s="1" t="s">
        <v>3767</v>
      </c>
      <c r="G1409" s="1" t="s">
        <v>3768</v>
      </c>
      <c r="H1409" s="1" t="str">
        <f t="shared" si="84"/>
        <v>Battery</v>
      </c>
      <c r="I1409" s="1" t="str">
        <f t="shared" si="85"/>
        <v>电池电压告警(低于{#VOLTAGE.MIN.WARN}伏达5分钟)</v>
      </c>
      <c r="J1409" s="1" t="str">
        <f t="shared" si="86"/>
        <v>Battery: 电池电压告警(低于{#VOLTAGE.MIN.WARN}伏达5分钟)</v>
      </c>
      <c r="K1409" s="1" t="str">
        <f t="shared" si="87"/>
        <v>Low battery voltage (below {#VOLTAGE.MIN.WARN}V for 5m)</v>
      </c>
    </row>
    <row r="1410" spans="1:11">
      <c r="A1410" s="1">
        <v>2680</v>
      </c>
      <c r="B1410" s="1" t="s">
        <v>9561</v>
      </c>
      <c r="C1410" s="1" t="s">
        <v>9068</v>
      </c>
      <c r="D1410" s="1" t="s">
        <v>3814</v>
      </c>
      <c r="E1410" s="1" t="s">
        <v>3819</v>
      </c>
      <c r="F1410" s="1" t="s">
        <v>3771</v>
      </c>
      <c r="G1410" s="1" t="s">
        <v>3772</v>
      </c>
      <c r="H1410" s="1" t="str">
        <f t="shared" ref="H1410:H1473" si="88">IFERROR(IF(OR(MID(G1410,FIND(":",G1410)-1,1)="""",MID(G1410,FIND(":",G1410)-1,1)="}",MID(G1410,FIND(":",G1410)-1,1)=")",MID(G1410,FIND(":",G1410)-1,1)="]"),"",LEFT(F1410,FIND(":",F1410)-1)),"")</f>
        <v>Battery</v>
      </c>
      <c r="I1410" s="1" t="str">
        <f t="shared" ref="I1410:I1473" si="89">IFERROR(IF(OR(MID(G1410,FIND(":",G1410)-1,1)="""",MID(G1410,FIND(":",G1410)-1,1)="}",MID(G1410,FIND(":",G1410)-1,1)=")",MID(G1410,FIND(":",G1410)-1,1)="]"),"",RIGHT(G1410,LEN(G1410)-FIND(":",G1410)-1)),"")</f>
        <v>电池电压严重告警(超过{#VOLTAGE.MAX.CRIT}伏达5分钟)</v>
      </c>
      <c r="J1410" s="1" t="str">
        <f t="shared" ref="J1410:J1473" si="90">IF(AND(I1410="",H1410=""),G1410,H1410&amp;": "&amp;I1410)</f>
        <v>Battery: 电池电压严重告警(超过{#VOLTAGE.MAX.CRIT}伏达5分钟)</v>
      </c>
      <c r="K1410" s="1" t="str">
        <f t="shared" ref="K1410:K1473" si="91">IFERROR(IF(OR(MID(F1410,FIND(":",F1410)-1,1)="""",MID(F1410,FIND(":",F1410)-1,1)="}",MID(F1410,FIND(":",F1410)-1,1)=")",MID(F1410,FIND(":",F1410)-1,1)="]"),"",RIGHT(F1410,LEN(F1410)-FIND(":",F1410)-1)),"")</f>
        <v>Critically high battery voltage (over {#VOLTAGE.MAX.CRIT}V for 5m)</v>
      </c>
    </row>
    <row r="1411" spans="1:11">
      <c r="A1411" s="1">
        <v>2681</v>
      </c>
      <c r="B1411" s="1" t="s">
        <v>9561</v>
      </c>
      <c r="C1411" s="1" t="s">
        <v>9071</v>
      </c>
      <c r="D1411" s="1" t="s">
        <v>3814</v>
      </c>
      <c r="E1411" s="1" t="s">
        <v>3821</v>
      </c>
      <c r="F1411" s="1" t="s">
        <v>3775</v>
      </c>
      <c r="G1411" s="1" t="s">
        <v>3776</v>
      </c>
      <c r="H1411" s="1" t="str">
        <f t="shared" si="88"/>
        <v>Battery</v>
      </c>
      <c r="I1411" s="1" t="str">
        <f t="shared" si="89"/>
        <v>电池电压告警(超过{#VOLTAGE.MAX.WARN}伏达5分钟)</v>
      </c>
      <c r="J1411" s="1" t="str">
        <f t="shared" si="90"/>
        <v>Battery: 电池电压告警(超过{#VOLTAGE.MAX.WARN}伏达5分钟)</v>
      </c>
      <c r="K1411" s="1" t="str">
        <f t="shared" si="91"/>
        <v>High battery voltage (over {#VOLTAGE.MAX.WARN}V for 5m)</v>
      </c>
    </row>
    <row r="1412" spans="1:11">
      <c r="A1412" s="1">
        <v>2684</v>
      </c>
      <c r="B1412" s="1" t="s">
        <v>9562</v>
      </c>
      <c r="C1412" s="1" t="s">
        <v>9337</v>
      </c>
      <c r="D1412" s="1" t="s">
        <v>3823</v>
      </c>
      <c r="E1412" s="1" t="s">
        <v>3824</v>
      </c>
      <c r="F1412" s="1" t="s">
        <v>3763</v>
      </c>
      <c r="G1412" s="1" t="s">
        <v>3764</v>
      </c>
      <c r="H1412" s="1" t="str">
        <f t="shared" si="88"/>
        <v>Battery</v>
      </c>
      <c r="I1412" s="1" t="str">
        <f t="shared" si="89"/>
        <v>电池电压严重告警(低于{#VOLTAGE.MIN.CRIT}伏达5分钟)</v>
      </c>
      <c r="J1412" s="1" t="str">
        <f t="shared" si="90"/>
        <v>Battery: 电池电压严重告警(低于{#VOLTAGE.MIN.CRIT}伏达5分钟)</v>
      </c>
      <c r="K1412" s="1" t="str">
        <f t="shared" si="91"/>
        <v>Critically low battery voltage (below {#VOLTAGE.MIN.CRIT}V for 5m)</v>
      </c>
    </row>
    <row r="1413" spans="1:11">
      <c r="A1413" s="1">
        <v>2685</v>
      </c>
      <c r="B1413" s="1" t="s">
        <v>9562</v>
      </c>
      <c r="C1413" s="1" t="s">
        <v>9563</v>
      </c>
      <c r="D1413" s="1" t="s">
        <v>3823</v>
      </c>
      <c r="E1413" s="1" t="s">
        <v>3826</v>
      </c>
      <c r="F1413" s="1" t="s">
        <v>3767</v>
      </c>
      <c r="G1413" s="1" t="s">
        <v>3768</v>
      </c>
      <c r="H1413" s="1" t="str">
        <f t="shared" si="88"/>
        <v>Battery</v>
      </c>
      <c r="I1413" s="1" t="str">
        <f t="shared" si="89"/>
        <v>电池电压告警(低于{#VOLTAGE.MIN.WARN}伏达5分钟)</v>
      </c>
      <c r="J1413" s="1" t="str">
        <f t="shared" si="90"/>
        <v>Battery: 电池电压告警(低于{#VOLTAGE.MIN.WARN}伏达5分钟)</v>
      </c>
      <c r="K1413" s="1" t="str">
        <f t="shared" si="91"/>
        <v>Low battery voltage (below {#VOLTAGE.MIN.WARN}V for 5m)</v>
      </c>
    </row>
    <row r="1414" spans="1:11">
      <c r="A1414" s="1">
        <v>2686</v>
      </c>
      <c r="B1414" s="1" t="s">
        <v>9562</v>
      </c>
      <c r="C1414" s="1" t="s">
        <v>9338</v>
      </c>
      <c r="D1414" s="1" t="s">
        <v>3823</v>
      </c>
      <c r="E1414" s="1" t="s">
        <v>3828</v>
      </c>
      <c r="F1414" s="1" t="s">
        <v>3771</v>
      </c>
      <c r="G1414" s="1" t="s">
        <v>3772</v>
      </c>
      <c r="H1414" s="1" t="str">
        <f t="shared" si="88"/>
        <v>Battery</v>
      </c>
      <c r="I1414" s="1" t="str">
        <f t="shared" si="89"/>
        <v>电池电压严重告警(超过{#VOLTAGE.MAX.CRIT}伏达5分钟)</v>
      </c>
      <c r="J1414" s="1" t="str">
        <f t="shared" si="90"/>
        <v>Battery: 电池电压严重告警(超过{#VOLTAGE.MAX.CRIT}伏达5分钟)</v>
      </c>
      <c r="K1414" s="1" t="str">
        <f t="shared" si="91"/>
        <v>Critically high battery voltage (over {#VOLTAGE.MAX.CRIT}V for 5m)</v>
      </c>
    </row>
    <row r="1415" spans="1:11">
      <c r="A1415" s="1">
        <v>2687</v>
      </c>
      <c r="B1415" s="1" t="s">
        <v>9562</v>
      </c>
      <c r="C1415" s="1" t="s">
        <v>9564</v>
      </c>
      <c r="D1415" s="1" t="s">
        <v>3823</v>
      </c>
      <c r="E1415" s="1" t="s">
        <v>3830</v>
      </c>
      <c r="F1415" s="1" t="s">
        <v>3775</v>
      </c>
      <c r="G1415" s="1" t="s">
        <v>3776</v>
      </c>
      <c r="H1415" s="1" t="str">
        <f t="shared" si="88"/>
        <v>Battery</v>
      </c>
      <c r="I1415" s="1" t="str">
        <f t="shared" si="89"/>
        <v>电池电压告警(超过{#VOLTAGE.MAX.WARN}伏达5分钟)</v>
      </c>
      <c r="J1415" s="1" t="str">
        <f t="shared" si="90"/>
        <v>Battery: 电池电压告警(超过{#VOLTAGE.MAX.WARN}伏达5分钟)</v>
      </c>
      <c r="K1415" s="1" t="str">
        <f t="shared" si="91"/>
        <v>High battery voltage (over {#VOLTAGE.MAX.WARN}V for 5m)</v>
      </c>
    </row>
    <row r="1416" spans="1:11">
      <c r="A1416" s="1">
        <v>2690</v>
      </c>
      <c r="B1416" s="1" t="s">
        <v>9565</v>
      </c>
      <c r="C1416" s="1" t="s">
        <v>9066</v>
      </c>
      <c r="D1416" s="1" t="s">
        <v>3832</v>
      </c>
      <c r="E1416" s="1" t="s">
        <v>3833</v>
      </c>
      <c r="F1416" s="1" t="s">
        <v>3834</v>
      </c>
      <c r="G1416" s="1" t="s">
        <v>3835</v>
      </c>
      <c r="H1416" s="1" t="str">
        <f t="shared" si="88"/>
        <v>MySQL</v>
      </c>
      <c r="I1416" s="1" t="str">
        <f t="shared" si="89"/>
        <v>复制延迟太高(超过{$MYSQL.REPL_LAG.MAX.WARN}达5分钟)</v>
      </c>
      <c r="J1416" s="1" t="str">
        <f t="shared" si="90"/>
        <v>MySQL: 复制延迟太高(超过{$MYSQL.REPL_LAG.MAX.WARN}达5分钟)</v>
      </c>
      <c r="K1416" s="1" t="str">
        <f t="shared" si="91"/>
        <v>Replication lag is too high (over {$MYSQL.REPL_LAG.MAX.WARN} for 5m)</v>
      </c>
    </row>
    <row r="1417" spans="1:11">
      <c r="A1417" s="1">
        <v>2694</v>
      </c>
      <c r="B1417" s="1" t="s">
        <v>9566</v>
      </c>
      <c r="C1417" s="1" t="s">
        <v>9066</v>
      </c>
      <c r="D1417" s="1" t="s">
        <v>3837</v>
      </c>
      <c r="E1417" s="1" t="s">
        <v>3838</v>
      </c>
      <c r="F1417" s="1" t="s">
        <v>3834</v>
      </c>
      <c r="G1417" s="1" t="s">
        <v>3835</v>
      </c>
      <c r="H1417" s="1" t="str">
        <f t="shared" si="88"/>
        <v>MySQL</v>
      </c>
      <c r="I1417" s="1" t="str">
        <f t="shared" si="89"/>
        <v>复制延迟太高(超过{$MYSQL.REPL_LAG.MAX.WARN}达5分钟)</v>
      </c>
      <c r="J1417" s="1" t="str">
        <f t="shared" si="90"/>
        <v>MySQL: 复制延迟太高(超过{$MYSQL.REPL_LAG.MAX.WARN}达5分钟)</v>
      </c>
      <c r="K1417" s="1" t="str">
        <f t="shared" si="91"/>
        <v>Replication lag is too high (over {$MYSQL.REPL_LAG.MAX.WARN} for 5m)</v>
      </c>
    </row>
    <row r="1418" spans="1:11">
      <c r="A1418" s="1">
        <v>2698</v>
      </c>
      <c r="B1418" s="1" t="s">
        <v>9567</v>
      </c>
      <c r="C1418" s="1" t="s">
        <v>9066</v>
      </c>
      <c r="D1418" s="1" t="s">
        <v>3840</v>
      </c>
      <c r="E1418" s="1" t="s">
        <v>3841</v>
      </c>
      <c r="F1418" s="1" t="s">
        <v>3834</v>
      </c>
      <c r="G1418" s="1" t="s">
        <v>3835</v>
      </c>
      <c r="H1418" s="1" t="str">
        <f t="shared" si="88"/>
        <v>MySQL</v>
      </c>
      <c r="I1418" s="1" t="str">
        <f t="shared" si="89"/>
        <v>复制延迟太高(超过{$MYSQL.REPL_LAG.MAX.WARN}达5分钟)</v>
      </c>
      <c r="J1418" s="1" t="str">
        <f t="shared" si="90"/>
        <v>MySQL: 复制延迟太高(超过{$MYSQL.REPL_LAG.MAX.WARN}达5分钟)</v>
      </c>
      <c r="K1418" s="1" t="str">
        <f t="shared" si="91"/>
        <v>Replication lag is too high (over {$MYSQL.REPL_LAG.MAX.WARN} for 5m)</v>
      </c>
    </row>
    <row r="1419" spans="1:11">
      <c r="A1419" s="1">
        <v>2702</v>
      </c>
      <c r="B1419" s="1" t="s">
        <v>9568</v>
      </c>
      <c r="C1419" s="1" t="s">
        <v>9066</v>
      </c>
      <c r="D1419" s="1" t="s">
        <v>3843</v>
      </c>
      <c r="E1419" s="1" t="s">
        <v>3844</v>
      </c>
      <c r="F1419" s="1" t="s">
        <v>3845</v>
      </c>
      <c r="G1419" s="1" t="s">
        <v>3846</v>
      </c>
      <c r="H1419" s="1" t="str">
        <f t="shared" si="88"/>
        <v>Nginx</v>
      </c>
      <c r="I1419" s="1" t="str">
        <f t="shared" si="89"/>
        <v>代码为4xx的HTTP请求太多(超过{$NGINX.HTTP.UPSTREAM.4XX.MAX.WARN}%达5分钟)</v>
      </c>
      <c r="J1419" s="1" t="str">
        <f t="shared" si="90"/>
        <v>Nginx: 代码为4xx的HTTP请求太多(超过{$NGINX.HTTP.UPSTREAM.4XX.MAX.WARN}%达5分钟)</v>
      </c>
      <c r="K1419" s="1" t="str">
        <f t="shared" si="91"/>
        <v>Too many HTTP requests with code 4xx (over {$NGINX.HTTP.UPSTREAM.4XX.MAX.WARN}% for 5m)</v>
      </c>
    </row>
    <row r="1420" spans="1:11">
      <c r="A1420" s="1">
        <v>2703</v>
      </c>
      <c r="B1420" s="1" t="s">
        <v>9568</v>
      </c>
      <c r="C1420" s="1" t="s">
        <v>9207</v>
      </c>
      <c r="D1420" s="1" t="s">
        <v>3843</v>
      </c>
      <c r="E1420" s="1" t="s">
        <v>3848</v>
      </c>
      <c r="F1420" s="1" t="s">
        <v>3849</v>
      </c>
      <c r="G1420" s="1" t="s">
        <v>3850</v>
      </c>
      <c r="H1420" s="1" t="str">
        <f t="shared" si="88"/>
        <v>Nginx</v>
      </c>
      <c r="I1420" s="1" t="str">
        <f t="shared" si="89"/>
        <v>代码为5xx的HTTP请求太多(超过{$NGINX.HTTP.UPSTREAM.5XX.MAX.WARN}%达5分钟)</v>
      </c>
      <c r="J1420" s="1" t="str">
        <f t="shared" si="90"/>
        <v>Nginx: 代码为5xx的HTTP请求太多(超过{$NGINX.HTTP.UPSTREAM.5XX.MAX.WARN}%达5分钟)</v>
      </c>
      <c r="K1420" s="1" t="str">
        <f t="shared" si="91"/>
        <v>Too many HTTP requests with code 5xx (over {$NGINX.HTTP.UPSTREAM.5XX.MAX.WARN}% for 5m)</v>
      </c>
    </row>
    <row r="1421" spans="1:11">
      <c r="A1421" s="1">
        <v>2714</v>
      </c>
      <c r="B1421" s="1" t="s">
        <v>9569</v>
      </c>
      <c r="C1421" s="1" t="s">
        <v>9424</v>
      </c>
      <c r="D1421" s="1" t="s">
        <v>3852</v>
      </c>
      <c r="E1421" s="1" t="s">
        <v>3853</v>
      </c>
      <c r="F1421" s="1" t="s">
        <v>3854</v>
      </c>
      <c r="G1421" s="1" t="s">
        <v>3855</v>
      </c>
      <c r="H1421" s="1" t="str">
        <f t="shared" si="88"/>
        <v/>
      </c>
      <c r="I1421" s="1" t="str">
        <f t="shared" si="89"/>
        <v/>
      </c>
      <c r="J1421" s="1" t="str">
        <f t="shared" si="90"/>
        <v>{#NODENAME}: 版本已变更(新版本: {ITEM.VALUE})</v>
      </c>
      <c r="K1421" s="1" t="str">
        <f t="shared" si="91"/>
        <v/>
      </c>
    </row>
    <row r="1422" spans="1:11">
      <c r="A1422" s="1">
        <v>2716</v>
      </c>
      <c r="B1422" s="1" t="s">
        <v>9569</v>
      </c>
      <c r="C1422" s="1" t="s">
        <v>9352</v>
      </c>
      <c r="D1422" s="1" t="s">
        <v>3852</v>
      </c>
      <c r="E1422" s="1" t="s">
        <v>3857</v>
      </c>
      <c r="F1422" s="1" t="s">
        <v>3858</v>
      </c>
      <c r="G1422" s="1" t="s">
        <v>3859</v>
      </c>
      <c r="H1422" s="1" t="str">
        <f t="shared" si="88"/>
        <v/>
      </c>
      <c r="I1422" s="1" t="str">
        <f t="shared" si="89"/>
        <v/>
      </c>
      <c r="J1422" s="1" t="str">
        <f t="shared" si="90"/>
        <v>{#NODENAME}: 节点已经重启(正常运行时间&lt;10分钟)</v>
      </c>
      <c r="K1422" s="1" t="str">
        <f t="shared" si="91"/>
        <v/>
      </c>
    </row>
    <row r="1423" spans="1:11">
      <c r="A1423" s="1">
        <v>2720</v>
      </c>
      <c r="B1423" s="1" t="s">
        <v>9570</v>
      </c>
      <c r="C1423" s="1" t="s">
        <v>9224</v>
      </c>
      <c r="D1423" s="1" t="s">
        <v>3861</v>
      </c>
      <c r="E1423" s="1" t="s">
        <v>3862</v>
      </c>
      <c r="F1423" s="1" t="s">
        <v>3863</v>
      </c>
      <c r="G1423" s="1" t="s">
        <v>3864</v>
      </c>
      <c r="H1423" s="1" t="str">
        <f t="shared" si="88"/>
        <v/>
      </c>
      <c r="I1423" s="1" t="str">
        <f t="shared" si="89"/>
        <v/>
      </c>
      <c r="J1423" s="1" t="str">
        <f t="shared" si="90"/>
        <v>节点{#NODE.NAME}: CPU使用率高了(超过{$CPU.UTIL.CRIT}%达5分钟)</v>
      </c>
      <c r="K1423" s="1" t="str">
        <f t="shared" si="91"/>
        <v/>
      </c>
    </row>
    <row r="1424" spans="1:11">
      <c r="A1424" s="1">
        <v>2728</v>
      </c>
      <c r="B1424" s="1" t="s">
        <v>9570</v>
      </c>
      <c r="C1424" s="1" t="s">
        <v>9193</v>
      </c>
      <c r="D1424" s="1" t="s">
        <v>3861</v>
      </c>
      <c r="E1424" s="1" t="s">
        <v>3866</v>
      </c>
      <c r="F1424" s="1" t="s">
        <v>3867</v>
      </c>
      <c r="G1424" s="1" t="s">
        <v>3868</v>
      </c>
      <c r="H1424" s="1" t="str">
        <f t="shared" si="88"/>
        <v/>
      </c>
      <c r="I1424" s="1" t="str">
        <f t="shared" si="89"/>
        <v/>
      </c>
      <c r="J1424" s="1" t="str">
        <f t="shared" si="90"/>
        <v>节点{#NODE.NAME}: {HOST.NAME}已重启(正常运行时间&lt;10分钟)</v>
      </c>
      <c r="K1424" s="1" t="str">
        <f t="shared" si="91"/>
        <v/>
      </c>
    </row>
    <row r="1425" spans="1:11">
      <c r="A1425" s="1">
        <v>2730</v>
      </c>
      <c r="B1425" s="1" t="s">
        <v>9570</v>
      </c>
      <c r="C1425" s="1" t="s">
        <v>9198</v>
      </c>
      <c r="D1425" s="1" t="s">
        <v>3861</v>
      </c>
      <c r="E1425" s="1" t="s">
        <v>3870</v>
      </c>
      <c r="F1425" s="1" t="s">
        <v>3871</v>
      </c>
      <c r="G1425" s="1" t="s">
        <v>3872</v>
      </c>
      <c r="H1425" s="1" t="str">
        <f t="shared" si="88"/>
        <v/>
      </c>
      <c r="I1425" s="1" t="str">
        <f t="shared" si="89"/>
        <v/>
      </c>
      <c r="J1425" s="1" t="str">
        <f t="shared" si="90"/>
        <v>节点{#NODE}: 端口{#IFNAME}({#TYPE}): 错误率高了(&gt;{$IF.ERRORS.WARN: "{#IFNAME}"}达5分钟)</v>
      </c>
      <c r="K1425" s="1" t="str">
        <f t="shared" si="91"/>
        <v/>
      </c>
    </row>
    <row r="1426" spans="1:11">
      <c r="A1426" s="1">
        <v>2732</v>
      </c>
      <c r="B1426" s="1" t="s">
        <v>9570</v>
      </c>
      <c r="C1426" s="1" t="s">
        <v>9204</v>
      </c>
      <c r="D1426" s="1" t="s">
        <v>3861</v>
      </c>
      <c r="E1426" s="1" t="s">
        <v>3874</v>
      </c>
      <c r="F1426" s="1" t="s">
        <v>3875</v>
      </c>
      <c r="G1426" s="1" t="s">
        <v>3876</v>
      </c>
      <c r="H1426" s="1" t="str">
        <f t="shared" si="88"/>
        <v/>
      </c>
      <c r="I1426" s="1" t="str">
        <f t="shared" si="89"/>
        <v/>
      </c>
      <c r="J1426" s="1" t="str">
        <f t="shared" si="90"/>
        <v>{#VSERVER}{#FSNAME}: 磁盘空间太低(低于{$FAS3220.FS.AVAIL.MIN.CRIT: "{#FSNAME}"}达{$FAS3220.FS.TIME: "{#FSNAME}"})</v>
      </c>
      <c r="K1426" s="1" t="str">
        <f t="shared" si="91"/>
        <v/>
      </c>
    </row>
    <row r="1427" spans="1:11">
      <c r="A1427" s="1">
        <v>2733</v>
      </c>
      <c r="B1427" s="1" t="s">
        <v>9570</v>
      </c>
      <c r="C1427" s="1" t="s">
        <v>9226</v>
      </c>
      <c r="D1427" s="1" t="s">
        <v>3861</v>
      </c>
      <c r="E1427" s="1" t="s">
        <v>3878</v>
      </c>
      <c r="F1427" s="1" t="s">
        <v>3879</v>
      </c>
      <c r="G1427" s="1" t="s">
        <v>3880</v>
      </c>
      <c r="H1427" s="1" t="str">
        <f t="shared" si="88"/>
        <v/>
      </c>
      <c r="I1427" s="1" t="str">
        <f t="shared" si="89"/>
        <v/>
      </c>
      <c r="J1427" s="1" t="str">
        <f t="shared" si="90"/>
        <v>{#VSERVER}{#FSNAME}: 磁盘空间太低(使用率超过{$FAS3220.FS.PUSED.MAX.CRIT: "{#FSNAME}"}%达{$FAS3220.FS.TIME: "{#FSNAME}"})</v>
      </c>
      <c r="K1427" s="1" t="str">
        <f t="shared" si="91"/>
        <v/>
      </c>
    </row>
    <row r="1428" spans="1:11">
      <c r="A1428" s="1">
        <v>2736</v>
      </c>
      <c r="B1428" s="1" t="s">
        <v>9571</v>
      </c>
      <c r="C1428" s="1" t="s">
        <v>9572</v>
      </c>
      <c r="D1428" s="1" t="s">
        <v>3882</v>
      </c>
      <c r="E1428" s="1" t="s">
        <v>3883</v>
      </c>
      <c r="F1428" s="1" t="s">
        <v>910</v>
      </c>
      <c r="G1428" s="1" t="s">
        <v>911</v>
      </c>
      <c r="H1428" s="1" t="str">
        <f t="shared" si="88"/>
        <v/>
      </c>
      <c r="I1428" s="1" t="str">
        <f t="shared" si="89"/>
        <v/>
      </c>
      <c r="J1428" s="1" t="str">
        <f t="shared" si="90"/>
        <v>#{#SNMPVALUE}: 温度高于临界阈值: &gt;{$TEMP_CRIT: "{#SNMPVALUE}"}</v>
      </c>
      <c r="K1428" s="1" t="str">
        <f t="shared" si="91"/>
        <v/>
      </c>
    </row>
    <row r="1429" spans="1:11">
      <c r="A1429" s="1">
        <v>2737</v>
      </c>
      <c r="B1429" s="1" t="s">
        <v>9571</v>
      </c>
      <c r="C1429" s="1" t="s">
        <v>9573</v>
      </c>
      <c r="D1429" s="1" t="s">
        <v>3882</v>
      </c>
      <c r="E1429" s="1" t="s">
        <v>3885</v>
      </c>
      <c r="F1429" s="1" t="s">
        <v>914</v>
      </c>
      <c r="G1429" s="1" t="s">
        <v>915</v>
      </c>
      <c r="H1429" s="1" t="str">
        <f t="shared" si="88"/>
        <v/>
      </c>
      <c r="I1429" s="1" t="str">
        <f t="shared" si="89"/>
        <v/>
      </c>
      <c r="J1429" s="1" t="str">
        <f t="shared" si="90"/>
        <v>#{#SNMPVALUE}: 温度高于告警阈值: &gt;{$TEMP_WARN: "{#SNMPVALUE}"}</v>
      </c>
      <c r="K1429" s="1" t="str">
        <f t="shared" si="91"/>
        <v/>
      </c>
    </row>
    <row r="1430" spans="1:11">
      <c r="A1430" s="1">
        <v>2738</v>
      </c>
      <c r="B1430" s="1" t="s">
        <v>9571</v>
      </c>
      <c r="C1430" s="1" t="s">
        <v>9574</v>
      </c>
      <c r="D1430" s="1" t="s">
        <v>3882</v>
      </c>
      <c r="E1430" s="1" t="s">
        <v>3887</v>
      </c>
      <c r="F1430" s="1" t="s">
        <v>918</v>
      </c>
      <c r="G1430" s="1" t="s">
        <v>919</v>
      </c>
      <c r="H1430" s="1" t="str">
        <f t="shared" si="88"/>
        <v/>
      </c>
      <c r="I1430" s="1" t="str">
        <f t="shared" si="89"/>
        <v/>
      </c>
      <c r="J1430" s="1" t="str">
        <f t="shared" si="90"/>
        <v>#{#SNMPVALUE}: 温度太低: &lt;{$TEMP_CRIT_LOW: "{#SNMPVALUE}"}</v>
      </c>
      <c r="K1430" s="1" t="str">
        <f t="shared" si="91"/>
        <v/>
      </c>
    </row>
    <row r="1431" spans="1:11">
      <c r="A1431" s="1">
        <v>2739</v>
      </c>
      <c r="B1431" s="1" t="s">
        <v>9571</v>
      </c>
      <c r="C1431" s="1" t="s">
        <v>9229</v>
      </c>
      <c r="D1431" s="1" t="s">
        <v>3882</v>
      </c>
      <c r="E1431" s="1" t="s">
        <v>3889</v>
      </c>
      <c r="F1431" s="1" t="s">
        <v>161</v>
      </c>
      <c r="G1431" s="1" t="s">
        <v>162</v>
      </c>
      <c r="H1431" s="1" t="str">
        <f t="shared" si="88"/>
        <v/>
      </c>
      <c r="I1431" s="1" t="str">
        <f t="shared" si="89"/>
        <v/>
      </c>
      <c r="J1431" s="1" t="str">
        <f t="shared" si="90"/>
        <v>接口{#IFNAME}({#IFALIAS}): 带宽使用率太高(&gt;{$IF.UTIL.MAX: "{#IFNAME}"}%)</v>
      </c>
      <c r="K1431" s="1" t="str">
        <f t="shared" si="91"/>
        <v/>
      </c>
    </row>
    <row r="1432" spans="1:11">
      <c r="A1432" s="1">
        <v>2740</v>
      </c>
      <c r="B1432" s="1" t="s">
        <v>9571</v>
      </c>
      <c r="C1432" s="1" t="s">
        <v>9230</v>
      </c>
      <c r="D1432" s="1" t="s">
        <v>3882</v>
      </c>
      <c r="E1432" s="1" t="s">
        <v>3891</v>
      </c>
      <c r="F1432" s="1" t="s">
        <v>165</v>
      </c>
      <c r="G1432" s="1" t="s">
        <v>166</v>
      </c>
      <c r="H1432" s="1" t="str">
        <f t="shared" si="88"/>
        <v/>
      </c>
      <c r="I1432" s="1" t="str">
        <f t="shared" si="89"/>
        <v/>
      </c>
      <c r="J1432" s="1" t="str">
        <f t="shared" si="90"/>
        <v>接口{#IFNAME}({#IFALIAS}): 错误率太高(&gt;{$IF.ERRORS.WARN: "{#IFNAME}"}达5分钟)</v>
      </c>
      <c r="K1432" s="1" t="str">
        <f t="shared" si="91"/>
        <v/>
      </c>
    </row>
    <row r="1433" spans="1:11">
      <c r="A1433" s="1">
        <v>2743</v>
      </c>
      <c r="B1433" s="1" t="s">
        <v>9575</v>
      </c>
      <c r="C1433" s="1" t="s">
        <v>9553</v>
      </c>
      <c r="D1433" s="1" t="s">
        <v>3893</v>
      </c>
      <c r="E1433" s="1" t="s">
        <v>3894</v>
      </c>
      <c r="F1433" s="1" t="s">
        <v>9576</v>
      </c>
      <c r="G1433" s="1" t="s">
        <v>9577</v>
      </c>
      <c r="H1433" s="1" t="str">
        <f t="shared" si="88"/>
        <v/>
      </c>
      <c r="I1433" s="1" t="str">
        <f t="shared" si="89"/>
        <v/>
      </c>
      <c r="J1433" s="1" t="str">
        <f t="shared" si="90"/>
        <v>接口{#IFDESCR}: 带宽使用率高了(&gt;{$IF.UTIL.MAX: "{#IFNAME}"}%)</v>
      </c>
      <c r="K1433" s="1" t="str">
        <f t="shared" si="91"/>
        <v/>
      </c>
    </row>
    <row r="1434" spans="1:11">
      <c r="A1434" s="1">
        <v>2744</v>
      </c>
      <c r="B1434" s="1" t="s">
        <v>9575</v>
      </c>
      <c r="C1434" s="1" t="s">
        <v>9290</v>
      </c>
      <c r="D1434" s="1" t="s">
        <v>3893</v>
      </c>
      <c r="E1434" s="1" t="s">
        <v>3896</v>
      </c>
      <c r="F1434" s="1" t="s">
        <v>9578</v>
      </c>
      <c r="G1434" s="1" t="s">
        <v>9579</v>
      </c>
      <c r="H1434" s="1" t="str">
        <f t="shared" si="88"/>
        <v/>
      </c>
      <c r="I1434" s="1" t="str">
        <f t="shared" si="89"/>
        <v/>
      </c>
      <c r="J1434" s="1" t="str">
        <f t="shared" si="90"/>
        <v>接口{#IFDESCR}: 错误率高了(&gt;{$IF.ERRORS.WARN: "{#IFNAME}"}达5分钟)</v>
      </c>
      <c r="K1434" s="1" t="str">
        <f t="shared" si="91"/>
        <v/>
      </c>
    </row>
    <row r="1435" spans="1:11">
      <c r="A1435" s="1">
        <v>2748</v>
      </c>
      <c r="B1435" s="1" t="s">
        <v>9580</v>
      </c>
      <c r="C1435" s="1" t="s">
        <v>9159</v>
      </c>
      <c r="D1435" s="1" t="s">
        <v>3898</v>
      </c>
      <c r="E1435" s="1" t="s">
        <v>9581</v>
      </c>
      <c r="F1435" s="1" t="s">
        <v>3900</v>
      </c>
      <c r="G1435" s="1" t="s">
        <v>9582</v>
      </c>
      <c r="H1435" s="1" t="str">
        <f t="shared" si="88"/>
        <v>Nextcloud</v>
      </c>
      <c r="I1435" s="1" t="str">
        <f t="shared" si="89"/>
        <v>用户"{#NEXTCLOUD.USER}":已超过 {$NEXTCLOUD.USER.MAX.INACTIVE:"{#NEXTCLOUD.USER}"} 天未活跃</v>
      </c>
      <c r="J1435" s="1" t="str">
        <f t="shared" si="90"/>
        <v>Nextcloud: 用户"{#NEXTCLOUD.USER}":已超过 {$NEXTCLOUD.USER.MAX.INACTIVE:"{#NEXTCLOUD.USER}"} 天未活跃</v>
      </c>
      <c r="K1435" s="1" t="str">
        <f t="shared" si="91"/>
        <v>User "{#NEXTCLOUD.USER}": inactive over {$NEXTCLOUD.USER.MAX.INACTIVE:"{#NEXTCLOUD.USER}"} days</v>
      </c>
    </row>
    <row r="1436" spans="1:11">
      <c r="A1436" s="1">
        <v>2749</v>
      </c>
      <c r="B1436" s="1" t="s">
        <v>9580</v>
      </c>
      <c r="C1436" s="1" t="s">
        <v>9161</v>
      </c>
      <c r="D1436" s="1" t="s">
        <v>3898</v>
      </c>
      <c r="E1436" s="1" t="s">
        <v>9583</v>
      </c>
      <c r="F1436" s="1" t="s">
        <v>3904</v>
      </c>
      <c r="G1436" s="1" t="s">
        <v>9584</v>
      </c>
      <c r="H1436" s="1" t="str">
        <f t="shared" si="88"/>
        <v>Nextcloud</v>
      </c>
      <c r="I1436" s="1" t="str">
        <f t="shared" si="89"/>
        <v>户"{#NEXTCLOUD.USER}" 高配额使用率(过去 5 分钟超过 {$NEXTCLOUD.USER.QUOTA.PUSED.MAX:"{#NEXTCLOUD.USER}"}%)</v>
      </c>
      <c r="J1436" s="1" t="str">
        <f t="shared" si="90"/>
        <v>Nextcloud: 户"{#NEXTCLOUD.USER}" 高配额使用率(过去 5 分钟超过 {$NEXTCLOUD.USER.QUOTA.PUSED.MAX:"{#NEXTCLOUD.USER}"}%)</v>
      </c>
      <c r="K1436" s="1" t="str">
        <f t="shared" si="91"/>
        <v>User "{#NEXTCLOUD.USER}" High quota utilization (&gt;{$NEXTCLOUD.USER.QUOTA.PUSED.MAX:"{#NEXTCLOUD.USER}"}% for 5m)</v>
      </c>
    </row>
    <row r="1437" spans="1:11">
      <c r="A1437" s="1">
        <v>2751</v>
      </c>
      <c r="B1437" s="1" t="s">
        <v>9585</v>
      </c>
      <c r="C1437" s="1" t="s">
        <v>9553</v>
      </c>
      <c r="D1437" s="1" t="s">
        <v>7759</v>
      </c>
      <c r="E1437" s="1" t="s">
        <v>7764</v>
      </c>
      <c r="F1437" s="1" t="s">
        <v>7765</v>
      </c>
      <c r="G1437" s="1" t="s">
        <v>9586</v>
      </c>
      <c r="H1437" s="1" t="str">
        <f t="shared" si="88"/>
        <v/>
      </c>
      <c r="I1437" s="1" t="str">
        <f t="shared" si="89"/>
        <v/>
      </c>
      <c r="J1437" s="1" t="str">
        <f t="shared" si="90"/>
        <v>Nginx：高连接丢弃率（5分钟内超过{$NGINX.DROP_RATE.MAX.WARN}）</v>
      </c>
      <c r="K1437" s="1" t="str">
        <f t="shared" si="91"/>
        <v>High connections drop rate (more than {$NGINX.DROP_RATE.MAX.WARN} for 5m)</v>
      </c>
    </row>
    <row r="1438" spans="1:11">
      <c r="A1438" s="1">
        <v>2752</v>
      </c>
      <c r="B1438" s="1" t="s">
        <v>9585</v>
      </c>
      <c r="C1438" s="1" t="s">
        <v>9290</v>
      </c>
      <c r="D1438" s="1" t="s">
        <v>7759</v>
      </c>
      <c r="E1438" s="1" t="s">
        <v>7768</v>
      </c>
      <c r="F1438" s="1" t="s">
        <v>7769</v>
      </c>
      <c r="G1438" s="1" t="s">
        <v>9587</v>
      </c>
      <c r="H1438" s="1" t="str">
        <f t="shared" si="88"/>
        <v/>
      </c>
      <c r="I1438" s="1" t="str">
        <f t="shared" si="89"/>
        <v/>
      </c>
      <c r="J1438" s="1" t="str">
        <f t="shared" si="90"/>
        <v>Nginx：无法获取stub状态页面（或30分钟内无数据）</v>
      </c>
      <c r="K1438" s="1" t="str">
        <f t="shared" si="91"/>
        <v>Failed to fetch stub status page (or no data for 30m)</v>
      </c>
    </row>
    <row r="1439" spans="1:11">
      <c r="A1439" s="1">
        <v>2754</v>
      </c>
      <c r="B1439" s="1" t="s">
        <v>9585</v>
      </c>
      <c r="C1439" s="1" t="s">
        <v>9554</v>
      </c>
      <c r="D1439" s="1" t="s">
        <v>7759</v>
      </c>
      <c r="E1439" s="1" t="s">
        <v>7760</v>
      </c>
      <c r="F1439" s="1" t="s">
        <v>7761</v>
      </c>
      <c r="G1439" s="1" t="s">
        <v>9588</v>
      </c>
      <c r="H1439" s="1" t="str">
        <f t="shared" si="88"/>
        <v/>
      </c>
      <c r="I1439" s="1" t="str">
        <f t="shared" si="89"/>
        <v/>
      </c>
      <c r="J1439" s="1" t="str">
        <f t="shared" si="90"/>
        <v>Nginx：服务响应时间过高（5分钟内超过{$NGINX.RESPONSE_TIME.MAX.WARN}秒）</v>
      </c>
      <c r="K1439" s="1" t="str">
        <f t="shared" si="91"/>
        <v>Service response time is too high (over {$NGINX.RESPONSE_TIME.MAX.WARN}s for 5m)</v>
      </c>
    </row>
    <row r="1440" spans="1:11">
      <c r="A1440" s="1">
        <v>2756</v>
      </c>
      <c r="B1440" s="1" t="s">
        <v>9589</v>
      </c>
      <c r="C1440" s="1" t="s">
        <v>9252</v>
      </c>
      <c r="D1440" s="1" t="s">
        <v>3907</v>
      </c>
      <c r="E1440" s="1" t="s">
        <v>7781</v>
      </c>
      <c r="F1440" s="1" t="s">
        <v>3909</v>
      </c>
      <c r="G1440" s="1" t="s">
        <v>3910</v>
      </c>
      <c r="H1440" s="1" t="str">
        <f t="shared" si="88"/>
        <v>OPNsense</v>
      </c>
      <c r="I1440" s="1" t="str">
        <f t="shared" si="89"/>
        <v>接口[{#IFNAME}({#IFALIAS})]: 进方向带宽使用率高了(&gt;{$IF.UTIL.MAX: "{#IFNAME}"}%)</v>
      </c>
      <c r="J1440" s="1" t="str">
        <f t="shared" si="90"/>
        <v>OPNsense: 接口[{#IFNAME}({#IFALIAS})]: 进方向带宽使用率高了(&gt;{$IF.UTIL.MAX: "{#IFNAME}"}%)</v>
      </c>
      <c r="K1440" s="1" t="str">
        <f t="shared" si="91"/>
        <v>Interface [{#IFNAME}({#IFALIAS})]: High inbound bandwidth usage ( &gt; {$IF.UTIL.MAX:"{#IFNAME}"}% )</v>
      </c>
    </row>
    <row r="1441" spans="1:11">
      <c r="A1441" s="1">
        <v>2757</v>
      </c>
      <c r="B1441" s="1" t="s">
        <v>9589</v>
      </c>
      <c r="C1441" s="1" t="s">
        <v>9253</v>
      </c>
      <c r="D1441" s="1" t="s">
        <v>3907</v>
      </c>
      <c r="E1441" s="1" t="s">
        <v>7785</v>
      </c>
      <c r="F1441" s="1" t="s">
        <v>3913</v>
      </c>
      <c r="G1441" s="1" t="s">
        <v>3914</v>
      </c>
      <c r="H1441" s="1" t="str">
        <f t="shared" si="88"/>
        <v>OPNsense</v>
      </c>
      <c r="I1441" s="1" t="str">
        <f t="shared" si="89"/>
        <v>接口[{#IFNAME}({#IFALIAS})]: 出方向带宽使用率高了(&gt;{$IF.UTIL.MAX: "{#IFNAME}"}%)</v>
      </c>
      <c r="J1441" s="1" t="str">
        <f t="shared" si="90"/>
        <v>OPNsense: 接口[{#IFNAME}({#IFALIAS})]: 出方向带宽使用率高了(&gt;{$IF.UTIL.MAX: "{#IFNAME}"}%)</v>
      </c>
      <c r="K1441" s="1" t="str">
        <f t="shared" si="91"/>
        <v>Interface [{#IFNAME}({#IFALIAS})]: High outbound bandwidth usage ( &gt; {$IF.UTIL.MAX:"{#IFNAME}"}% )</v>
      </c>
    </row>
    <row r="1442" spans="1:11">
      <c r="A1442" s="1">
        <v>2758</v>
      </c>
      <c r="B1442" s="1" t="s">
        <v>9589</v>
      </c>
      <c r="C1442" s="1" t="s">
        <v>9407</v>
      </c>
      <c r="D1442" s="1" t="s">
        <v>3907</v>
      </c>
      <c r="E1442" s="1" t="s">
        <v>7779</v>
      </c>
      <c r="F1442" s="1" t="s">
        <v>3917</v>
      </c>
      <c r="G1442" s="1" t="s">
        <v>3918</v>
      </c>
      <c r="H1442" s="1" t="str">
        <f t="shared" si="88"/>
        <v>OPNsense</v>
      </c>
      <c r="I1442" s="1" t="str">
        <f t="shared" si="89"/>
        <v>接口[{#IFNAME}({#IFALIAS})]: 输入错误率高了(&gt;{$IF.ERRORS.WARN: "{#IFNAME}"}达5分钟)</v>
      </c>
      <c r="J1442" s="1" t="str">
        <f t="shared" si="90"/>
        <v>OPNsense: 接口[{#IFNAME}({#IFALIAS})]: 输入错误率高了(&gt;{$IF.ERRORS.WARN: "{#IFNAME}"}达5分钟)</v>
      </c>
      <c r="K1442" s="1" t="str">
        <f t="shared" si="91"/>
        <v>Interface [{#IFNAME}({#IFALIAS})]: High input error rate ( &gt; {$IF.ERRORS.WARN:"{#IFNAME}"} for 5m)</v>
      </c>
    </row>
    <row r="1443" spans="1:11">
      <c r="A1443" s="1">
        <v>2761</v>
      </c>
      <c r="B1443" s="1" t="s">
        <v>9589</v>
      </c>
      <c r="C1443" s="1" t="s">
        <v>9257</v>
      </c>
      <c r="D1443" s="1" t="s">
        <v>3907</v>
      </c>
      <c r="E1443" s="1" t="s">
        <v>7783</v>
      </c>
      <c r="F1443" s="1" t="s">
        <v>3921</v>
      </c>
      <c r="G1443" s="1" t="s">
        <v>3922</v>
      </c>
      <c r="H1443" s="1" t="str">
        <f t="shared" si="88"/>
        <v>OPNsense</v>
      </c>
      <c r="I1443" s="1" t="str">
        <f t="shared" si="89"/>
        <v>接口[{#IFNAME}({#IFALIAS})]: 输出错误率高了(&gt;{$IF.ERRORS.WARN: "{#IFNAME}"}达5分钟)</v>
      </c>
      <c r="J1443" s="1" t="str">
        <f t="shared" si="90"/>
        <v>OPNsense: 接口[{#IFNAME}({#IFALIAS})]: 输出错误率高了(&gt;{$IF.ERRORS.WARN: "{#IFNAME}"}达5分钟)</v>
      </c>
      <c r="K1443" s="1" t="str">
        <f t="shared" si="91"/>
        <v>Interface [{#IFNAME}({#IFALIAS})]: High output error rate ( &gt; {$IF.ERRORS.WARN:"{#IFNAME}"} for 5m)</v>
      </c>
    </row>
    <row r="1444" spans="1:11">
      <c r="A1444" s="1">
        <v>2773</v>
      </c>
      <c r="B1444" s="1" t="s">
        <v>9590</v>
      </c>
      <c r="C1444" s="1" t="s">
        <v>9078</v>
      </c>
      <c r="D1444" s="1" t="s">
        <v>3924</v>
      </c>
      <c r="E1444" s="1" t="s">
        <v>7804</v>
      </c>
      <c r="F1444" s="1" t="s">
        <v>3926</v>
      </c>
      <c r="G1444" s="1" t="s">
        <v>3927</v>
      </c>
      <c r="H1444" s="1" t="str">
        <f t="shared" si="88"/>
        <v/>
      </c>
      <c r="I1444" s="1" t="str">
        <f t="shared" si="89"/>
        <v/>
      </c>
      <c r="J1444" s="1" t="str">
        <f t="shared" si="90"/>
        <v>[{#LOCATION},{#COUNTRY}]: 温度太低(低于{$TEMP.CRIT.LOW}达30分钟)</v>
      </c>
      <c r="K1444" s="1" t="str">
        <f t="shared" si="91"/>
        <v/>
      </c>
    </row>
    <row r="1445" spans="1:11">
      <c r="A1445" s="1">
        <v>2774</v>
      </c>
      <c r="B1445" s="1" t="s">
        <v>9590</v>
      </c>
      <c r="C1445" s="1" t="s">
        <v>9081</v>
      </c>
      <c r="D1445" s="1" t="s">
        <v>3924</v>
      </c>
      <c r="E1445" s="1" t="s">
        <v>7808</v>
      </c>
      <c r="F1445" s="1" t="s">
        <v>3930</v>
      </c>
      <c r="G1445" s="1" t="s">
        <v>3931</v>
      </c>
      <c r="H1445" s="1" t="str">
        <f t="shared" si="88"/>
        <v/>
      </c>
      <c r="I1445" s="1" t="str">
        <f t="shared" si="89"/>
        <v/>
      </c>
      <c r="J1445" s="1" t="str">
        <f t="shared" si="90"/>
        <v>[{#LOCATION},{#COUNTRY}]: 温度太高(超过{$TEMP.CRIT.HIGH}达30分钟)</v>
      </c>
      <c r="K1445" s="1" t="str">
        <f t="shared" si="91"/>
        <v/>
      </c>
    </row>
    <row r="1446" spans="1:11">
      <c r="A1446" s="1">
        <v>2777</v>
      </c>
      <c r="B1446" s="1" t="s">
        <v>9591</v>
      </c>
      <c r="C1446" s="1" t="s">
        <v>9068</v>
      </c>
      <c r="D1446" s="1" t="s">
        <v>3933</v>
      </c>
      <c r="E1446" s="1" t="s">
        <v>9592</v>
      </c>
      <c r="F1446" s="1" t="s">
        <v>3935</v>
      </c>
      <c r="G1446" s="1" t="s">
        <v>9593</v>
      </c>
      <c r="H1446" s="1" t="str">
        <f t="shared" si="88"/>
        <v/>
      </c>
      <c r="I1446" s="1" t="str">
        <f t="shared" si="89"/>
        <v/>
      </c>
      <c r="J1446" s="1" t="str">
        <f t="shared" si="90"/>
        <v>VNIC [{#NAME}]：当前连接跟踪表利用率高了（利用率 &gt;= {$OCI.COMPUTE.VNIC.CONNTRACK.UTIL.WARN}%）</v>
      </c>
      <c r="K1446" s="1" t="str">
        <f t="shared" si="91"/>
        <v/>
      </c>
    </row>
    <row r="1447" spans="1:11">
      <c r="A1447" s="1">
        <v>2778</v>
      </c>
      <c r="B1447" s="1" t="s">
        <v>9591</v>
      </c>
      <c r="C1447" s="1" t="s">
        <v>9071</v>
      </c>
      <c r="D1447" s="1" t="s">
        <v>3933</v>
      </c>
      <c r="E1447" s="1" t="s">
        <v>9594</v>
      </c>
      <c r="F1447" s="1" t="s">
        <v>3939</v>
      </c>
      <c r="G1447" s="1" t="s">
        <v>9595</v>
      </c>
      <c r="H1447" s="1" t="str">
        <f t="shared" si="88"/>
        <v/>
      </c>
      <c r="I1447" s="1" t="str">
        <f t="shared" si="89"/>
        <v/>
      </c>
      <c r="J1447" s="1" t="str">
        <f t="shared" si="90"/>
        <v>VNIC [{#NAME}]：当前连接跟踪表利用率高了（利用率 &gt;= {$OCI.COMPUTE.VNIC.CONNTRACK.UTIL.HIGH}%）</v>
      </c>
      <c r="K1447" s="1" t="str">
        <f t="shared" si="91"/>
        <v/>
      </c>
    </row>
    <row r="1448" spans="1:11">
      <c r="A1448" s="1">
        <v>2782</v>
      </c>
      <c r="B1448" s="1" t="s">
        <v>9596</v>
      </c>
      <c r="C1448" s="1" t="s">
        <v>9442</v>
      </c>
      <c r="D1448" s="1" t="s">
        <v>3942</v>
      </c>
      <c r="E1448" s="1" t="s">
        <v>1728</v>
      </c>
      <c r="F1448" s="1" t="s">
        <v>3944</v>
      </c>
      <c r="G1448" s="1" t="s">
        <v>3945</v>
      </c>
      <c r="H1448" s="1" t="str">
        <f t="shared" si="88"/>
        <v>ASM '{#DGNAME}'</v>
      </c>
      <c r="I1448" s="1" t="str">
        <f t="shared" si="89"/>
        <v>磁盘组使用率太高(超过{$ORACLE.ASM.USED.PCT.MAX.HIGH}%达5分钟)</v>
      </c>
      <c r="J1448" s="1" t="str">
        <f t="shared" si="90"/>
        <v>ASM '{#DGNAME}': 磁盘组使用率太高(超过{$ORACLE.ASM.USED.PCT.MAX.HIGH}%达5分钟)</v>
      </c>
      <c r="K1448" s="1" t="str">
        <f t="shared" si="91"/>
        <v>Disk group usage is too high (over {$ORACLE.ASM.USED.PCT.MAX.HIGH}% for 5m)</v>
      </c>
    </row>
    <row r="1449" spans="1:11">
      <c r="A1449" s="1">
        <v>2783</v>
      </c>
      <c r="B1449" s="1" t="s">
        <v>9596</v>
      </c>
      <c r="C1449" s="1" t="s">
        <v>9444</v>
      </c>
      <c r="D1449" s="1" t="s">
        <v>3942</v>
      </c>
      <c r="E1449" s="1" t="s">
        <v>1716</v>
      </c>
      <c r="F1449" s="1" t="s">
        <v>3948</v>
      </c>
      <c r="G1449" s="1" t="s">
        <v>3949</v>
      </c>
      <c r="H1449" s="1" t="str">
        <f t="shared" si="88"/>
        <v>ASM '{#DGNAME}'</v>
      </c>
      <c r="I1449" s="1" t="str">
        <f t="shared" si="89"/>
        <v>磁盘组使用率太高(超过{$ORACLE.ASM.USED.PCT.MAX.WARN}%达5分钟)</v>
      </c>
      <c r="J1449" s="1" t="str">
        <f t="shared" si="90"/>
        <v>ASM '{#DGNAME}': 磁盘组使用率太高(超过{$ORACLE.ASM.USED.PCT.MAX.WARN}%达5分钟)</v>
      </c>
      <c r="K1449" s="1" t="str">
        <f t="shared" si="91"/>
        <v>Disk group usage is too high (over {$ORACLE.ASM.USED.PCT.MAX.WARN}% for 5m)</v>
      </c>
    </row>
    <row r="1450" spans="1:11">
      <c r="A1450" s="1">
        <v>2785</v>
      </c>
      <c r="B1450" s="1" t="s">
        <v>9596</v>
      </c>
      <c r="C1450" s="1" t="s">
        <v>9448</v>
      </c>
      <c r="D1450" s="1" t="s">
        <v>3942</v>
      </c>
      <c r="E1450" s="1" t="s">
        <v>1756</v>
      </c>
      <c r="F1450" s="1" t="s">
        <v>3952</v>
      </c>
      <c r="G1450" s="1" t="s">
        <v>3953</v>
      </c>
      <c r="H1450" s="1" t="str">
        <f t="shared" si="88"/>
        <v>Oracle '{#CON_NAME}' TBS '{#TABLESPACE}'</v>
      </c>
      <c r="I1450" s="1" t="str">
        <f t="shared" si="89"/>
        <v>表空间状态已变更(收到新值: {ITEM.VALUE})</v>
      </c>
      <c r="J1450" s="1" t="str">
        <f t="shared" si="90"/>
        <v>Oracle '{#CON_NAME}' TBS '{#TABLESPACE}': 表空间状态已变更(收到新值: {ITEM.VALUE})</v>
      </c>
      <c r="K1450" s="1" t="str">
        <f t="shared" si="91"/>
        <v>Tablespace status has changed (new value received: {ITEM.VALUE})</v>
      </c>
    </row>
    <row r="1451" spans="1:11">
      <c r="A1451" s="1">
        <v>2786</v>
      </c>
      <c r="B1451" s="1" t="s">
        <v>9596</v>
      </c>
      <c r="C1451" s="1" t="s">
        <v>9450</v>
      </c>
      <c r="D1451" s="1" t="s">
        <v>3942</v>
      </c>
      <c r="E1451" s="1" t="s">
        <v>7853</v>
      </c>
      <c r="F1451" s="1" t="s">
        <v>9597</v>
      </c>
      <c r="G1451" s="1" t="s">
        <v>9598</v>
      </c>
      <c r="H1451" s="1" t="str">
        <f t="shared" si="88"/>
        <v>Oracle '{#CON_NAME}' TBS '{#TABLESPACE}'</v>
      </c>
      <c r="I1451" s="1" t="str">
        <f t="shared" si="89"/>
        <v>表空间利用率太高(超过{$ORACLE.TBS.USED.PCT.MAX.WARN}%达5分钟).</v>
      </c>
      <c r="J1451" s="1" t="str">
        <f t="shared" si="90"/>
        <v>Oracle '{#CON_NAME}' TBS '{#TABLESPACE}': 表空间利用率太高(超过{$ORACLE.TBS.USED.PCT.MAX.WARN}%达5分钟).</v>
      </c>
      <c r="K1451" s="1" t="str">
        <f t="shared" si="91"/>
        <v>Tablespace utilization is too high (over {$ORACLE.TBS.USED.PCT.MAX.WARN}% for 5m).</v>
      </c>
    </row>
    <row r="1452" spans="1:11">
      <c r="A1452" s="1">
        <v>2787</v>
      </c>
      <c r="B1452" s="1" t="s">
        <v>9596</v>
      </c>
      <c r="C1452" s="1" t="s">
        <v>9452</v>
      </c>
      <c r="D1452" s="1" t="s">
        <v>3942</v>
      </c>
      <c r="E1452" s="1" t="s">
        <v>7849</v>
      </c>
      <c r="F1452" s="1" t="s">
        <v>3956</v>
      </c>
      <c r="G1452" s="1" t="s">
        <v>3957</v>
      </c>
      <c r="H1452" s="1" t="str">
        <f t="shared" si="88"/>
        <v>Oracle '{#CON_NAME}' TBS '{#TABLESPACE}'</v>
      </c>
      <c r="I1452" s="1" t="str">
        <f t="shared" si="89"/>
        <v>表空间利用率太高(超过{$ORACLE.TBS.UTIL.PCT.MAX.HIGH}%达5分钟).</v>
      </c>
      <c r="J1452" s="1" t="str">
        <f t="shared" si="90"/>
        <v>Oracle '{#CON_NAME}' TBS '{#TABLESPACE}': 表空间利用率太高(超过{$ORACLE.TBS.UTIL.PCT.MAX.HIGH}%达5分钟).</v>
      </c>
      <c r="K1452" s="1" t="str">
        <f t="shared" si="91"/>
        <v>Tablespace utilization is too high (over {$ORACLE.TBS.UTIL.PCT.MAX.HIGH}% for 5m).</v>
      </c>
    </row>
    <row r="1453" spans="1:11">
      <c r="A1453" s="1">
        <v>2788</v>
      </c>
      <c r="B1453" s="1" t="s">
        <v>9596</v>
      </c>
      <c r="C1453" s="1" t="s">
        <v>9454</v>
      </c>
      <c r="D1453" s="1" t="s">
        <v>3942</v>
      </c>
      <c r="E1453" s="1" t="s">
        <v>9599</v>
      </c>
      <c r="F1453" s="1" t="s">
        <v>3964</v>
      </c>
      <c r="G1453" s="1" t="s">
        <v>9600</v>
      </c>
      <c r="H1453" s="1" t="str">
        <f t="shared" si="88"/>
        <v/>
      </c>
      <c r="I1453" s="1" t="str">
        <f t="shared" si="89"/>
        <v/>
      </c>
      <c r="J1453" s="1" t="str">
        <f t="shared" si="90"/>
        <v>Oracle '{#CON_NAME}' TBS '{#TABLESPACE}'：表空间使用率过高（超过{ORACLE.TBS.USED.PCT.FROM.MAX.HIGH}%达5分钟）. </v>
      </c>
      <c r="K1453" s="1" t="str">
        <f t="shared" si="91"/>
        <v>Tablespace usage from MAX is too high (over {$ORACLE.TBS.USED.PCT.FROM.MAX.HIGH}% for 5m).</v>
      </c>
    </row>
    <row r="1454" spans="1:11">
      <c r="A1454" s="1">
        <v>2789</v>
      </c>
      <c r="B1454" s="1" t="s">
        <v>9596</v>
      </c>
      <c r="C1454" s="1" t="s">
        <v>9456</v>
      </c>
      <c r="D1454" s="1" t="s">
        <v>3942</v>
      </c>
      <c r="E1454" s="1" t="s">
        <v>9601</v>
      </c>
      <c r="F1454" s="1" t="s">
        <v>3968</v>
      </c>
      <c r="G1454" s="1" t="s">
        <v>9602</v>
      </c>
      <c r="H1454" s="1" t="str">
        <f t="shared" si="88"/>
        <v/>
      </c>
      <c r="I1454" s="1" t="str">
        <f t="shared" si="89"/>
        <v/>
      </c>
      <c r="J1454" s="1" t="str">
        <f t="shared" si="90"/>
        <v>Oracle '{#CON_NAME}' TBS '{#TABLESPACE}'：表空间使用率过高（超过{ORACLE.TBS.USED.PCT.FROM.MAX.WARN}%达5分钟）.</v>
      </c>
      <c r="K1454" s="1" t="str">
        <f t="shared" si="91"/>
        <v>Tablespace usage from MAX is too high (over {$ORACLE.TBS.USED.PCT.FROM.MAX.WARN}% for 5m).</v>
      </c>
    </row>
    <row r="1455" spans="1:11">
      <c r="A1455" s="1">
        <v>2790</v>
      </c>
      <c r="B1455" s="1" t="s">
        <v>9596</v>
      </c>
      <c r="C1455" s="1" t="s">
        <v>9458</v>
      </c>
      <c r="D1455" s="1" t="s">
        <v>3942</v>
      </c>
      <c r="E1455" s="1" t="s">
        <v>1760</v>
      </c>
      <c r="F1455" s="1" t="s">
        <v>3972</v>
      </c>
      <c r="G1455" s="1" t="s">
        <v>3973</v>
      </c>
      <c r="H1455" s="1" t="str">
        <f t="shared" si="88"/>
        <v>Oracle '{#CON_NAME}' TBS '{#TABLESPACE}'</v>
      </c>
      <c r="I1455" s="1" t="str">
        <f t="shared" si="89"/>
        <v>表空间使用率太高(超过{$ORACLE.TBS.USED.PCT.MAX.HIGH}%达5分钟).</v>
      </c>
      <c r="J1455" s="1" t="str">
        <f t="shared" si="90"/>
        <v>Oracle '{#CON_NAME}' TBS '{#TABLESPACE}': 表空间使用率太高(超过{$ORACLE.TBS.USED.PCT.MAX.HIGH}%达5分钟).</v>
      </c>
      <c r="K1455" s="1" t="str">
        <f t="shared" si="91"/>
        <v>Tablespace usage is too high (over {$ORACLE.TBS.USED.PCT.MAX.HIGH}% for 5m).</v>
      </c>
    </row>
    <row r="1456" spans="1:11">
      <c r="A1456" s="1">
        <v>2791</v>
      </c>
      <c r="B1456" s="1" t="s">
        <v>9596</v>
      </c>
      <c r="C1456" s="1" t="s">
        <v>9460</v>
      </c>
      <c r="D1456" s="1" t="s">
        <v>3942</v>
      </c>
      <c r="E1456" s="1" t="s">
        <v>1764</v>
      </c>
      <c r="F1456" s="1" t="s">
        <v>3976</v>
      </c>
      <c r="G1456" s="1" t="s">
        <v>3977</v>
      </c>
      <c r="H1456" s="1" t="str">
        <f t="shared" si="88"/>
        <v>Oracle '{#CON_NAME}' TBS '{#TABLESPACE}'</v>
      </c>
      <c r="I1456" s="1" t="str">
        <f t="shared" si="89"/>
        <v>表空间使用率太高(超过{$ORACLE.TBS.USED.PCT.MAX.WARN}%达5分钟).</v>
      </c>
      <c r="J1456" s="1" t="str">
        <f t="shared" si="90"/>
        <v>Oracle '{#CON_NAME}' TBS '{#TABLESPACE}': 表空间使用率太高(超过{$ORACLE.TBS.USED.PCT.MAX.WARN}%达5分钟).</v>
      </c>
      <c r="K1456" s="1" t="str">
        <f t="shared" si="91"/>
        <v>Tablespace usage is too high (over {$ORACLE.TBS.USED.PCT.MAX.WARN}% for 5m).</v>
      </c>
    </row>
    <row r="1457" spans="1:11">
      <c r="A1457" s="1">
        <v>2794</v>
      </c>
      <c r="B1457" s="1" t="s">
        <v>9596</v>
      </c>
      <c r="C1457" s="1" t="s">
        <v>9466</v>
      </c>
      <c r="D1457" s="1" t="s">
        <v>3942</v>
      </c>
      <c r="E1457" s="1" t="s">
        <v>1732</v>
      </c>
      <c r="F1457" s="1" t="s">
        <v>3980</v>
      </c>
      <c r="G1457" s="1" t="s">
        <v>3981</v>
      </c>
      <c r="H1457" s="1" t="str">
        <f t="shared" si="88"/>
        <v/>
      </c>
      <c r="I1457" s="1" t="str">
        <f t="shared" si="89"/>
        <v/>
      </c>
      <c r="J1457" s="1" t="str">
        <f t="shared" si="90"/>
        <v>Oracle数据库"{#DBNAME}": 打开状态已变更(收到新值: {ITEM.VALUE})</v>
      </c>
      <c r="K1457" s="1" t="str">
        <f t="shared" si="91"/>
        <v>Open status has changed (new value received: {ITEM.VALUE})</v>
      </c>
    </row>
    <row r="1458" spans="1:11">
      <c r="A1458" s="1">
        <v>2796</v>
      </c>
      <c r="B1458" s="1" t="s">
        <v>9596</v>
      </c>
      <c r="C1458" s="1" t="s">
        <v>9603</v>
      </c>
      <c r="D1458" s="1" t="s">
        <v>3942</v>
      </c>
      <c r="E1458" s="1" t="s">
        <v>1744</v>
      </c>
      <c r="F1458" s="1" t="s">
        <v>3980</v>
      </c>
      <c r="G1458" s="1" t="s">
        <v>3981</v>
      </c>
      <c r="H1458" s="1" t="str">
        <f t="shared" si="88"/>
        <v/>
      </c>
      <c r="I1458" s="1" t="str">
        <f t="shared" si="89"/>
        <v/>
      </c>
      <c r="J1458" s="1" t="str">
        <f t="shared" si="90"/>
        <v>Oracle数据库"{#DBNAME}": 打开状态已变更(收到新值: {ITEM.VALUE})</v>
      </c>
      <c r="K1458" s="1" t="str">
        <f t="shared" si="91"/>
        <v>Open status has changed (new value received: {ITEM.VALUE})</v>
      </c>
    </row>
    <row r="1459" spans="1:11">
      <c r="A1459" s="1">
        <v>2797</v>
      </c>
      <c r="B1459" s="1" t="s">
        <v>9596</v>
      </c>
      <c r="C1459" s="1" t="s">
        <v>9604</v>
      </c>
      <c r="D1459" s="1" t="s">
        <v>3942</v>
      </c>
      <c r="E1459" s="1" t="s">
        <v>1740</v>
      </c>
      <c r="F1459" s="1" t="s">
        <v>3986</v>
      </c>
      <c r="G1459" s="1" t="s">
        <v>3987</v>
      </c>
      <c r="H1459" s="1" t="str">
        <f t="shared" si="88"/>
        <v/>
      </c>
      <c r="I1459" s="1" t="str">
        <f t="shared" si="89"/>
        <v/>
      </c>
      <c r="J1459" s="1" t="str">
        <f t="shared" si="90"/>
        <v>Oracle数据库"{#DBNAME}": 角色已变更(收到新值: {ITEM.VALUE})</v>
      </c>
      <c r="K1459" s="1" t="str">
        <f t="shared" si="91"/>
        <v>Role has changed (new value received: {ITEM.VALUE})</v>
      </c>
    </row>
    <row r="1460" spans="1:11">
      <c r="A1460" s="1">
        <v>2799</v>
      </c>
      <c r="B1460" s="1" t="s">
        <v>9605</v>
      </c>
      <c r="C1460" s="1" t="s">
        <v>9442</v>
      </c>
      <c r="D1460" s="1" t="s">
        <v>3989</v>
      </c>
      <c r="E1460" s="1" t="s">
        <v>734</v>
      </c>
      <c r="F1460" s="1" t="s">
        <v>3944</v>
      </c>
      <c r="G1460" s="1" t="s">
        <v>3945</v>
      </c>
      <c r="H1460" s="1" t="str">
        <f t="shared" si="88"/>
        <v>ASM '{#DGNAME}'</v>
      </c>
      <c r="I1460" s="1" t="str">
        <f t="shared" si="89"/>
        <v>磁盘组使用率太高(超过{$ORACLE.ASM.USED.PCT.MAX.HIGH}%达5分钟)</v>
      </c>
      <c r="J1460" s="1" t="str">
        <f t="shared" si="90"/>
        <v>ASM '{#DGNAME}': 磁盘组使用率太高(超过{$ORACLE.ASM.USED.PCT.MAX.HIGH}%达5分钟)</v>
      </c>
      <c r="K1460" s="1" t="str">
        <f t="shared" si="91"/>
        <v>Disk group usage is too high (over {$ORACLE.ASM.USED.PCT.MAX.HIGH}% for 5m)</v>
      </c>
    </row>
    <row r="1461" spans="1:11">
      <c r="A1461" s="1">
        <v>2800</v>
      </c>
      <c r="B1461" s="1" t="s">
        <v>9605</v>
      </c>
      <c r="C1461" s="1" t="s">
        <v>9444</v>
      </c>
      <c r="D1461" s="1" t="s">
        <v>3989</v>
      </c>
      <c r="E1461" s="1" t="s">
        <v>7858</v>
      </c>
      <c r="F1461" s="1" t="s">
        <v>3948</v>
      </c>
      <c r="G1461" s="1" t="s">
        <v>3949</v>
      </c>
      <c r="H1461" s="1" t="str">
        <f t="shared" si="88"/>
        <v>ASM '{#DGNAME}'</v>
      </c>
      <c r="I1461" s="1" t="str">
        <f t="shared" si="89"/>
        <v>磁盘组使用率太高(超过{$ORACLE.ASM.USED.PCT.MAX.WARN}%达5分钟)</v>
      </c>
      <c r="J1461" s="1" t="str">
        <f t="shared" si="90"/>
        <v>ASM '{#DGNAME}': 磁盘组使用率太高(超过{$ORACLE.ASM.USED.PCT.MAX.WARN}%达5分钟)</v>
      </c>
      <c r="K1461" s="1" t="str">
        <f t="shared" si="91"/>
        <v>Disk group usage is too high (over {$ORACLE.ASM.USED.PCT.MAX.WARN}% for 5m)</v>
      </c>
    </row>
    <row r="1462" spans="1:11">
      <c r="A1462" s="1">
        <v>2803</v>
      </c>
      <c r="B1462" s="1" t="s">
        <v>9605</v>
      </c>
      <c r="C1462" s="1" t="s">
        <v>9450</v>
      </c>
      <c r="D1462" s="1" t="s">
        <v>3989</v>
      </c>
      <c r="E1462" s="1" t="s">
        <v>7860</v>
      </c>
      <c r="F1462" s="1" t="s">
        <v>3980</v>
      </c>
      <c r="G1462" s="1" t="s">
        <v>3981</v>
      </c>
      <c r="H1462" s="1" t="str">
        <f t="shared" si="88"/>
        <v/>
      </c>
      <c r="I1462" s="1" t="str">
        <f t="shared" si="89"/>
        <v/>
      </c>
      <c r="J1462" s="1" t="str">
        <f t="shared" si="90"/>
        <v>Oracle数据库"{#DBNAME}": 打开状态已变更(收到新值: {ITEM.VALUE})</v>
      </c>
      <c r="K1462" s="1" t="str">
        <f t="shared" si="91"/>
        <v>Open status has changed (new value received: {ITEM.VALUE})</v>
      </c>
    </row>
    <row r="1463" spans="1:11">
      <c r="A1463" s="1">
        <v>2805</v>
      </c>
      <c r="B1463" s="1" t="s">
        <v>9605</v>
      </c>
      <c r="C1463" s="1" t="s">
        <v>9454</v>
      </c>
      <c r="D1463" s="1" t="s">
        <v>3989</v>
      </c>
      <c r="E1463" s="1" t="s">
        <v>7863</v>
      </c>
      <c r="F1463" s="1" t="s">
        <v>3980</v>
      </c>
      <c r="G1463" s="1" t="s">
        <v>3981</v>
      </c>
      <c r="H1463" s="1" t="str">
        <f t="shared" si="88"/>
        <v/>
      </c>
      <c r="I1463" s="1" t="str">
        <f t="shared" si="89"/>
        <v/>
      </c>
      <c r="J1463" s="1" t="str">
        <f t="shared" si="90"/>
        <v>Oracle数据库"{#DBNAME}": 打开状态已变更(收到新值: {ITEM.VALUE})</v>
      </c>
      <c r="K1463" s="1" t="str">
        <f t="shared" si="91"/>
        <v>Open status has changed (new value received: {ITEM.VALUE})</v>
      </c>
    </row>
    <row r="1464" spans="1:11">
      <c r="A1464" s="1">
        <v>2806</v>
      </c>
      <c r="B1464" s="1" t="s">
        <v>9605</v>
      </c>
      <c r="C1464" s="1" t="s">
        <v>9456</v>
      </c>
      <c r="D1464" s="1" t="s">
        <v>3989</v>
      </c>
      <c r="E1464" s="1" t="s">
        <v>730</v>
      </c>
      <c r="F1464" s="1" t="s">
        <v>3986</v>
      </c>
      <c r="G1464" s="1" t="s">
        <v>3987</v>
      </c>
      <c r="H1464" s="1" t="str">
        <f t="shared" si="88"/>
        <v/>
      </c>
      <c r="I1464" s="1" t="str">
        <f t="shared" si="89"/>
        <v/>
      </c>
      <c r="J1464" s="1" t="str">
        <f t="shared" si="90"/>
        <v>Oracle数据库"{#DBNAME}": 角色已变更(收到新值: {ITEM.VALUE})</v>
      </c>
      <c r="K1464" s="1" t="str">
        <f t="shared" si="91"/>
        <v>Role has changed (new value received: {ITEM.VALUE})</v>
      </c>
    </row>
    <row r="1465" spans="1:11">
      <c r="A1465" s="1">
        <v>2808</v>
      </c>
      <c r="B1465" s="1" t="s">
        <v>9605</v>
      </c>
      <c r="C1465" s="1" t="s">
        <v>9460</v>
      </c>
      <c r="D1465" s="1" t="s">
        <v>3989</v>
      </c>
      <c r="E1465" s="1" t="s">
        <v>378</v>
      </c>
      <c r="F1465" s="1" t="s">
        <v>4001</v>
      </c>
      <c r="G1465" s="1" t="s">
        <v>4002</v>
      </c>
      <c r="H1465" s="1" t="str">
        <f t="shared" si="88"/>
        <v/>
      </c>
      <c r="I1465" s="1" t="str">
        <f t="shared" si="89"/>
        <v/>
      </c>
      <c r="J1465" s="1" t="str">
        <f t="shared" si="90"/>
        <v>OracleTBS"{#TABLESPACE}": 表空间状态已变更(收到新值: {ITEM.VALUE})</v>
      </c>
      <c r="K1465" s="1" t="str">
        <f t="shared" si="91"/>
        <v>Tablespace status has changed (new value received: {ITEM.VALUE})</v>
      </c>
    </row>
    <row r="1466" spans="1:11">
      <c r="A1466" s="1">
        <v>2809</v>
      </c>
      <c r="B1466" s="1" t="s">
        <v>9605</v>
      </c>
      <c r="C1466" s="1" t="s">
        <v>9462</v>
      </c>
      <c r="D1466" s="1" t="s">
        <v>3989</v>
      </c>
      <c r="E1466" s="1" t="s">
        <v>1708</v>
      </c>
      <c r="F1466" s="1" t="s">
        <v>9606</v>
      </c>
      <c r="G1466" s="1" t="s">
        <v>9607</v>
      </c>
      <c r="H1466" s="1" t="str">
        <f t="shared" si="88"/>
        <v/>
      </c>
      <c r="I1466" s="1" t="str">
        <f t="shared" si="89"/>
        <v/>
      </c>
      <c r="J1466" s="1" t="str">
        <f t="shared" si="90"/>
        <v>OracleTBS"{#TABLESPACE}": 表空间利用率太高(超过{$ORACLE.TBS.USED.PCT.MAX.WARN}%达5分钟).</v>
      </c>
      <c r="K1466" s="1" t="str">
        <f t="shared" si="91"/>
        <v>Tablespace utilization is too high (over {$ORACLE.TBS.USED.PCT.MAX.WARN}% for 5m).</v>
      </c>
    </row>
    <row r="1467" spans="1:11">
      <c r="A1467" s="1">
        <v>2810</v>
      </c>
      <c r="B1467" s="1" t="s">
        <v>9605</v>
      </c>
      <c r="C1467" s="1" t="s">
        <v>9464</v>
      </c>
      <c r="D1467" s="1" t="s">
        <v>3989</v>
      </c>
      <c r="E1467" s="1" t="s">
        <v>1712</v>
      </c>
      <c r="F1467" s="1" t="s">
        <v>4005</v>
      </c>
      <c r="G1467" s="1" t="s">
        <v>4006</v>
      </c>
      <c r="H1467" s="1" t="str">
        <f t="shared" si="88"/>
        <v/>
      </c>
      <c r="I1467" s="1" t="str">
        <f t="shared" si="89"/>
        <v/>
      </c>
      <c r="J1467" s="1" t="str">
        <f t="shared" si="90"/>
        <v>OracleTBS"{#TABLESPACE}": 表空间利用率太高(超过{$ORACLE.TBS.UTIL.PCT.MAX.HIGH}%达5分钟).</v>
      </c>
      <c r="K1467" s="1" t="str">
        <f t="shared" si="91"/>
        <v>Tablespace utilization is too high (over {$ORACLE.TBS.UTIL.PCT.MAX.HIGH}% for 5m).</v>
      </c>
    </row>
    <row r="1468" spans="1:11">
      <c r="A1468" s="1">
        <v>2811</v>
      </c>
      <c r="B1468" s="1" t="s">
        <v>9605</v>
      </c>
      <c r="C1468" s="1" t="s">
        <v>9466</v>
      </c>
      <c r="D1468" s="1" t="s">
        <v>3989</v>
      </c>
      <c r="E1468" s="1" t="s">
        <v>9608</v>
      </c>
      <c r="F1468" s="1" t="s">
        <v>4013</v>
      </c>
      <c r="G1468" s="1" t="s">
        <v>9609</v>
      </c>
      <c r="H1468" s="1" t="str">
        <f t="shared" si="88"/>
        <v/>
      </c>
      <c r="I1468" s="1" t="str">
        <f t="shared" si="89"/>
        <v/>
      </c>
      <c r="J1468" s="1" t="str">
        <f t="shared" si="90"/>
        <v>Oracle TBS '{#TABLESPACE}'：表空间利用率过高（超过{ORACLE.TBS.USED.PCT.FROM.MAX.WARN}%达5分钟）. </v>
      </c>
      <c r="K1468" s="1" t="str">
        <f t="shared" si="91"/>
        <v>Tablespace utilization from MAX is too high (over {$ORACLE.TBS.USED.PCT.FROM.MAX.WARN}% for 5m).</v>
      </c>
    </row>
    <row r="1469" spans="1:11">
      <c r="A1469" s="1">
        <v>2812</v>
      </c>
      <c r="B1469" s="1" t="s">
        <v>9605</v>
      </c>
      <c r="C1469" s="1" t="s">
        <v>9468</v>
      </c>
      <c r="D1469" s="1" t="s">
        <v>3989</v>
      </c>
      <c r="E1469" s="1" t="s">
        <v>9610</v>
      </c>
      <c r="F1469" s="1" t="s">
        <v>4017</v>
      </c>
      <c r="G1469" s="1" t="s">
        <v>9611</v>
      </c>
      <c r="H1469" s="1" t="str">
        <f t="shared" si="88"/>
        <v/>
      </c>
      <c r="I1469" s="1" t="str">
        <f t="shared" si="89"/>
        <v/>
      </c>
      <c r="J1469" s="1" t="str">
        <f t="shared" si="90"/>
        <v>Oracle TBS '{#TABLESPACE}'：表空间利用率过高（超过{ORACLE.TBS.USED.PCT.FROM.MAX.HIGH}%达5分钟）.</v>
      </c>
      <c r="K1469" s="1" t="str">
        <f t="shared" si="91"/>
        <v>Tablespace utilization from MAX is too high (over {$ORACLE.TBS.USED.PCT.FROM.MAX.HIGH}% for 5m).</v>
      </c>
    </row>
    <row r="1470" spans="1:11">
      <c r="A1470" s="1">
        <v>2813</v>
      </c>
      <c r="B1470" s="1" t="s">
        <v>9605</v>
      </c>
      <c r="C1470" s="1" t="s">
        <v>9603</v>
      </c>
      <c r="D1470" s="1" t="s">
        <v>3989</v>
      </c>
      <c r="E1470" s="1" t="s">
        <v>382</v>
      </c>
      <c r="F1470" s="1" t="s">
        <v>4021</v>
      </c>
      <c r="G1470" s="1" t="s">
        <v>4022</v>
      </c>
      <c r="H1470" s="1" t="str">
        <f t="shared" si="88"/>
        <v/>
      </c>
      <c r="I1470" s="1" t="str">
        <f t="shared" si="89"/>
        <v/>
      </c>
      <c r="J1470" s="1" t="str">
        <f t="shared" si="90"/>
        <v>OracleTBS"{#TABLESPACE}": 表空间使用率太高(超过{$ORACLE.TBS.USED.PCT.MAX.HIGH}%达5分钟).</v>
      </c>
      <c r="K1470" s="1" t="str">
        <f t="shared" si="91"/>
        <v>Tablespace usage is too high (over {$ORACLE.TBS.USED.PCT.MAX.HIGH}% for 5m).</v>
      </c>
    </row>
    <row r="1471" spans="1:11">
      <c r="A1471" s="1">
        <v>2814</v>
      </c>
      <c r="B1471" s="1" t="s">
        <v>9605</v>
      </c>
      <c r="C1471" s="1" t="s">
        <v>9604</v>
      </c>
      <c r="D1471" s="1" t="s">
        <v>3989</v>
      </c>
      <c r="E1471" s="1" t="s">
        <v>7867</v>
      </c>
      <c r="F1471" s="1" t="s">
        <v>4025</v>
      </c>
      <c r="G1471" s="1" t="s">
        <v>4026</v>
      </c>
      <c r="H1471" s="1" t="str">
        <f t="shared" si="88"/>
        <v/>
      </c>
      <c r="I1471" s="1" t="str">
        <f t="shared" si="89"/>
        <v/>
      </c>
      <c r="J1471" s="1" t="str">
        <f t="shared" si="90"/>
        <v>OracleTBS"{#TABLESPACE}": 表空间使用率太高(超过{$ORACLE.TBS.USED.PCT.MAX.WARN}%达5分钟).</v>
      </c>
      <c r="K1471" s="1" t="str">
        <f t="shared" si="91"/>
        <v>Tablespace usage is too high (over {$ORACLE.TBS.USED.PCT.MAX.WARN}% for 5m).</v>
      </c>
    </row>
    <row r="1472" spans="1:11">
      <c r="A1472" s="1">
        <v>2815</v>
      </c>
      <c r="B1472" s="1" t="s">
        <v>9612</v>
      </c>
      <c r="C1472" s="1" t="s">
        <v>9252</v>
      </c>
      <c r="D1472" s="1" t="s">
        <v>4028</v>
      </c>
      <c r="E1472" s="1" t="s">
        <v>4029</v>
      </c>
      <c r="F1472" s="1" t="s">
        <v>4030</v>
      </c>
      <c r="G1472" s="1" t="s">
        <v>4031</v>
      </c>
      <c r="H1472" s="1" t="str">
        <f t="shared" si="88"/>
        <v>PFSense</v>
      </c>
      <c r="I1472" s="1" t="str">
        <f t="shared" si="89"/>
        <v>接口[{#IFNAME}({#IFALIAS})]: 入方向带宽使用率高了(&gt;{$IF.UTIL.MAX: "{#IFNAME}"}%)</v>
      </c>
      <c r="J1472" s="1" t="str">
        <f t="shared" si="90"/>
        <v>PFSense: 接口[{#IFNAME}({#IFALIAS})]: 入方向带宽使用率高了(&gt;{$IF.UTIL.MAX: "{#IFNAME}"}%)</v>
      </c>
      <c r="K1472" s="1" t="str">
        <f t="shared" si="91"/>
        <v>Interface [{#IFNAME}({#IFALIAS})]: High inbound bandwidth usage ( &gt; {$IF.UTIL.MAX:"{#IFNAME}"}% )</v>
      </c>
    </row>
    <row r="1473" spans="1:11">
      <c r="A1473" s="1">
        <v>2816</v>
      </c>
      <c r="B1473" s="1" t="s">
        <v>9612</v>
      </c>
      <c r="C1473" s="1" t="s">
        <v>9253</v>
      </c>
      <c r="D1473" s="1" t="s">
        <v>4028</v>
      </c>
      <c r="E1473" s="1" t="s">
        <v>4033</v>
      </c>
      <c r="F1473" s="1" t="s">
        <v>4034</v>
      </c>
      <c r="G1473" s="1" t="s">
        <v>4035</v>
      </c>
      <c r="H1473" s="1" t="str">
        <f t="shared" si="88"/>
        <v>PFSense</v>
      </c>
      <c r="I1473" s="1" t="str">
        <f t="shared" si="89"/>
        <v>接口[{#IFNAME}({#IFALIAS})]: 出方向带宽使用率高了(&gt;{$IF.UTIL.MAX: "{#IFNAME}"}%)</v>
      </c>
      <c r="J1473" s="1" t="str">
        <f t="shared" si="90"/>
        <v>PFSense: 接口[{#IFNAME}({#IFALIAS})]: 出方向带宽使用率高了(&gt;{$IF.UTIL.MAX: "{#IFNAME}"}%)</v>
      </c>
      <c r="K1473" s="1" t="str">
        <f t="shared" si="91"/>
        <v>Interface [{#IFNAME}({#IFALIAS})]: High outbound bandwidth usage ( &gt; {$IF.UTIL.MAX:"{#IFNAME}"}% )</v>
      </c>
    </row>
    <row r="1474" spans="1:11">
      <c r="A1474" s="1">
        <v>2817</v>
      </c>
      <c r="B1474" s="1" t="s">
        <v>9612</v>
      </c>
      <c r="C1474" s="1" t="s">
        <v>9407</v>
      </c>
      <c r="D1474" s="1" t="s">
        <v>4028</v>
      </c>
      <c r="E1474" s="1" t="s">
        <v>4037</v>
      </c>
      <c r="F1474" s="1" t="s">
        <v>4038</v>
      </c>
      <c r="G1474" s="1" t="s">
        <v>4039</v>
      </c>
      <c r="H1474" s="1" t="str">
        <f t="shared" ref="H1474:H1537" si="92">IFERROR(IF(OR(MID(G1474,FIND(":",G1474)-1,1)="""",MID(G1474,FIND(":",G1474)-1,1)="}",MID(G1474,FIND(":",G1474)-1,1)=")",MID(G1474,FIND(":",G1474)-1,1)="]"),"",LEFT(F1474,FIND(":",F1474)-1)),"")</f>
        <v>PFSense</v>
      </c>
      <c r="I1474" s="1" t="str">
        <f t="shared" ref="I1474:I1537" si="93">IFERROR(IF(OR(MID(G1474,FIND(":",G1474)-1,1)="""",MID(G1474,FIND(":",G1474)-1,1)="}",MID(G1474,FIND(":",G1474)-1,1)=")",MID(G1474,FIND(":",G1474)-1,1)="]"),"",RIGHT(G1474,LEN(G1474)-FIND(":",G1474)-1)),"")</f>
        <v>接口[{#IFNAME}({#IFALIAS})]: 输入错误率高了(&gt;{$IF.ERRORS.WARN: "{#IFNAME}"}达5分钟)</v>
      </c>
      <c r="J1474" s="1" t="str">
        <f t="shared" ref="J1474:J1537" si="94">IF(AND(I1474="",H1474=""),G1474,H1474&amp;": "&amp;I1474)</f>
        <v>PFSense: 接口[{#IFNAME}({#IFALIAS})]: 输入错误率高了(&gt;{$IF.ERRORS.WARN: "{#IFNAME}"}达5分钟)</v>
      </c>
      <c r="K1474" s="1" t="str">
        <f t="shared" ref="K1474:K1537" si="95">IFERROR(IF(OR(MID(F1474,FIND(":",F1474)-1,1)="""",MID(F1474,FIND(":",F1474)-1,1)="}",MID(F1474,FIND(":",F1474)-1,1)=")",MID(F1474,FIND(":",F1474)-1,1)="]"),"",RIGHT(F1474,LEN(F1474)-FIND(":",F1474)-1)),"")</f>
        <v>Interface [{#IFNAME}({#IFALIAS})]: High input error rate ( &gt; {$IF.ERRORS.WARN:"{#IFNAME}"} for 5m)</v>
      </c>
    </row>
    <row r="1475" spans="1:11">
      <c r="A1475" s="1">
        <v>2820</v>
      </c>
      <c r="B1475" s="1" t="s">
        <v>9612</v>
      </c>
      <c r="C1475" s="1" t="s">
        <v>9257</v>
      </c>
      <c r="D1475" s="1" t="s">
        <v>4028</v>
      </c>
      <c r="E1475" s="1" t="s">
        <v>4041</v>
      </c>
      <c r="F1475" s="1" t="s">
        <v>4042</v>
      </c>
      <c r="G1475" s="1" t="s">
        <v>4043</v>
      </c>
      <c r="H1475" s="1" t="str">
        <f t="shared" si="92"/>
        <v>PFSense</v>
      </c>
      <c r="I1475" s="1" t="str">
        <f t="shared" si="93"/>
        <v>接口[{#IFNAME}({#IFALIAS})]: 输出错误率高了(&gt;{$IF.ERRORS.WARN: "{#IFNAME}"}达5分钟)</v>
      </c>
      <c r="J1475" s="1" t="str">
        <f t="shared" si="94"/>
        <v>PFSense: 接口[{#IFNAME}({#IFALIAS})]: 输出错误率高了(&gt;{$IF.ERRORS.WARN: "{#IFNAME}"}达5分钟)</v>
      </c>
      <c r="K1475" s="1" t="str">
        <f t="shared" si="95"/>
        <v>Interface [{#IFNAME}({#IFALIAS})]: High output error rate ( &gt; {$IF.ERRORS.WARN:"{#IFNAME}"} for 5m)</v>
      </c>
    </row>
    <row r="1476" spans="1:11">
      <c r="A1476" s="1">
        <v>2821</v>
      </c>
      <c r="B1476" s="1" t="s">
        <v>9613</v>
      </c>
      <c r="C1476" s="1" t="s">
        <v>9159</v>
      </c>
      <c r="D1476" s="1" t="s">
        <v>7883</v>
      </c>
      <c r="E1476" s="1" t="s">
        <v>7884</v>
      </c>
      <c r="F1476" s="1" t="s">
        <v>7885</v>
      </c>
      <c r="G1476" s="1" t="s">
        <v>9614</v>
      </c>
      <c r="H1476" s="1" t="str">
        <f t="shared" si="92"/>
        <v/>
      </c>
      <c r="I1476" s="1" t="str">
        <f t="shared" si="93"/>
        <v/>
      </c>
      <c r="J1476" s="1" t="str">
        <f t="shared" si="94"/>
        <v>PHP-FPM：无法获取信息数据（或30分钟内无数据）</v>
      </c>
      <c r="K1476" s="1" t="str">
        <f t="shared" si="95"/>
        <v>Failed to fetch info data (or no data for 30m)</v>
      </c>
    </row>
    <row r="1477" spans="1:11">
      <c r="A1477" s="1">
        <v>2824</v>
      </c>
      <c r="B1477" s="1" t="s">
        <v>9615</v>
      </c>
      <c r="C1477" s="1" t="s">
        <v>9159</v>
      </c>
      <c r="D1477" s="1" t="s">
        <v>4045</v>
      </c>
      <c r="E1477" s="1" t="s">
        <v>3899</v>
      </c>
      <c r="F1477" s="1" t="s">
        <v>4047</v>
      </c>
      <c r="G1477" s="1" t="s">
        <v>9616</v>
      </c>
      <c r="H1477" s="1" t="str">
        <f t="shared" si="92"/>
        <v/>
      </c>
      <c r="I1477" s="1" t="str">
        <f t="shared" si="93"/>
        <v/>
      </c>
      <c r="J1477" s="1" t="str">
        <f t="shared" si="94"/>
        <v>DB [{#DBNAME}]:恢复冲突太多(5分钟内超过 {$PG.CONFLICTS.MAX.WARN:"{#DBNAME}"})</v>
      </c>
      <c r="K1477" s="1" t="str">
        <f t="shared" si="95"/>
        <v/>
      </c>
    </row>
    <row r="1478" spans="1:11">
      <c r="A1478" s="1">
        <v>2825</v>
      </c>
      <c r="B1478" s="1" t="s">
        <v>9615</v>
      </c>
      <c r="C1478" s="1" t="s">
        <v>9161</v>
      </c>
      <c r="D1478" s="1" t="s">
        <v>4045</v>
      </c>
      <c r="E1478" s="1" t="s">
        <v>3903</v>
      </c>
      <c r="F1478" s="1" t="s">
        <v>4051</v>
      </c>
      <c r="G1478" s="1" t="s">
        <v>9617</v>
      </c>
      <c r="H1478" s="1" t="str">
        <f t="shared" si="92"/>
        <v/>
      </c>
      <c r="I1478" s="1" t="str">
        <f t="shared" si="93"/>
        <v/>
      </c>
      <c r="J1478" s="1" t="str">
        <f t="shared" si="94"/>
        <v>DB [{#DBNAME}]:发生死锁(5分钟内超过 {$PG.DEADLOCKS.MAX.WARN:"{#DBNAME}"})</v>
      </c>
      <c r="K1478" s="1" t="str">
        <f t="shared" si="95"/>
        <v/>
      </c>
    </row>
    <row r="1479" spans="1:11">
      <c r="A1479" s="1">
        <v>2826</v>
      </c>
      <c r="B1479" s="1" t="s">
        <v>9615</v>
      </c>
      <c r="C1479" s="1" t="s">
        <v>9162</v>
      </c>
      <c r="D1479" s="1" t="s">
        <v>4045</v>
      </c>
      <c r="E1479" s="1" t="s">
        <v>9618</v>
      </c>
      <c r="F1479" s="1" t="s">
        <v>4055</v>
      </c>
      <c r="G1479" s="1" t="s">
        <v>9619</v>
      </c>
      <c r="H1479" s="1" t="str">
        <f t="shared" si="92"/>
        <v/>
      </c>
      <c r="I1479" s="1" t="str">
        <f t="shared" si="93"/>
        <v/>
      </c>
      <c r="J1479" s="1" t="str">
        <f t="shared" si="94"/>
        <v>DB [{#DBNAME}]:慢查询太多(5分钟内超过 {$PG.SLOW_QUERIES.MAX.WARN:"{#DBNAME}"})</v>
      </c>
      <c r="K1479" s="1" t="str">
        <f t="shared" si="95"/>
        <v/>
      </c>
    </row>
    <row r="1480" spans="1:11">
      <c r="A1480" s="1">
        <v>2827</v>
      </c>
      <c r="B1480" s="1" t="s">
        <v>9620</v>
      </c>
      <c r="C1480" s="1" t="s">
        <v>9553</v>
      </c>
      <c r="D1480" s="1" t="s">
        <v>4058</v>
      </c>
      <c r="E1480" s="1" t="s">
        <v>4059</v>
      </c>
      <c r="F1480" s="1" t="s">
        <v>4047</v>
      </c>
      <c r="G1480" s="1" t="s">
        <v>9616</v>
      </c>
      <c r="H1480" s="1" t="str">
        <f t="shared" si="92"/>
        <v/>
      </c>
      <c r="I1480" s="1" t="str">
        <f t="shared" si="93"/>
        <v/>
      </c>
      <c r="J1480" s="1" t="str">
        <f t="shared" si="94"/>
        <v>DB [{#DBNAME}]:恢复冲突太多(5分钟内超过 {$PG.CONFLICTS.MAX.WARN:"{#DBNAME}"})</v>
      </c>
      <c r="K1480" s="1" t="str">
        <f t="shared" si="95"/>
        <v/>
      </c>
    </row>
    <row r="1481" spans="1:11">
      <c r="A1481" s="1">
        <v>2828</v>
      </c>
      <c r="B1481" s="1" t="s">
        <v>9620</v>
      </c>
      <c r="C1481" s="1" t="s">
        <v>9290</v>
      </c>
      <c r="D1481" s="1" t="s">
        <v>4058</v>
      </c>
      <c r="E1481" s="1" t="s">
        <v>4061</v>
      </c>
      <c r="F1481" s="1" t="s">
        <v>4051</v>
      </c>
      <c r="G1481" s="1" t="s">
        <v>9617</v>
      </c>
      <c r="H1481" s="1" t="str">
        <f t="shared" si="92"/>
        <v/>
      </c>
      <c r="I1481" s="1" t="str">
        <f t="shared" si="93"/>
        <v/>
      </c>
      <c r="J1481" s="1" t="str">
        <f t="shared" si="94"/>
        <v>DB [{#DBNAME}]:发生死锁(5分钟内超过 {$PG.DEADLOCKS.MAX.WARN:"{#DBNAME}"})</v>
      </c>
      <c r="K1481" s="1" t="str">
        <f t="shared" si="95"/>
        <v/>
      </c>
    </row>
    <row r="1482" spans="1:11">
      <c r="A1482" s="1">
        <v>2829</v>
      </c>
      <c r="B1482" s="1" t="s">
        <v>9620</v>
      </c>
      <c r="C1482" s="1" t="s">
        <v>9291</v>
      </c>
      <c r="D1482" s="1" t="s">
        <v>4058</v>
      </c>
      <c r="E1482" s="1" t="s">
        <v>4063</v>
      </c>
      <c r="F1482" s="1" t="s">
        <v>4064</v>
      </c>
      <c r="G1482" s="1" t="s">
        <v>9621</v>
      </c>
      <c r="H1482" s="1" t="str">
        <f t="shared" si="92"/>
        <v/>
      </c>
      <c r="I1482" s="1" t="str">
        <f t="shared" si="93"/>
        <v/>
      </c>
      <c r="J1482" s="1" t="str">
        <f t="shared" si="94"/>
        <v>DB [{#DBNAME}]:需要 VACUUM FREEZE 来防止环绕(冻结的 XID 小于 {$PG.FROZENXID_PCT_STOP.MIN.HIGH:"{#DBNAME}"} %)</v>
      </c>
      <c r="K1482" s="1" t="str">
        <f t="shared" si="95"/>
        <v/>
      </c>
    </row>
    <row r="1483" spans="1:11">
      <c r="A1483" s="1">
        <v>2830</v>
      </c>
      <c r="B1483" s="1" t="s">
        <v>9620</v>
      </c>
      <c r="C1483" s="1" t="s">
        <v>9554</v>
      </c>
      <c r="D1483" s="1" t="s">
        <v>4058</v>
      </c>
      <c r="E1483" s="1" t="s">
        <v>4067</v>
      </c>
      <c r="F1483" s="1" t="s">
        <v>4068</v>
      </c>
      <c r="G1483" s="1" t="s">
        <v>9622</v>
      </c>
      <c r="H1483" s="1" t="str">
        <f t="shared" si="92"/>
        <v/>
      </c>
      <c r="I1483" s="1" t="str">
        <f t="shared" si="93"/>
        <v/>
      </c>
      <c r="J1483" s="1" t="str">
        <f t="shared" si="94"/>
        <v>DB [{#DBNAME}]:锁数量过高(5分钟内超过 {$PG.LOCKS.MAX.WARN:"{#DBNAME}"})</v>
      </c>
      <c r="K1483" s="1" t="str">
        <f t="shared" si="95"/>
        <v/>
      </c>
    </row>
    <row r="1484" spans="1:11">
      <c r="A1484" s="1">
        <v>2831</v>
      </c>
      <c r="B1484" s="1" t="s">
        <v>9620</v>
      </c>
      <c r="C1484" s="1" t="s">
        <v>9555</v>
      </c>
      <c r="D1484" s="1" t="s">
        <v>4058</v>
      </c>
      <c r="E1484" s="1" t="s">
        <v>4071</v>
      </c>
      <c r="F1484" s="1" t="s">
        <v>4055</v>
      </c>
      <c r="G1484" s="1" t="s">
        <v>9619</v>
      </c>
      <c r="H1484" s="1" t="str">
        <f t="shared" si="92"/>
        <v/>
      </c>
      <c r="I1484" s="1" t="str">
        <f t="shared" si="93"/>
        <v/>
      </c>
      <c r="J1484" s="1" t="str">
        <f t="shared" si="94"/>
        <v>DB [{#DBNAME}]:慢查询太多(5分钟内超过 {$PG.SLOW_QUERIES.MAX.WARN:"{#DBNAME}"})</v>
      </c>
      <c r="K1484" s="1" t="str">
        <f t="shared" si="95"/>
        <v/>
      </c>
    </row>
    <row r="1485" spans="1:11">
      <c r="A1485" s="1">
        <v>2833</v>
      </c>
      <c r="B1485" s="1" t="s">
        <v>9623</v>
      </c>
      <c r="C1485" s="1" t="s">
        <v>9207</v>
      </c>
      <c r="D1485" s="1" t="s">
        <v>4073</v>
      </c>
      <c r="E1485" s="1" t="s">
        <v>4074</v>
      </c>
      <c r="F1485" s="1" t="s">
        <v>4047</v>
      </c>
      <c r="G1485" s="1" t="s">
        <v>9616</v>
      </c>
      <c r="H1485" s="1" t="str">
        <f t="shared" si="92"/>
        <v/>
      </c>
      <c r="I1485" s="1" t="str">
        <f t="shared" si="93"/>
        <v/>
      </c>
      <c r="J1485" s="1" t="str">
        <f t="shared" si="94"/>
        <v>DB [{#DBNAME}]:恢复冲突太多(5分钟内超过 {$PG.CONFLICTS.MAX.WARN:"{#DBNAME}"})</v>
      </c>
      <c r="K1485" s="1" t="str">
        <f t="shared" si="95"/>
        <v/>
      </c>
    </row>
    <row r="1486" spans="1:11">
      <c r="A1486" s="1">
        <v>2834</v>
      </c>
      <c r="B1486" s="1" t="s">
        <v>9623</v>
      </c>
      <c r="C1486" s="1" t="s">
        <v>9068</v>
      </c>
      <c r="D1486" s="1" t="s">
        <v>4073</v>
      </c>
      <c r="E1486" s="1" t="s">
        <v>4076</v>
      </c>
      <c r="F1486" s="1" t="s">
        <v>4051</v>
      </c>
      <c r="G1486" s="1" t="s">
        <v>9617</v>
      </c>
      <c r="H1486" s="1" t="str">
        <f t="shared" si="92"/>
        <v/>
      </c>
      <c r="I1486" s="1" t="str">
        <f t="shared" si="93"/>
        <v/>
      </c>
      <c r="J1486" s="1" t="str">
        <f t="shared" si="94"/>
        <v>DB [{#DBNAME}]:发生死锁(5分钟内超过 {$PG.DEADLOCKS.MAX.WARN:"{#DBNAME}"})</v>
      </c>
      <c r="K1486" s="1" t="str">
        <f t="shared" si="95"/>
        <v/>
      </c>
    </row>
    <row r="1487" spans="1:11">
      <c r="A1487" s="1">
        <v>2835</v>
      </c>
      <c r="B1487" s="1" t="s">
        <v>9623</v>
      </c>
      <c r="C1487" s="1" t="s">
        <v>9071</v>
      </c>
      <c r="D1487" s="1" t="s">
        <v>4073</v>
      </c>
      <c r="E1487" s="1" t="s">
        <v>7943</v>
      </c>
      <c r="F1487" s="1" t="s">
        <v>4055</v>
      </c>
      <c r="G1487" s="1" t="s">
        <v>9619</v>
      </c>
      <c r="H1487" s="1" t="str">
        <f t="shared" si="92"/>
        <v/>
      </c>
      <c r="I1487" s="1" t="str">
        <f t="shared" si="93"/>
        <v/>
      </c>
      <c r="J1487" s="1" t="str">
        <f t="shared" si="94"/>
        <v>DB [{#DBNAME}]:慢查询太多(5分钟内超过 {$PG.SLOW_QUERIES.MAX.WARN:"{#DBNAME}"})</v>
      </c>
      <c r="K1487" s="1" t="str">
        <f t="shared" si="95"/>
        <v/>
      </c>
    </row>
    <row r="1488" spans="1:11">
      <c r="A1488" s="1">
        <v>2837</v>
      </c>
      <c r="B1488" s="1" t="s">
        <v>9624</v>
      </c>
      <c r="C1488" s="1" t="s">
        <v>9100</v>
      </c>
      <c r="D1488" s="1" t="s">
        <v>4080</v>
      </c>
      <c r="E1488" s="1" t="s">
        <v>7963</v>
      </c>
      <c r="F1488" s="1" t="s">
        <v>4082</v>
      </c>
      <c r="G1488" s="1" t="s">
        <v>4083</v>
      </c>
      <c r="H1488" s="1" t="str">
        <f t="shared" si="92"/>
        <v>Proxmox</v>
      </c>
      <c r="I1488" s="1" t="str">
        <f t="shared" si="93"/>
        <v>LXC[{#NODE.NAME}/{#LXC.NAME}({#LXC.ID})]CPU使用率高了(超过{$PVE.LXC.CPU.PUSE.MAX.WARN: "{#LXC.ID}"}%的使用率)</v>
      </c>
      <c r="J1488" s="1" t="str">
        <f t="shared" si="94"/>
        <v>Proxmox: LXC[{#NODE.NAME}/{#LXC.NAME}({#LXC.ID})]CPU使用率高了(超过{$PVE.LXC.CPU.PUSE.MAX.WARN: "{#LXC.ID}"}%的使用率)</v>
      </c>
      <c r="K1488" s="1" t="str">
        <f t="shared" si="95"/>
        <v>LXC [{#NODE.NAME}/{#LXC.NAME} ({#LXC.ID})] high CPU usage (over {$PVE.LXC.CPU.PUSE.MAX.WARN:"{#LXC.ID}"}% use)</v>
      </c>
    </row>
    <row r="1489" spans="1:11">
      <c r="A1489" s="1">
        <v>2838</v>
      </c>
      <c r="B1489" s="1" t="s">
        <v>9624</v>
      </c>
      <c r="C1489" s="1" t="s">
        <v>9102</v>
      </c>
      <c r="D1489" s="1" t="s">
        <v>4080</v>
      </c>
      <c r="E1489" s="1" t="s">
        <v>7971</v>
      </c>
      <c r="F1489" s="1" t="s">
        <v>4086</v>
      </c>
      <c r="G1489" s="1" t="s">
        <v>4087</v>
      </c>
      <c r="H1489" s="1" t="str">
        <f t="shared" si="92"/>
        <v>Proxmox</v>
      </c>
      <c r="I1489" s="1" t="str">
        <f t="shared" si="93"/>
        <v>LXC[{#NODE.NAME}/{#LXC.NAME}({#LXC.ID})]内存使用率高了(超过{$PVE.LXC.MEMORY.PUSE.MAX.WARN: "{#LXC.ID}"}%的使用率)</v>
      </c>
      <c r="J1489" s="1" t="str">
        <f t="shared" si="94"/>
        <v>Proxmox: LXC[{#NODE.NAME}/{#LXC.NAME}({#LXC.ID})]内存使用率高了(超过{$PVE.LXC.MEMORY.PUSE.MAX.WARN: "{#LXC.ID}"}%的使用率)</v>
      </c>
      <c r="K1489" s="1" t="str">
        <f t="shared" si="95"/>
        <v>LXC [{#NODE.NAME}/{#LXC.NAME} ({#LXC.ID})] high memory usage (over {$PVE.LXC.MEMORY.PUSE.MAX.WARN:"{#LXC.ID}"}% use)</v>
      </c>
    </row>
    <row r="1490" spans="1:11">
      <c r="A1490" s="1">
        <v>2840</v>
      </c>
      <c r="B1490" s="1" t="s">
        <v>9624</v>
      </c>
      <c r="C1490" s="1" t="s">
        <v>9106</v>
      </c>
      <c r="D1490" s="1" t="s">
        <v>4080</v>
      </c>
      <c r="E1490" s="1" t="s">
        <v>7975</v>
      </c>
      <c r="F1490" s="1" t="s">
        <v>4090</v>
      </c>
      <c r="G1490" s="1" t="s">
        <v>4091</v>
      </c>
      <c r="H1490" s="1" t="str">
        <f t="shared" si="92"/>
        <v>Proxmox</v>
      </c>
      <c r="I1490" s="1" t="str">
        <f t="shared" si="93"/>
        <v>LXC[{#NODE.NAME}/{#LXC.NAME}]: 已重启(正常运行时间&lt;10分钟)</v>
      </c>
      <c r="J1490" s="1" t="str">
        <f t="shared" si="94"/>
        <v>Proxmox: LXC[{#NODE.NAME}/{#LXC.NAME}]: 已重启(正常运行时间&lt;10分钟)</v>
      </c>
      <c r="K1490" s="1" t="str">
        <f t="shared" si="95"/>
        <v>LXC [{#NODE.NAME}/{#LXC.NAME}]: has been restarted (uptime &lt; 10m)</v>
      </c>
    </row>
    <row r="1491" spans="1:11">
      <c r="A1491" s="1">
        <v>2841</v>
      </c>
      <c r="B1491" s="1" t="s">
        <v>9624</v>
      </c>
      <c r="C1491" s="1" t="s">
        <v>9108</v>
      </c>
      <c r="D1491" s="1" t="s">
        <v>4080</v>
      </c>
      <c r="E1491" s="1" t="s">
        <v>7979</v>
      </c>
      <c r="F1491" s="1" t="s">
        <v>4094</v>
      </c>
      <c r="G1491" s="1" t="s">
        <v>4095</v>
      </c>
      <c r="H1491" s="1" t="str">
        <f t="shared" si="92"/>
        <v>Proxmox</v>
      </c>
      <c r="I1491" s="1" t="str">
        <f t="shared" si="93"/>
        <v>节点[{#NODE.NAME}]CPU使用率高了(超过{$PVE.CPU.PUSE.MAX.WARN: "{#NODE.NAME}"}%的使用率)</v>
      </c>
      <c r="J1491" s="1" t="str">
        <f t="shared" si="94"/>
        <v>Proxmox: 节点[{#NODE.NAME}]CPU使用率高了(超过{$PVE.CPU.PUSE.MAX.WARN: "{#NODE.NAME}"}%的使用率)</v>
      </c>
      <c r="K1491" s="1" t="str">
        <f t="shared" si="95"/>
        <v>Node [{#NODE.NAME}] high CPU usage (over {$PVE.CPU.PUSE.MAX.WARN:"{#NODE.NAME}"}% use)</v>
      </c>
    </row>
    <row r="1492" spans="1:11">
      <c r="A1492" s="1">
        <v>2843</v>
      </c>
      <c r="B1492" s="1" t="s">
        <v>9624</v>
      </c>
      <c r="C1492" s="1" t="s">
        <v>9112</v>
      </c>
      <c r="D1492" s="1" t="s">
        <v>4080</v>
      </c>
      <c r="E1492" s="1" t="s">
        <v>7986</v>
      </c>
      <c r="F1492" s="1" t="s">
        <v>4098</v>
      </c>
      <c r="G1492" s="1" t="s">
        <v>4099</v>
      </c>
      <c r="H1492" s="1" t="str">
        <f t="shared" si="92"/>
        <v>Proxmox</v>
      </c>
      <c r="I1492" s="1" t="str">
        <f t="shared" si="93"/>
        <v>节点[{#NODE.NAME}]内存使用率高了(超过{$PVE.MEMORY.PUSE.MAX.WARN: "{#NODE.NAME}"}%的使用率)</v>
      </c>
      <c r="J1492" s="1" t="str">
        <f t="shared" si="94"/>
        <v>Proxmox: 节点[{#NODE.NAME}]内存使用率高了(超过{$PVE.MEMORY.PUSE.MAX.WARN: "{#NODE.NAME}"}%的使用率)</v>
      </c>
      <c r="K1492" s="1" t="str">
        <f t="shared" si="95"/>
        <v>Node [{#NODE.NAME}] high memory usage (over {$PVE.MEMORY.PUSE.MAX.WARN:"{#NODE.NAME}"}% use)</v>
      </c>
    </row>
    <row r="1493" spans="1:11">
      <c r="A1493" s="1">
        <v>2845</v>
      </c>
      <c r="B1493" s="1" t="s">
        <v>9624</v>
      </c>
      <c r="C1493" s="1" t="s">
        <v>9115</v>
      </c>
      <c r="D1493" s="1" t="s">
        <v>4080</v>
      </c>
      <c r="E1493" s="1" t="s">
        <v>7990</v>
      </c>
      <c r="F1493" s="1" t="s">
        <v>4102</v>
      </c>
      <c r="G1493" s="1" t="s">
        <v>4103</v>
      </c>
      <c r="H1493" s="1" t="str">
        <f t="shared" si="92"/>
        <v>Proxmox</v>
      </c>
      <c r="I1493" s="1" t="str">
        <f t="shared" si="93"/>
        <v>节点[{#NODE.NAME}]根文件系统空间使用率高了(超过{$PVE.ROOT.PUSE.MAX.WARN: "{#NODE.NAME}"}%的使用率)</v>
      </c>
      <c r="J1493" s="1" t="str">
        <f t="shared" si="94"/>
        <v>Proxmox: 节点[{#NODE.NAME}]根文件系统空间使用率高了(超过{$PVE.ROOT.PUSE.MAX.WARN: "{#NODE.NAME}"}%的使用率)</v>
      </c>
      <c r="K1493" s="1" t="str">
        <f t="shared" si="95"/>
        <v>Node [{#NODE.NAME}] high root filesystem space usage (over {$PVE.ROOT.PUSE.MAX.WARN:"{#NODE.NAME}"}% use)</v>
      </c>
    </row>
    <row r="1494" spans="1:11">
      <c r="A1494" s="1">
        <v>2847</v>
      </c>
      <c r="B1494" s="1" t="s">
        <v>9624</v>
      </c>
      <c r="C1494" s="1" t="s">
        <v>9119</v>
      </c>
      <c r="D1494" s="1" t="s">
        <v>4080</v>
      </c>
      <c r="E1494" s="1" t="s">
        <v>7994</v>
      </c>
      <c r="F1494" s="1" t="s">
        <v>4106</v>
      </c>
      <c r="G1494" s="1" t="s">
        <v>9625</v>
      </c>
      <c r="H1494" s="1" t="str">
        <f t="shared" si="92"/>
        <v>Proxmox</v>
      </c>
      <c r="I1494" s="1" t="str">
        <f t="shared" si="93"/>
        <v>{#NODE.NAME}"}% 使用率）</v>
      </c>
      <c r="J1494" s="1" t="str">
        <f t="shared" si="94"/>
        <v>Proxmox: {#NODE.NAME}"}% 使用率）</v>
      </c>
      <c r="K1494" s="1" t="str">
        <f t="shared" si="95"/>
        <v>Node [{#NODE.NAME}] high swap space usage (over {$PVE.SWAP.PUSE.MAX.WARN:"{#NODE.NAME}"}% use)</v>
      </c>
    </row>
    <row r="1495" spans="1:11">
      <c r="A1495" s="1">
        <v>2848</v>
      </c>
      <c r="B1495" s="1" t="s">
        <v>9624</v>
      </c>
      <c r="C1495" s="1" t="s">
        <v>9120</v>
      </c>
      <c r="D1495" s="1" t="s">
        <v>4080</v>
      </c>
      <c r="E1495" s="1" t="s">
        <v>7998</v>
      </c>
      <c r="F1495" s="1" t="s">
        <v>4110</v>
      </c>
      <c r="G1495" s="1" t="s">
        <v>4111</v>
      </c>
      <c r="H1495" s="1" t="str">
        <f t="shared" si="92"/>
        <v>Proxmox</v>
      </c>
      <c r="I1495" s="1" t="str">
        <f t="shared" si="93"/>
        <v>节点[{#NODE.NAME}]: 已重新启动(正常运行时间&lt;10分钟)</v>
      </c>
      <c r="J1495" s="1" t="str">
        <f t="shared" si="94"/>
        <v>Proxmox: 节点[{#NODE.NAME}]: 已重新启动(正常运行时间&lt;10分钟)</v>
      </c>
      <c r="K1495" s="1" t="str">
        <f t="shared" si="95"/>
        <v>Node [{#NODE.NAME}]: has been restarted (uptime &lt; 10m)</v>
      </c>
    </row>
    <row r="1496" spans="1:11">
      <c r="A1496" s="1">
        <v>2849</v>
      </c>
      <c r="B1496" s="1" t="s">
        <v>9624</v>
      </c>
      <c r="C1496" s="1" t="s">
        <v>9121</v>
      </c>
      <c r="D1496" s="1" t="s">
        <v>4080</v>
      </c>
      <c r="E1496" s="1" t="s">
        <v>3929</v>
      </c>
      <c r="F1496" s="1" t="s">
        <v>4114</v>
      </c>
      <c r="G1496" s="1" t="s">
        <v>4115</v>
      </c>
      <c r="H1496" s="1" t="str">
        <f t="shared" si="92"/>
        <v>Proxmox</v>
      </c>
      <c r="I1496" s="1" t="str">
        <f t="shared" si="93"/>
        <v>存储[{#NODE.NAME}/{#STORAGE.NAME}]文件系统空间使用率高了(超过{$PVE.STORAGE.PUSE.MAX.WARN: "{#NODE.NAME}/{#STORAGE.NAME}"}%的使用率)</v>
      </c>
      <c r="J1496" s="1" t="str">
        <f t="shared" si="94"/>
        <v>Proxmox: 存储[{#NODE.NAME}/{#STORAGE.NAME}]文件系统空间使用率高了(超过{$PVE.STORAGE.PUSE.MAX.WARN: "{#NODE.NAME}/{#STORAGE.NAME}"}%的使用率)</v>
      </c>
      <c r="K1496" s="1" t="str">
        <f t="shared" si="95"/>
        <v>Storage [{#NODE.NAME}/{#STORAGE.NAME}] high filesystem space usage (over {$PVE.STORAGE.PUSE.MAX.WARN:"{#NODE.NAME}/{#STORAGE.NAME}"}% use)</v>
      </c>
    </row>
    <row r="1497" spans="1:11">
      <c r="A1497" s="1">
        <v>2850</v>
      </c>
      <c r="B1497" s="1" t="s">
        <v>9624</v>
      </c>
      <c r="C1497" s="1" t="s">
        <v>9122</v>
      </c>
      <c r="D1497" s="1" t="s">
        <v>4080</v>
      </c>
      <c r="E1497" s="1" t="s">
        <v>1703</v>
      </c>
      <c r="F1497" s="1" t="s">
        <v>4118</v>
      </c>
      <c r="G1497" s="1" t="s">
        <v>4119</v>
      </c>
      <c r="H1497" s="1" t="str">
        <f t="shared" si="92"/>
        <v>Proxmox</v>
      </c>
      <c r="I1497" s="1" t="str">
        <f t="shared" si="93"/>
        <v>VM[{#NODE.NAME}/{#QEMU.NAME}({#QEMU.ID})]CPU使用率高了(超过{$PVE.VM.CPU.PUSE.MAX.WARN: "{#QEMU.ID}"}%使用率)</v>
      </c>
      <c r="J1497" s="1" t="str">
        <f t="shared" si="94"/>
        <v>Proxmox: VM[{#NODE.NAME}/{#QEMU.NAME}({#QEMU.ID})]CPU使用率高了(超过{$PVE.VM.CPU.PUSE.MAX.WARN: "{#QEMU.ID}"}%使用率)</v>
      </c>
      <c r="K1497" s="1" t="str">
        <f t="shared" si="95"/>
        <v>VM [{#NODE.NAME}/{#QEMU.NAME} ({#QEMU.ID})] high CPU usage (over {$PVE.VM.CPU.PUSE.MAX.WARN:"{#QEMU.ID}"}% use)</v>
      </c>
    </row>
    <row r="1498" spans="1:11">
      <c r="A1498" s="1">
        <v>2851</v>
      </c>
      <c r="B1498" s="1" t="s">
        <v>9624</v>
      </c>
      <c r="C1498" s="1" t="s">
        <v>9123</v>
      </c>
      <c r="D1498" s="1" t="s">
        <v>4080</v>
      </c>
      <c r="E1498" s="1" t="s">
        <v>1139</v>
      </c>
      <c r="F1498" s="1" t="s">
        <v>4122</v>
      </c>
      <c r="G1498" s="1" t="s">
        <v>4123</v>
      </c>
      <c r="H1498" s="1" t="str">
        <f t="shared" si="92"/>
        <v>Proxmox</v>
      </c>
      <c r="I1498" s="1" t="str">
        <f t="shared" si="93"/>
        <v>VM[{#NODE.NAME}/{#QEMU.NAME}({#QEMU.ID})]内存使用率高了(超过{$PVE.VM.MEMORY.PUSE.MAX.WARN: "{#QEMU.ID}"}%的使用率)</v>
      </c>
      <c r="J1498" s="1" t="str">
        <f t="shared" si="94"/>
        <v>Proxmox: VM[{#NODE.NAME}/{#QEMU.NAME}({#QEMU.ID})]内存使用率高了(超过{$PVE.VM.MEMORY.PUSE.MAX.WARN: "{#QEMU.ID}"}%的使用率)</v>
      </c>
      <c r="K1498" s="1" t="str">
        <f t="shared" si="95"/>
        <v>VM [{#NODE.NAME}/{#QEMU.NAME} ({#QEMU.ID})] high memory usage (over {$PVE.VM.MEMORY.PUSE.MAX.WARN:"{#QEMU.ID}"}% use)</v>
      </c>
    </row>
    <row r="1499" spans="1:11">
      <c r="A1499" s="1">
        <v>2853</v>
      </c>
      <c r="B1499" s="1" t="s">
        <v>9624</v>
      </c>
      <c r="C1499" s="1" t="s">
        <v>9125</v>
      </c>
      <c r="D1499" s="1" t="s">
        <v>4080</v>
      </c>
      <c r="E1499" s="1" t="s">
        <v>8008</v>
      </c>
      <c r="F1499" s="1" t="s">
        <v>4126</v>
      </c>
      <c r="G1499" s="1" t="s">
        <v>4127</v>
      </c>
      <c r="H1499" s="1" t="str">
        <f t="shared" si="92"/>
        <v>Proxmox</v>
      </c>
      <c r="I1499" s="1" t="str">
        <f t="shared" si="93"/>
        <v>VM[{#NODE.NAME}/{#QEMU.NAME}]: 已重新启动(正常运行时间&lt;10分钟)</v>
      </c>
      <c r="J1499" s="1" t="str">
        <f t="shared" si="94"/>
        <v>Proxmox: VM[{#NODE.NAME}/{#QEMU.NAME}]: 已重新启动(正常运行时间&lt;10分钟)</v>
      </c>
      <c r="K1499" s="1" t="str">
        <f t="shared" si="95"/>
        <v>VM [{#NODE.NAME}/{#QEMU.NAME}]: has been restarted (uptime &lt; 10m)</v>
      </c>
    </row>
    <row r="1500" spans="1:11">
      <c r="A1500" s="1">
        <v>2854</v>
      </c>
      <c r="B1500" s="1" t="s">
        <v>9626</v>
      </c>
      <c r="C1500" s="1" t="s">
        <v>9131</v>
      </c>
      <c r="D1500" s="1" t="s">
        <v>4129</v>
      </c>
      <c r="E1500" s="1" t="s">
        <v>4130</v>
      </c>
      <c r="F1500" s="1" t="s">
        <v>161</v>
      </c>
      <c r="G1500" s="1" t="s">
        <v>162</v>
      </c>
      <c r="H1500" s="1" t="str">
        <f t="shared" si="92"/>
        <v/>
      </c>
      <c r="I1500" s="1" t="str">
        <f t="shared" si="93"/>
        <v/>
      </c>
      <c r="J1500" s="1" t="str">
        <f t="shared" si="94"/>
        <v>接口{#IFNAME}({#IFALIAS}): 带宽使用率太高(&gt;{$IF.UTIL.MAX: "{#IFNAME}"}%)</v>
      </c>
      <c r="K1500" s="1" t="str">
        <f t="shared" si="95"/>
        <v/>
      </c>
    </row>
    <row r="1501" spans="1:11">
      <c r="A1501" s="1">
        <v>2856</v>
      </c>
      <c r="B1501" s="1" t="s">
        <v>9626</v>
      </c>
      <c r="C1501" s="1" t="s">
        <v>9133</v>
      </c>
      <c r="D1501" s="1" t="s">
        <v>4129</v>
      </c>
      <c r="E1501" s="1" t="s">
        <v>4132</v>
      </c>
      <c r="F1501" s="1" t="s">
        <v>165</v>
      </c>
      <c r="G1501" s="1" t="s">
        <v>166</v>
      </c>
      <c r="H1501" s="1" t="str">
        <f t="shared" si="92"/>
        <v/>
      </c>
      <c r="I1501" s="1" t="str">
        <f t="shared" si="93"/>
        <v/>
      </c>
      <c r="J1501" s="1" t="str">
        <f t="shared" si="94"/>
        <v>接口{#IFNAME}({#IFALIAS}): 错误率太高(&gt;{$IF.ERRORS.WARN: "{#IFNAME}"}达5分钟)</v>
      </c>
      <c r="K1501" s="1" t="str">
        <f t="shared" si="95"/>
        <v/>
      </c>
    </row>
    <row r="1502" spans="1:11">
      <c r="A1502" s="1">
        <v>2867</v>
      </c>
      <c r="B1502" s="1" t="s">
        <v>9627</v>
      </c>
      <c r="C1502" s="1" t="s">
        <v>9137</v>
      </c>
      <c r="D1502" s="1" t="s">
        <v>4134</v>
      </c>
      <c r="E1502" s="1" t="s">
        <v>4135</v>
      </c>
      <c r="F1502" s="1" t="s">
        <v>4136</v>
      </c>
      <c r="G1502" s="1" t="s">
        <v>4137</v>
      </c>
      <c r="H1502" s="1" t="str">
        <f t="shared" si="92"/>
        <v>RabbitMQ</v>
      </c>
      <c r="I1502" s="1" t="str">
        <f t="shared" si="93"/>
        <v>队列[{#VHOST}][{#QUEUE}]中的消息太多(超过{$RABBITMQ.MESSAGES.MAX.WARN: "{#QUEUE}"}达5分钟)</v>
      </c>
      <c r="J1502" s="1" t="str">
        <f t="shared" si="94"/>
        <v>RabbitMQ: 队列[{#VHOST}][{#QUEUE}]中的消息太多(超过{$RABBITMQ.MESSAGES.MAX.WARN: "{#QUEUE}"}达5分钟)</v>
      </c>
      <c r="K1502" s="1" t="str">
        <f t="shared" si="95"/>
        <v>Too many messages in queue [{#VHOST}][{#QUEUE}] (over {$RABBITMQ.MESSAGES.MAX.WARN:"{#QUEUE}"} for 5m)</v>
      </c>
    </row>
    <row r="1503" spans="1:11">
      <c r="A1503" s="1">
        <v>2868</v>
      </c>
      <c r="B1503" s="1" t="s">
        <v>9628</v>
      </c>
      <c r="C1503" s="1" t="s">
        <v>9178</v>
      </c>
      <c r="D1503" s="1" t="s">
        <v>4139</v>
      </c>
      <c r="E1503" s="1" t="s">
        <v>8040</v>
      </c>
      <c r="F1503" s="1" t="s">
        <v>9629</v>
      </c>
      <c r="G1503" s="1" t="s">
        <v>9630</v>
      </c>
      <c r="H1503" s="1" t="str">
        <f t="shared" si="92"/>
        <v/>
      </c>
      <c r="I1503" s="1" t="str">
        <f t="shared" si="93"/>
        <v/>
      </c>
      <c r="J1503" s="1" t="str">
        <f t="shared" si="94"/>
        <v>RabbitMQ：无法获取节点数据（或30分钟内无数据）</v>
      </c>
      <c r="K1503" s="1" t="str">
        <f t="shared" si="95"/>
        <v>Failed to fetch nodes data (or no data for 30m)</v>
      </c>
    </row>
    <row r="1504" spans="1:11">
      <c r="A1504" s="1">
        <v>2877</v>
      </c>
      <c r="B1504" s="1" t="s">
        <v>9628</v>
      </c>
      <c r="C1504" s="1" t="s">
        <v>9094</v>
      </c>
      <c r="D1504" s="1" t="s">
        <v>4139</v>
      </c>
      <c r="E1504" s="1" t="s">
        <v>8036</v>
      </c>
      <c r="F1504" s="1" t="s">
        <v>9631</v>
      </c>
      <c r="G1504" s="1" t="s">
        <v>9632</v>
      </c>
      <c r="H1504" s="1" t="str">
        <f t="shared" si="92"/>
        <v/>
      </c>
      <c r="I1504" s="1" t="str">
        <f t="shared" si="93"/>
        <v/>
      </c>
      <c r="J1504" s="1" t="str">
        <f t="shared" si="94"/>
        <v>RabbitMQ：服务响应时间过高（5分钟内超过{$RABBITMQ.RESPONSE_TIME.MAX.WARN}秒）</v>
      </c>
      <c r="K1504" s="1" t="str">
        <f t="shared" si="95"/>
        <v>Service response time is too high (over {$RABBITMQ.RESPONSE_TIME.MAX.WARN}s for 5m)</v>
      </c>
    </row>
    <row r="1505" spans="1:11">
      <c r="A1505" s="1">
        <v>2879</v>
      </c>
      <c r="B1505" s="1" t="s">
        <v>9628</v>
      </c>
      <c r="C1505" s="1" t="s">
        <v>9096</v>
      </c>
      <c r="D1505" s="1" t="s">
        <v>4139</v>
      </c>
      <c r="E1505" s="1" t="s">
        <v>4140</v>
      </c>
      <c r="F1505" s="1" t="s">
        <v>4136</v>
      </c>
      <c r="G1505" s="1" t="s">
        <v>4137</v>
      </c>
      <c r="H1505" s="1" t="str">
        <f t="shared" si="92"/>
        <v>RabbitMQ</v>
      </c>
      <c r="I1505" s="1" t="str">
        <f t="shared" si="93"/>
        <v>队列[{#VHOST}][{#QUEUE}]中的消息太多(超过{$RABBITMQ.MESSAGES.MAX.WARN: "{#QUEUE}"}达5分钟)</v>
      </c>
      <c r="J1505" s="1" t="str">
        <f t="shared" si="94"/>
        <v>RabbitMQ: 队列[{#VHOST}][{#QUEUE}]中的消息太多(超过{$RABBITMQ.MESSAGES.MAX.WARN: "{#QUEUE}"}达5分钟)</v>
      </c>
      <c r="K1505" s="1" t="str">
        <f t="shared" si="95"/>
        <v>Too many messages in queue [{#VHOST}][{#QUEUE}] (over {$RABBITMQ.MESSAGES.MAX.WARN:"{#QUEUE}"} for 5m)</v>
      </c>
    </row>
    <row r="1506" spans="1:11">
      <c r="A1506" s="1">
        <v>2880</v>
      </c>
      <c r="B1506" s="1" t="s">
        <v>9633</v>
      </c>
      <c r="C1506" s="1" t="s">
        <v>9159</v>
      </c>
      <c r="D1506" s="1" t="s">
        <v>4142</v>
      </c>
      <c r="E1506" s="1" t="s">
        <v>4143</v>
      </c>
      <c r="F1506" s="1" t="s">
        <v>4144</v>
      </c>
      <c r="G1506" s="1" t="s">
        <v>4145</v>
      </c>
      <c r="H1506" s="1" t="str">
        <f t="shared" si="92"/>
        <v>Redis</v>
      </c>
      <c r="I1506" s="1" t="str">
        <f t="shared" si="93"/>
        <v>与master的复制延迟太高(5分钟内超过{$REDIS.REPL.LAG.MAX.WARN})</v>
      </c>
      <c r="J1506" s="1" t="str">
        <f t="shared" si="94"/>
        <v>Redis: 与master的复制延迟太高(5分钟内超过{$REDIS.REPL.LAG.MAX.WARN})</v>
      </c>
      <c r="K1506" s="1" t="str">
        <f t="shared" si="95"/>
        <v>Replication lag with master is too high (over {$REDIS.REPL.LAG.MAX.WARN} in 5m)</v>
      </c>
    </row>
    <row r="1507" spans="1:11">
      <c r="A1507" s="1">
        <v>2881</v>
      </c>
      <c r="B1507" s="1" t="s">
        <v>9633</v>
      </c>
      <c r="C1507" s="1" t="s">
        <v>9161</v>
      </c>
      <c r="D1507" s="1" t="s">
        <v>4142</v>
      </c>
      <c r="E1507" s="1" t="s">
        <v>4147</v>
      </c>
      <c r="F1507" s="1" t="s">
        <v>4148</v>
      </c>
      <c r="G1507" s="1" t="s">
        <v>4149</v>
      </c>
      <c r="H1507" s="1" t="str">
        <f t="shared" si="92"/>
        <v>Redis</v>
      </c>
      <c r="I1507" s="1" t="str">
        <f t="shared" si="93"/>
        <v>内存使用率太高(5分钟内超过{$REDIS.MEM.PUSED.MAX.WARN}%)</v>
      </c>
      <c r="J1507" s="1" t="str">
        <f t="shared" si="94"/>
        <v>Redis: 内存使用率太高(5分钟内超过{$REDIS.MEM.PUSED.MAX.WARN}%)</v>
      </c>
      <c r="K1507" s="1" t="str">
        <f t="shared" si="95"/>
        <v>Memory usage is too high (over {$REDIS.MEM.PUSED.MAX.WARN}% in 5m)</v>
      </c>
    </row>
    <row r="1508" spans="1:11">
      <c r="A1508" s="1">
        <v>2886</v>
      </c>
      <c r="B1508" s="1" t="s">
        <v>9634</v>
      </c>
      <c r="C1508" s="1" t="s">
        <v>9554</v>
      </c>
      <c r="D1508" s="1" t="s">
        <v>8047</v>
      </c>
      <c r="E1508" s="1" t="s">
        <v>8048</v>
      </c>
      <c r="F1508" s="1" t="s">
        <v>9635</v>
      </c>
      <c r="G1508" s="1" t="s">
        <v>9636</v>
      </c>
      <c r="H1508" s="1" t="str">
        <f t="shared" si="92"/>
        <v/>
      </c>
      <c r="I1508" s="1" t="str">
        <f t="shared" si="93"/>
        <v/>
      </c>
      <c r="J1508" s="1" t="str">
        <f t="shared" si="94"/>
        <v>代理[{#PROXY.NAME}]: Zabbix代理最后出现时间超过{$PROXY.LAST_SEEN.MAX}秒前</v>
      </c>
      <c r="K1508" s="1" t="str">
        <f t="shared" si="95"/>
        <v/>
      </c>
    </row>
    <row r="1509" spans="1:11">
      <c r="A1509" s="1">
        <v>2898</v>
      </c>
      <c r="B1509" s="1" t="s">
        <v>9637</v>
      </c>
      <c r="C1509" s="1" t="s">
        <v>9352</v>
      </c>
      <c r="D1509" s="1" t="s">
        <v>4151</v>
      </c>
      <c r="E1509" s="1" t="s">
        <v>8052</v>
      </c>
      <c r="F1509" s="1" t="s">
        <v>4153</v>
      </c>
      <c r="G1509" s="1" t="s">
        <v>4154</v>
      </c>
      <c r="H1509" s="1" t="str">
        <f t="shared" si="92"/>
        <v/>
      </c>
      <c r="I1509" s="1" t="str">
        <f t="shared" si="93"/>
        <v/>
      </c>
      <c r="J1509" s="1" t="str">
        <f t="shared" si="94"/>
        <v>SMART[{#NAME}]: 磁盘已更换(收到新序列号)</v>
      </c>
      <c r="K1509" s="1" t="str">
        <f t="shared" si="95"/>
        <v/>
      </c>
    </row>
    <row r="1510" spans="1:11">
      <c r="A1510" s="1">
        <v>2899</v>
      </c>
      <c r="B1510" s="1" t="s">
        <v>9637</v>
      </c>
      <c r="C1510" s="1" t="s">
        <v>9354</v>
      </c>
      <c r="D1510" s="1" t="s">
        <v>4151</v>
      </c>
      <c r="E1510" s="1" t="s">
        <v>8056</v>
      </c>
      <c r="F1510" s="1" t="s">
        <v>4157</v>
      </c>
      <c r="G1510" s="1" t="s">
        <v>4158</v>
      </c>
      <c r="H1510" s="1" t="str">
        <f t="shared" si="92"/>
        <v/>
      </c>
      <c r="I1510" s="1" t="str">
        <f t="shared" si="93"/>
        <v/>
      </c>
      <c r="J1510" s="1" t="str">
        <f t="shared" si="94"/>
        <v>SMART[{#NAME}]: 平均磁盘温度严重告警(超过{$SMART.TEMPERATURE.MAX.CRIT}°C达5分钟)</v>
      </c>
      <c r="K1510" s="1" t="str">
        <f t="shared" si="95"/>
        <v/>
      </c>
    </row>
    <row r="1511" spans="1:11">
      <c r="A1511" s="1">
        <v>2900</v>
      </c>
      <c r="B1511" s="1" t="s">
        <v>9637</v>
      </c>
      <c r="C1511" s="1" t="s">
        <v>9357</v>
      </c>
      <c r="D1511" s="1" t="s">
        <v>4151</v>
      </c>
      <c r="E1511" s="1" t="s">
        <v>8060</v>
      </c>
      <c r="F1511" s="1" t="s">
        <v>4161</v>
      </c>
      <c r="G1511" s="1" t="s">
        <v>4162</v>
      </c>
      <c r="H1511" s="1" t="str">
        <f t="shared" si="92"/>
        <v/>
      </c>
      <c r="I1511" s="1" t="str">
        <f t="shared" si="93"/>
        <v/>
      </c>
      <c r="J1511" s="1" t="str">
        <f t="shared" si="94"/>
        <v>SMART[{#NAME}]: 平均磁盘温度太高(超过{$SMART.TEMPERATURE.MAX.WARN}°C达5分钟)</v>
      </c>
      <c r="K1511" s="1" t="str">
        <f t="shared" si="95"/>
        <v/>
      </c>
    </row>
    <row r="1512" spans="1:11">
      <c r="A1512" s="1">
        <v>2911</v>
      </c>
      <c r="B1512" s="1" t="s">
        <v>9638</v>
      </c>
      <c r="C1512" s="1" t="s">
        <v>9352</v>
      </c>
      <c r="D1512" s="1" t="s">
        <v>4164</v>
      </c>
      <c r="E1512" s="1" t="s">
        <v>8064</v>
      </c>
      <c r="F1512" s="1" t="s">
        <v>4153</v>
      </c>
      <c r="G1512" s="1" t="s">
        <v>4154</v>
      </c>
      <c r="H1512" s="1" t="str">
        <f t="shared" si="92"/>
        <v/>
      </c>
      <c r="I1512" s="1" t="str">
        <f t="shared" si="93"/>
        <v/>
      </c>
      <c r="J1512" s="1" t="str">
        <f t="shared" si="94"/>
        <v>SMART[{#NAME}]: 磁盘已更换(收到新序列号)</v>
      </c>
      <c r="K1512" s="1" t="str">
        <f t="shared" si="95"/>
        <v/>
      </c>
    </row>
    <row r="1513" spans="1:11">
      <c r="A1513" s="1">
        <v>2912</v>
      </c>
      <c r="B1513" s="1" t="s">
        <v>9638</v>
      </c>
      <c r="C1513" s="1" t="s">
        <v>9354</v>
      </c>
      <c r="D1513" s="1" t="s">
        <v>4164</v>
      </c>
      <c r="E1513" s="1" t="s">
        <v>8066</v>
      </c>
      <c r="F1513" s="1" t="s">
        <v>4157</v>
      </c>
      <c r="G1513" s="1" t="s">
        <v>4158</v>
      </c>
      <c r="H1513" s="1" t="str">
        <f t="shared" si="92"/>
        <v/>
      </c>
      <c r="I1513" s="1" t="str">
        <f t="shared" si="93"/>
        <v/>
      </c>
      <c r="J1513" s="1" t="str">
        <f t="shared" si="94"/>
        <v>SMART[{#NAME}]: 平均磁盘温度严重告警(超过{$SMART.TEMPERATURE.MAX.CRIT}°C达5分钟)</v>
      </c>
      <c r="K1513" s="1" t="str">
        <f t="shared" si="95"/>
        <v/>
      </c>
    </row>
    <row r="1514" spans="1:11">
      <c r="A1514" s="1">
        <v>2913</v>
      </c>
      <c r="B1514" s="1" t="s">
        <v>9638</v>
      </c>
      <c r="C1514" s="1" t="s">
        <v>9357</v>
      </c>
      <c r="D1514" s="1" t="s">
        <v>4164</v>
      </c>
      <c r="E1514" s="1" t="s">
        <v>8068</v>
      </c>
      <c r="F1514" s="1" t="s">
        <v>4161</v>
      </c>
      <c r="G1514" s="1" t="s">
        <v>4162</v>
      </c>
      <c r="H1514" s="1" t="str">
        <f t="shared" si="92"/>
        <v/>
      </c>
      <c r="I1514" s="1" t="str">
        <f t="shared" si="93"/>
        <v/>
      </c>
      <c r="J1514" s="1" t="str">
        <f t="shared" si="94"/>
        <v>SMART[{#NAME}]: 平均磁盘温度太高(超过{$SMART.TEMPERATURE.MAX.WARN}°C达5分钟)</v>
      </c>
      <c r="K1514" s="1" t="str">
        <f t="shared" si="95"/>
        <v/>
      </c>
    </row>
    <row r="1515" spans="1:11">
      <c r="A1515" s="1">
        <v>2917</v>
      </c>
      <c r="B1515" s="1" t="s">
        <v>9639</v>
      </c>
      <c r="C1515" s="1" t="s">
        <v>9159</v>
      </c>
      <c r="D1515" s="1" t="s">
        <v>4171</v>
      </c>
      <c r="E1515" s="1" t="s">
        <v>4172</v>
      </c>
      <c r="F1515" s="1" t="s">
        <v>421</v>
      </c>
      <c r="G1515" s="1" t="s">
        <v>422</v>
      </c>
      <c r="H1515" s="1" t="str">
        <f t="shared" si="92"/>
        <v/>
      </c>
      <c r="I1515" s="1" t="str">
        <f t="shared" si="93"/>
        <v/>
      </c>
      <c r="J1515" s="1" t="str">
        <f t="shared" si="94"/>
        <v>{#SENSOR_DESCR}: 温度高于临界阈值: &gt;{$TEMP_CRIT: "{#SENSOR_DESCR}"}</v>
      </c>
      <c r="K1515" s="1" t="str">
        <f t="shared" si="95"/>
        <v/>
      </c>
    </row>
    <row r="1516" spans="1:11">
      <c r="A1516" s="1">
        <v>2918</v>
      </c>
      <c r="B1516" s="1" t="s">
        <v>9639</v>
      </c>
      <c r="C1516" s="1" t="s">
        <v>9161</v>
      </c>
      <c r="D1516" s="1" t="s">
        <v>4171</v>
      </c>
      <c r="E1516" s="1" t="s">
        <v>4174</v>
      </c>
      <c r="F1516" s="1" t="s">
        <v>425</v>
      </c>
      <c r="G1516" s="1" t="s">
        <v>426</v>
      </c>
      <c r="H1516" s="1" t="str">
        <f t="shared" si="92"/>
        <v/>
      </c>
      <c r="I1516" s="1" t="str">
        <f t="shared" si="93"/>
        <v/>
      </c>
      <c r="J1516" s="1" t="str">
        <f t="shared" si="94"/>
        <v>{#SENSOR_DESCR}: 温度高于告警阈值: &gt;{$TEMP_WARN: "{#SENSOR_DESCR}"}</v>
      </c>
      <c r="K1516" s="1" t="str">
        <f t="shared" si="95"/>
        <v/>
      </c>
    </row>
    <row r="1517" spans="1:11">
      <c r="A1517" s="1">
        <v>2919</v>
      </c>
      <c r="B1517" s="1" t="s">
        <v>9639</v>
      </c>
      <c r="C1517" s="1" t="s">
        <v>9162</v>
      </c>
      <c r="D1517" s="1" t="s">
        <v>4171</v>
      </c>
      <c r="E1517" s="1" t="s">
        <v>4176</v>
      </c>
      <c r="F1517" s="1" t="s">
        <v>429</v>
      </c>
      <c r="G1517" s="1" t="s">
        <v>430</v>
      </c>
      <c r="H1517" s="1" t="str">
        <f t="shared" si="92"/>
        <v/>
      </c>
      <c r="I1517" s="1" t="str">
        <f t="shared" si="93"/>
        <v/>
      </c>
      <c r="J1517" s="1" t="str">
        <f t="shared" si="94"/>
        <v>{#SENSOR_DESCR}: 温度太低: &lt;{$TEMP_CRIT_LOW: "{#SENSOR_DESCR}"}</v>
      </c>
      <c r="K1517" s="1" t="str">
        <f t="shared" si="95"/>
        <v/>
      </c>
    </row>
    <row r="1518" spans="1:11">
      <c r="A1518" s="1">
        <v>2921</v>
      </c>
      <c r="B1518" s="1" t="s">
        <v>9640</v>
      </c>
      <c r="C1518" s="1" t="s">
        <v>9081</v>
      </c>
      <c r="D1518" s="1" t="s">
        <v>4178</v>
      </c>
      <c r="E1518" s="1" t="s">
        <v>4179</v>
      </c>
      <c r="F1518" s="1" t="s">
        <v>4180</v>
      </c>
      <c r="G1518" s="1" t="s">
        <v>4181</v>
      </c>
      <c r="H1518" s="1" t="str">
        <f t="shared" si="92"/>
        <v/>
      </c>
      <c r="I1518" s="1" t="str">
        <f t="shared" si="93"/>
        <v/>
      </c>
      <c r="J1518" s="1" t="str">
        <f t="shared" si="94"/>
        <v>{#UNIT.NAME}: 已重启(正常运行时间&lt;10分钟)</v>
      </c>
      <c r="K1518" s="1" t="str">
        <f t="shared" si="95"/>
        <v/>
      </c>
    </row>
    <row r="1519" spans="1:11">
      <c r="A1519" s="1">
        <v>2922</v>
      </c>
      <c r="B1519" s="1" t="s">
        <v>9641</v>
      </c>
      <c r="C1519" s="1" t="s">
        <v>9252</v>
      </c>
      <c r="D1519" s="1" t="s">
        <v>4183</v>
      </c>
      <c r="E1519" s="1" t="s">
        <v>4184</v>
      </c>
      <c r="F1519" s="1" t="s">
        <v>4185</v>
      </c>
      <c r="G1519" s="1" t="s">
        <v>4186</v>
      </c>
      <c r="H1519" s="1" t="str">
        <f t="shared" si="92"/>
        <v/>
      </c>
      <c r="I1519" s="1" t="str">
        <f t="shared" si="93"/>
        <v/>
      </c>
      <c r="J1519" s="1" t="str">
        <f t="shared" si="94"/>
        <v>#{#SNMPVALUE}: CPU使用率太高(超过{$CPU.UTIL.CRIT}%达5分钟)</v>
      </c>
      <c r="K1519" s="1" t="str">
        <f t="shared" si="95"/>
        <v/>
      </c>
    </row>
    <row r="1520" spans="1:11">
      <c r="A1520" s="1">
        <v>2923</v>
      </c>
      <c r="B1520" s="1" t="s">
        <v>9641</v>
      </c>
      <c r="C1520" s="1" t="s">
        <v>9253</v>
      </c>
      <c r="D1520" s="1" t="s">
        <v>4183</v>
      </c>
      <c r="E1520" s="1" t="s">
        <v>4188</v>
      </c>
      <c r="F1520" s="1" t="s">
        <v>906</v>
      </c>
      <c r="G1520" s="1" t="s">
        <v>907</v>
      </c>
      <c r="H1520" s="1" t="str">
        <f t="shared" si="92"/>
        <v/>
      </c>
      <c r="I1520" s="1" t="str">
        <f t="shared" si="93"/>
        <v/>
      </c>
      <c r="J1520" s="1" t="str">
        <f t="shared" si="94"/>
        <v>#{#SNMPVALUE}: 内存利用率高了(&gt;{$MEMORY.UTIL.MAX}%达5分钟)</v>
      </c>
      <c r="K1520" s="1" t="str">
        <f t="shared" si="95"/>
        <v/>
      </c>
    </row>
    <row r="1521" spans="1:11">
      <c r="A1521" s="1">
        <v>2924</v>
      </c>
      <c r="B1521" s="1" t="s">
        <v>9641</v>
      </c>
      <c r="C1521" s="1" t="s">
        <v>9407</v>
      </c>
      <c r="D1521" s="1" t="s">
        <v>4183</v>
      </c>
      <c r="E1521" s="1" t="s">
        <v>4190</v>
      </c>
      <c r="F1521" s="1" t="s">
        <v>9576</v>
      </c>
      <c r="G1521" s="1" t="s">
        <v>9577</v>
      </c>
      <c r="H1521" s="1" t="str">
        <f t="shared" si="92"/>
        <v/>
      </c>
      <c r="I1521" s="1" t="str">
        <f t="shared" si="93"/>
        <v/>
      </c>
      <c r="J1521" s="1" t="str">
        <f t="shared" si="94"/>
        <v>接口{#IFDESCR}: 带宽使用率高了(&gt;{$IF.UTIL.MAX: "{#IFNAME}"}%)</v>
      </c>
      <c r="K1521" s="1" t="str">
        <f t="shared" si="95"/>
        <v/>
      </c>
    </row>
    <row r="1522" spans="1:11">
      <c r="A1522" s="1">
        <v>2925</v>
      </c>
      <c r="B1522" s="1" t="s">
        <v>9641</v>
      </c>
      <c r="C1522" s="1" t="s">
        <v>9408</v>
      </c>
      <c r="D1522" s="1" t="s">
        <v>4183</v>
      </c>
      <c r="E1522" s="1" t="s">
        <v>4192</v>
      </c>
      <c r="F1522" s="1" t="s">
        <v>9578</v>
      </c>
      <c r="G1522" s="1" t="s">
        <v>9579</v>
      </c>
      <c r="H1522" s="1" t="str">
        <f t="shared" si="92"/>
        <v/>
      </c>
      <c r="I1522" s="1" t="str">
        <f t="shared" si="93"/>
        <v/>
      </c>
      <c r="J1522" s="1" t="str">
        <f t="shared" si="94"/>
        <v>接口{#IFDESCR}: 错误率高了(&gt;{$IF.ERRORS.WARN: "{#IFNAME}"}达5分钟)</v>
      </c>
      <c r="K1522" s="1" t="str">
        <f t="shared" si="95"/>
        <v/>
      </c>
    </row>
    <row r="1523" spans="1:11">
      <c r="A1523" s="1">
        <v>2932</v>
      </c>
      <c r="B1523" s="1" t="s">
        <v>9642</v>
      </c>
      <c r="C1523" s="1" t="s">
        <v>9255</v>
      </c>
      <c r="D1523" s="1" t="s">
        <v>4194</v>
      </c>
      <c r="E1523" s="1" t="s">
        <v>4195</v>
      </c>
      <c r="F1523" s="1" t="s">
        <v>4196</v>
      </c>
      <c r="G1523" s="1" t="s">
        <v>4197</v>
      </c>
      <c r="H1523" s="1" t="str">
        <f t="shared" si="92"/>
        <v>TiDB cluster</v>
      </c>
      <c r="I1523" s="1" t="str">
        <f t="shared" si="93"/>
        <v>遗漏区域太多(5分钟内超过{$PD.MISS_REGION.MAX.WARN})</v>
      </c>
      <c r="J1523" s="1" t="str">
        <f t="shared" si="94"/>
        <v>TiDB cluster: 遗漏区域太多(5分钟内超过{$PD.MISS_REGION.MAX.WARN})</v>
      </c>
      <c r="K1523" s="1" t="str">
        <f t="shared" si="95"/>
        <v>Too many missed regions (over {$PD.MISS_REGION.MAX.WARN} in 5m)</v>
      </c>
    </row>
    <row r="1524" spans="1:11">
      <c r="A1524" s="1">
        <v>2933</v>
      </c>
      <c r="B1524" s="1" t="s">
        <v>9642</v>
      </c>
      <c r="C1524" s="1" t="s">
        <v>9257</v>
      </c>
      <c r="D1524" s="1" t="s">
        <v>4194</v>
      </c>
      <c r="E1524" s="1" t="s">
        <v>4199</v>
      </c>
      <c r="F1524" s="1" t="s">
        <v>4200</v>
      </c>
      <c r="G1524" s="1" t="s">
        <v>4201</v>
      </c>
      <c r="H1524" s="1" t="str">
        <f t="shared" si="92"/>
        <v>TiDB cluster</v>
      </c>
      <c r="I1524" s="1" t="str">
        <f t="shared" si="93"/>
        <v>当前存储使用率太高(超过{$PD.STORAGE_USAGE.MAX.WARN}%达5分钟)</v>
      </c>
      <c r="J1524" s="1" t="str">
        <f t="shared" si="94"/>
        <v>TiDB cluster: 当前存储使用率太高(超过{$PD.STORAGE_USAGE.MAX.WARN}%达5分钟)</v>
      </c>
      <c r="K1524" s="1" t="str">
        <f t="shared" si="95"/>
        <v>Current storage usage is too high (over {$PD.STORAGE_USAGE.MAX.WARN}% for 5m)</v>
      </c>
    </row>
    <row r="1525" spans="1:11">
      <c r="A1525" s="1">
        <v>2934</v>
      </c>
      <c r="B1525" s="1" t="s">
        <v>9643</v>
      </c>
      <c r="C1525" s="1" t="s">
        <v>9334</v>
      </c>
      <c r="D1525" s="1" t="s">
        <v>4203</v>
      </c>
      <c r="E1525" s="1" t="s">
        <v>4204</v>
      </c>
      <c r="F1525" s="1" t="s">
        <v>4205</v>
      </c>
      <c r="G1525" s="1" t="s">
        <v>4206</v>
      </c>
      <c r="H1525" s="1" t="str">
        <f t="shared" si="92"/>
        <v>TiKV</v>
      </c>
      <c r="I1525" s="1" t="str">
        <f t="shared" si="93"/>
        <v>Store_id{#STORE_ID}: 失败消息"{#TYPE}"过多(5分钟内超过{$TIKV.STORE.ERRORS.MAX.WARN})</v>
      </c>
      <c r="J1525" s="1" t="str">
        <f t="shared" si="94"/>
        <v>TiKV: Store_id{#STORE_ID}: 失败消息"{#TYPE}"过多(5分钟内超过{$TIKV.STORE.ERRORS.MAX.WARN})</v>
      </c>
      <c r="K1525" s="1" t="str">
        <f t="shared" si="95"/>
        <v>Store_id {#STORE_ID}: Too many failure messages "{#TYPE}" (over {$TIKV.STORE.ERRORS.MAX.WARN} in 5m)</v>
      </c>
    </row>
    <row r="1526" spans="1:11">
      <c r="A1526" s="1">
        <v>2935</v>
      </c>
      <c r="B1526" s="1" t="s">
        <v>9644</v>
      </c>
      <c r="C1526" s="1" t="s">
        <v>9334</v>
      </c>
      <c r="D1526" s="1" t="s">
        <v>4208</v>
      </c>
      <c r="E1526" s="1" t="s">
        <v>4209</v>
      </c>
      <c r="F1526" s="1" t="s">
        <v>4210</v>
      </c>
      <c r="G1526" s="1" t="s">
        <v>4211</v>
      </c>
      <c r="H1526" s="1" t="str">
        <f t="shared" si="92"/>
        <v>TiDB</v>
      </c>
      <c r="I1526" s="1" t="str">
        <f t="shared" si="93"/>
        <v>太多失败的GC相关操作(5分钟内超过{$TIDB.GC_ACTIONS.ERRORS.MAX.WARN})</v>
      </c>
      <c r="J1526" s="1" t="str">
        <f t="shared" si="94"/>
        <v>TiDB: 太多失败的GC相关操作(5分钟内超过{$TIDB.GC_ACTIONS.ERRORS.MAX.WARN})</v>
      </c>
      <c r="K1526" s="1" t="str">
        <f t="shared" si="95"/>
        <v>Too many failed GC-related operations (over {$TIDB.GC_ACTIONS.ERRORS.MAX.WARN} in 5m)</v>
      </c>
    </row>
    <row r="1527" spans="1:11">
      <c r="A1527" s="1">
        <v>2936</v>
      </c>
      <c r="B1527" s="1" t="s">
        <v>9645</v>
      </c>
      <c r="C1527" s="1" t="s">
        <v>9078</v>
      </c>
      <c r="D1527" s="1" t="s">
        <v>4213</v>
      </c>
      <c r="E1527" s="1" t="s">
        <v>4214</v>
      </c>
      <c r="F1527" s="1" t="s">
        <v>4215</v>
      </c>
      <c r="G1527" s="1" t="s">
        <v>4216</v>
      </c>
      <c r="H1527" s="1" t="str">
        <f t="shared" si="92"/>
        <v>Travis</v>
      </c>
      <c r="I1527" s="1" t="str">
        <f t="shared" si="93"/>
        <v>Repo[{#SLUG}]: 成功构建的百分比&lt;{$TRAVIS.BUILDS.SUCCESS.PERCENT}%</v>
      </c>
      <c r="J1527" s="1" t="str">
        <f t="shared" si="94"/>
        <v>Travis: Repo[{#SLUG}]: 成功构建的百分比&lt;{$TRAVIS.BUILDS.SUCCESS.PERCENT}%</v>
      </c>
      <c r="K1527" s="1" t="str">
        <f t="shared" si="95"/>
        <v>Repo [{#SLUG}]: Percent of successful builds are &lt; {$TRAVIS.BUILDS.SUCCESS.PERCENT}%</v>
      </c>
    </row>
    <row r="1528" spans="1:11">
      <c r="A1528" s="1">
        <v>2938</v>
      </c>
      <c r="B1528" s="1" t="s">
        <v>9646</v>
      </c>
      <c r="C1528" s="1" t="s">
        <v>9169</v>
      </c>
      <c r="D1528" s="1" t="s">
        <v>4218</v>
      </c>
      <c r="E1528" s="1" t="s">
        <v>4105</v>
      </c>
      <c r="F1528" s="1" t="s">
        <v>4220</v>
      </c>
      <c r="G1528" s="1" t="s">
        <v>9647</v>
      </c>
      <c r="H1528" s="1" t="str">
        <f t="shared" si="92"/>
        <v/>
      </c>
      <c r="I1528" s="1" t="str">
        <f t="shared" si="93"/>
        <v/>
      </c>
      <c r="J1528" s="1" t="str">
        <f t="shared" si="94"/>
        <v>TrueNAS CORE：CPU使用率过高（超过 {$CPU.UTIL.CRIT}%，达5分钟）</v>
      </c>
      <c r="K1528" s="1" t="str">
        <f t="shared" si="95"/>
        <v>High CPU utilization (over {$CPU.UTIL.CRIT}% for 5m)</v>
      </c>
    </row>
    <row r="1529" spans="1:11">
      <c r="A1529" s="1">
        <v>2939</v>
      </c>
      <c r="B1529" s="1" t="s">
        <v>9646</v>
      </c>
      <c r="C1529" s="1" t="s">
        <v>9170</v>
      </c>
      <c r="D1529" s="1" t="s">
        <v>4218</v>
      </c>
      <c r="E1529" s="1" t="s">
        <v>8133</v>
      </c>
      <c r="F1529" s="1" t="s">
        <v>4224</v>
      </c>
      <c r="G1529" s="1" t="s">
        <v>9648</v>
      </c>
      <c r="H1529" s="1" t="str">
        <f t="shared" si="92"/>
        <v>TrueNAS CORE</v>
      </c>
      <c r="I1529" s="1" t="str">
        <f t="shared" si="93"/>
        <v>{#DATASET_NAME}"}%）</v>
      </c>
      <c r="J1529" s="1" t="str">
        <f t="shared" si="94"/>
        <v>TrueNAS CORE: {#DATASET_NAME}"}%）</v>
      </c>
      <c r="K1529" s="1" t="str">
        <f t="shared" si="95"/>
        <v>Dataset [{#DATASET_NAME}]: High space usage (more than {$DATASET.PUSED.MAX.WARN:"{#DATASET_NAME}"}% used)</v>
      </c>
    </row>
    <row r="1530" spans="1:11">
      <c r="A1530" s="1">
        <v>2940</v>
      </c>
      <c r="B1530" s="1" t="s">
        <v>9646</v>
      </c>
      <c r="C1530" s="1" t="s">
        <v>9171</v>
      </c>
      <c r="D1530" s="1" t="s">
        <v>4218</v>
      </c>
      <c r="E1530" s="1" t="s">
        <v>4113</v>
      </c>
      <c r="F1530" s="1" t="s">
        <v>4228</v>
      </c>
      <c r="G1530" s="1" t="s">
        <v>9649</v>
      </c>
      <c r="H1530" s="1" t="str">
        <f t="shared" si="92"/>
        <v>TrueNAS CORE</v>
      </c>
      <c r="I1530" s="1" t="str">
        <f t="shared" si="93"/>
        <v>{#DATASET_NAME}"}%）</v>
      </c>
      <c r="J1530" s="1" t="str">
        <f t="shared" si="94"/>
        <v>TrueNAS CORE: {#DATASET_NAME}"}%）</v>
      </c>
      <c r="K1530" s="1" t="str">
        <f t="shared" si="95"/>
        <v>Dataset [{#DATASET_NAME}]: Very high space usage (more than {$DATASET.PUSED.MAX.CRIT:"{#DATASET_NAME}"}% used)</v>
      </c>
    </row>
    <row r="1531" spans="1:11">
      <c r="A1531" s="1">
        <v>2941</v>
      </c>
      <c r="B1531" s="1" t="s">
        <v>9646</v>
      </c>
      <c r="C1531" s="1" t="s">
        <v>9340</v>
      </c>
      <c r="D1531" s="1" t="s">
        <v>4218</v>
      </c>
      <c r="E1531" s="1" t="s">
        <v>4117</v>
      </c>
      <c r="F1531" s="1" t="s">
        <v>4232</v>
      </c>
      <c r="G1531" s="1" t="s">
        <v>9650</v>
      </c>
      <c r="H1531" s="1" t="str">
        <f t="shared" si="92"/>
        <v>TrueNAS CORE</v>
      </c>
      <c r="I1531" s="1" t="str">
        <f t="shared" si="93"/>
        <v>{#DISK_NAME}"}°C，达5分钟）</v>
      </c>
      <c r="J1531" s="1" t="str">
        <f t="shared" si="94"/>
        <v>TrueNAS CORE: {#DISK_NAME}"}°C，达5分钟）</v>
      </c>
      <c r="K1531" s="1" t="str">
        <f t="shared" si="95"/>
        <v>Disk [{#DISK_NAME}]: Average disk temperature is too high (over {$TEMPERATURE.MAX.CRIT:"{#DISK_NAME}"}C for 5m)</v>
      </c>
    </row>
    <row r="1532" spans="1:11">
      <c r="A1532" s="1">
        <v>2942</v>
      </c>
      <c r="B1532" s="1" t="s">
        <v>9646</v>
      </c>
      <c r="C1532" s="1" t="s">
        <v>9234</v>
      </c>
      <c r="D1532" s="1" t="s">
        <v>4218</v>
      </c>
      <c r="E1532" s="1" t="s">
        <v>4125</v>
      </c>
      <c r="F1532" s="1" t="s">
        <v>4236</v>
      </c>
      <c r="G1532" s="1" t="s">
        <v>9651</v>
      </c>
      <c r="H1532" s="1" t="str">
        <f t="shared" si="92"/>
        <v>TrueNAS CORE</v>
      </c>
      <c r="I1532" s="1" t="str">
        <f t="shared" si="93"/>
        <v>{#DISK_NAME}"}°C，达5分钟）</v>
      </c>
      <c r="J1532" s="1" t="str">
        <f t="shared" si="94"/>
        <v>TrueNAS CORE: {#DISK_NAME}"}°C，达5分钟）</v>
      </c>
      <c r="K1532" s="1" t="str">
        <f t="shared" si="95"/>
        <v>Disk [{#DISK_NAME}]: Average disk temperature is too high (over {$TEMPERATURE.MAX.WARN:"{#DISK_NAME}"}C for 5m)</v>
      </c>
    </row>
    <row r="1533" spans="1:11">
      <c r="A1533" s="1">
        <v>2943</v>
      </c>
      <c r="B1533" s="1" t="s">
        <v>9646</v>
      </c>
      <c r="C1533" s="1" t="s">
        <v>9172</v>
      </c>
      <c r="D1533" s="1" t="s">
        <v>4218</v>
      </c>
      <c r="E1533" s="1" t="s">
        <v>9652</v>
      </c>
      <c r="F1533" s="1" t="s">
        <v>4240</v>
      </c>
      <c r="G1533" s="1" t="s">
        <v>9653</v>
      </c>
      <c r="H1533" s="1" t="str">
        <f t="shared" si="92"/>
        <v>TrueNAS CORE</v>
      </c>
      <c r="I1533" s="1" t="str">
        <f t="shared" si="93"/>
        <v>{#IFNAME}"}%）</v>
      </c>
      <c r="J1533" s="1" t="str">
        <f t="shared" si="94"/>
        <v>TrueNAS CORE: {#IFNAME}"}%）</v>
      </c>
      <c r="K1533" s="1" t="str">
        <f t="shared" si="95"/>
        <v>Interface [{#IFNAME}({#IFALIAS})]: High inbound bandwidth usage ( &gt; {$IF.UTIL.MAX:"{#IFNAME}"}% )</v>
      </c>
    </row>
    <row r="1534" spans="1:11">
      <c r="A1534" s="1">
        <v>2944</v>
      </c>
      <c r="B1534" s="1" t="s">
        <v>9646</v>
      </c>
      <c r="C1534" s="1" t="s">
        <v>9173</v>
      </c>
      <c r="D1534" s="1" t="s">
        <v>4218</v>
      </c>
      <c r="E1534" s="1" t="s">
        <v>9654</v>
      </c>
      <c r="F1534" s="1" t="s">
        <v>4244</v>
      </c>
      <c r="G1534" s="1" t="s">
        <v>9655</v>
      </c>
      <c r="H1534" s="1" t="str">
        <f t="shared" si="92"/>
        <v>TrueNAS CORE</v>
      </c>
      <c r="I1534" s="1" t="str">
        <f t="shared" si="93"/>
        <v>{#IFNAME}"}%）</v>
      </c>
      <c r="J1534" s="1" t="str">
        <f t="shared" si="94"/>
        <v>TrueNAS CORE: {#IFNAME}"}%）</v>
      </c>
      <c r="K1534" s="1" t="str">
        <f t="shared" si="95"/>
        <v>Interface [{#IFNAME}({#IFALIAS})]: High outbound bandwidth usage ( &gt; {$IF.UTIL.MAX:"{#IFNAME}"}% )</v>
      </c>
    </row>
    <row r="1535" spans="1:11">
      <c r="A1535" s="1">
        <v>2945</v>
      </c>
      <c r="B1535" s="1" t="s">
        <v>9646</v>
      </c>
      <c r="C1535" s="1" t="s">
        <v>9341</v>
      </c>
      <c r="D1535" s="1" t="s">
        <v>4218</v>
      </c>
      <c r="E1535" s="1" t="s">
        <v>9656</v>
      </c>
      <c r="F1535" s="1" t="s">
        <v>4248</v>
      </c>
      <c r="G1535" s="1" t="s">
        <v>9657</v>
      </c>
      <c r="H1535" s="1" t="str">
        <f t="shared" si="92"/>
        <v>TrueNAS CORE</v>
      </c>
      <c r="I1535" s="1" t="str">
        <f t="shared" si="93"/>
        <v>{#IFNAME}"}，达5分钟）</v>
      </c>
      <c r="J1535" s="1" t="str">
        <f t="shared" si="94"/>
        <v>TrueNAS CORE: {#IFNAME}"}，达5分钟）</v>
      </c>
      <c r="K1535" s="1" t="str">
        <f t="shared" si="95"/>
        <v>Interface [{#IFNAME}({#IFALIAS})]: High input error rate ( &gt; {$IF.ERRORS.WARN:"{#IFNAME}"} for 5m)</v>
      </c>
    </row>
    <row r="1536" spans="1:11">
      <c r="A1536" s="1">
        <v>2948</v>
      </c>
      <c r="B1536" s="1" t="s">
        <v>9646</v>
      </c>
      <c r="C1536" s="1" t="s">
        <v>9236</v>
      </c>
      <c r="D1536" s="1" t="s">
        <v>4218</v>
      </c>
      <c r="E1536" s="1" t="s">
        <v>4109</v>
      </c>
      <c r="F1536" s="1" t="s">
        <v>4252</v>
      </c>
      <c r="G1536" s="1" t="s">
        <v>9658</v>
      </c>
      <c r="H1536" s="1" t="str">
        <f t="shared" si="92"/>
        <v>TrueNAS CORE</v>
      </c>
      <c r="I1536" s="1" t="str">
        <f t="shared" si="93"/>
        <v>{#IFNAME}"}，达5分钟）</v>
      </c>
      <c r="J1536" s="1" t="str">
        <f t="shared" si="94"/>
        <v>TrueNAS CORE: {#IFNAME}"}，达5分钟）</v>
      </c>
      <c r="K1536" s="1" t="str">
        <f t="shared" si="95"/>
        <v>Interface [{#IFNAME}({#IFALIAS})]: High output error rate ( &gt; {$IF.ERRORS.WARN:"{#IFNAME}"} for 5m)</v>
      </c>
    </row>
    <row r="1537" spans="1:11">
      <c r="A1537" s="1">
        <v>2949</v>
      </c>
      <c r="B1537" s="1" t="s">
        <v>9646</v>
      </c>
      <c r="C1537" s="1" t="s">
        <v>9174</v>
      </c>
      <c r="D1537" s="1" t="s">
        <v>4218</v>
      </c>
      <c r="E1537" s="1" t="s">
        <v>8140</v>
      </c>
      <c r="F1537" s="1" t="s">
        <v>4256</v>
      </c>
      <c r="G1537" s="1" t="s">
        <v>9659</v>
      </c>
      <c r="H1537" s="1" t="str">
        <f t="shared" si="92"/>
        <v>TrueNAS CORE</v>
      </c>
      <c r="I1537" s="1" t="str">
        <f t="shared" si="93"/>
        <v>{#POOLNAME}"}%）</v>
      </c>
      <c r="J1537" s="1" t="str">
        <f t="shared" si="94"/>
        <v>TrueNAS CORE: {#POOLNAME}"}%）</v>
      </c>
      <c r="K1537" s="1" t="str">
        <f t="shared" si="95"/>
        <v>Pool [{#POOLNAME}]: High space usage (more than {$ZPOOL.PUSED.MAX.WARN:"{#POOLNAME}"}% used)</v>
      </c>
    </row>
    <row r="1538" spans="1:11">
      <c r="A1538" s="1">
        <v>2950</v>
      </c>
      <c r="B1538" s="1" t="s">
        <v>9646</v>
      </c>
      <c r="C1538" s="1" t="s">
        <v>9175</v>
      </c>
      <c r="D1538" s="1" t="s">
        <v>4218</v>
      </c>
      <c r="E1538" s="1" t="s">
        <v>8142</v>
      </c>
      <c r="F1538" s="1" t="s">
        <v>4260</v>
      </c>
      <c r="G1538" s="1" t="s">
        <v>9660</v>
      </c>
      <c r="H1538" s="1" t="str">
        <f t="shared" ref="H1538:H1601" si="96">IFERROR(IF(OR(MID(G1538,FIND(":",G1538)-1,1)="""",MID(G1538,FIND(":",G1538)-1,1)="}",MID(G1538,FIND(":",G1538)-1,1)=")",MID(G1538,FIND(":",G1538)-1,1)="]"),"",LEFT(F1538,FIND(":",F1538)-1)),"")</f>
        <v>TrueNAS CORE</v>
      </c>
      <c r="I1538" s="1" t="str">
        <f t="shared" ref="I1538:I1601" si="97">IFERROR(IF(OR(MID(G1538,FIND(":",G1538)-1,1)="""",MID(G1538,FIND(":",G1538)-1,1)="}",MID(G1538,FIND(":",G1538)-1,1)=")",MID(G1538,FIND(":",G1538)-1,1)="]"),"",RIGHT(G1538,LEN(G1538)-FIND(":",G1538)-1)),"")</f>
        <v>{#POOLNAME}"}%）</v>
      </c>
      <c r="J1538" s="1" t="str">
        <f t="shared" ref="J1538:J1601" si="98">IF(AND(I1538="",H1538=""),G1538,H1538&amp;": "&amp;I1538)</f>
        <v>TrueNAS CORE: {#POOLNAME}"}%）</v>
      </c>
      <c r="K1538" s="1" t="str">
        <f t="shared" ref="K1538:K1601" si="99">IFERROR(IF(OR(MID(F1538,FIND(":",F1538)-1,1)="""",MID(F1538,FIND(":",F1538)-1,1)="}",MID(F1538,FIND(":",F1538)-1,1)=")",MID(F1538,FIND(":",F1538)-1,1)="]"),"",RIGHT(F1538,LEN(F1538)-FIND(":",F1538)-1)),"")</f>
        <v>Pool [{#POOLNAME}]: Very high space usage (more than {$ZPOOL.PUSED.MAX.CRIT:"{#POOLNAME}"}% used)</v>
      </c>
    </row>
    <row r="1539" spans="1:11">
      <c r="A1539" s="1">
        <v>2952</v>
      </c>
      <c r="B1539" s="1" t="s">
        <v>9661</v>
      </c>
      <c r="C1539" s="1" t="s">
        <v>9066</v>
      </c>
      <c r="D1539" s="1" t="s">
        <v>4263</v>
      </c>
      <c r="E1539" s="1" t="s">
        <v>4264</v>
      </c>
      <c r="F1539" s="1" t="s">
        <v>9576</v>
      </c>
      <c r="G1539" s="1" t="s">
        <v>9577</v>
      </c>
      <c r="H1539" s="1" t="str">
        <f t="shared" si="96"/>
        <v/>
      </c>
      <c r="I1539" s="1" t="str">
        <f t="shared" si="97"/>
        <v/>
      </c>
      <c r="J1539" s="1" t="str">
        <f t="shared" si="98"/>
        <v>接口{#IFDESCR}: 带宽使用率高了(&gt;{$IF.UTIL.MAX: "{#IFNAME}"}%)</v>
      </c>
      <c r="K1539" s="1" t="str">
        <f t="shared" si="99"/>
        <v/>
      </c>
    </row>
    <row r="1540" spans="1:11">
      <c r="A1540" s="1">
        <v>2953</v>
      </c>
      <c r="B1540" s="1" t="s">
        <v>9661</v>
      </c>
      <c r="C1540" s="1" t="s">
        <v>9207</v>
      </c>
      <c r="D1540" s="1" t="s">
        <v>4263</v>
      </c>
      <c r="E1540" s="1" t="s">
        <v>4266</v>
      </c>
      <c r="F1540" s="1" t="s">
        <v>9578</v>
      </c>
      <c r="G1540" s="1" t="s">
        <v>9579</v>
      </c>
      <c r="H1540" s="1" t="str">
        <f t="shared" si="96"/>
        <v/>
      </c>
      <c r="I1540" s="1" t="str">
        <f t="shared" si="97"/>
        <v/>
      </c>
      <c r="J1540" s="1" t="str">
        <f t="shared" si="98"/>
        <v>接口{#IFDESCR}: 错误率高了(&gt;{$IF.ERRORS.WARN: "{#IFNAME}"}达5分钟)</v>
      </c>
      <c r="K1540" s="1" t="str">
        <f t="shared" si="99"/>
        <v/>
      </c>
    </row>
    <row r="1541" spans="1:11">
      <c r="A1541" s="1">
        <v>2958</v>
      </c>
      <c r="B1541" s="1" t="s">
        <v>9662</v>
      </c>
      <c r="C1541" s="1" t="s">
        <v>9407</v>
      </c>
      <c r="D1541" s="1" t="s">
        <v>4268</v>
      </c>
      <c r="E1541" s="1" t="s">
        <v>4269</v>
      </c>
      <c r="F1541" s="1" t="s">
        <v>4270</v>
      </c>
      <c r="G1541" s="1" t="s">
        <v>4271</v>
      </c>
      <c r="H1541" s="1" t="str">
        <f t="shared" si="96"/>
        <v/>
      </c>
      <c r="I1541" s="1" t="str">
        <f t="shared" si="97"/>
        <v/>
      </c>
      <c r="J1541" s="1" t="str">
        <f t="shared" si="98"/>
        <v>Edge[{#NAME}]: Edge已重启(正常运行时间&lt;10分钟)</v>
      </c>
      <c r="K1541" s="1" t="str">
        <f t="shared" si="99"/>
        <v/>
      </c>
    </row>
    <row r="1542" spans="1:11">
      <c r="A1542" s="1">
        <v>2960</v>
      </c>
      <c r="B1542" s="1" t="s">
        <v>9662</v>
      </c>
      <c r="C1542" s="1" t="s">
        <v>9255</v>
      </c>
      <c r="D1542" s="1" t="s">
        <v>4268</v>
      </c>
      <c r="E1542" s="1" t="s">
        <v>4273</v>
      </c>
      <c r="F1542" s="1" t="s">
        <v>4274</v>
      </c>
      <c r="G1542" s="1" t="s">
        <v>4275</v>
      </c>
      <c r="H1542" s="1" t="str">
        <f t="shared" si="96"/>
        <v/>
      </c>
      <c r="I1542" s="1" t="str">
        <f t="shared" si="97"/>
        <v/>
      </c>
      <c r="J1542" s="1" t="str">
        <f t="shared" si="98"/>
        <v>网关[{#NAME}]: 网关已重启(正常运行时间&lt;10分钟)</v>
      </c>
      <c r="K1542" s="1" t="str">
        <f t="shared" si="99"/>
        <v/>
      </c>
    </row>
    <row r="1543" spans="1:11">
      <c r="A1543" s="1">
        <v>2971</v>
      </c>
      <c r="B1543" s="1" t="s">
        <v>9663</v>
      </c>
      <c r="C1543" s="1" t="s">
        <v>9078</v>
      </c>
      <c r="D1543" s="1" t="s">
        <v>4300</v>
      </c>
      <c r="E1543" s="1" t="s">
        <v>8193</v>
      </c>
      <c r="F1543" s="1" t="s">
        <v>4302</v>
      </c>
      <c r="G1543" s="1" t="s">
        <v>4303</v>
      </c>
      <c r="H1543" s="1" t="str">
        <f t="shared" si="96"/>
        <v>Veeam</v>
      </c>
      <c r="I1543" s="1" t="str">
        <f t="shared" si="97"/>
        <v>任务失败[{#NAME}]</v>
      </c>
      <c r="J1543" s="1" t="str">
        <f t="shared" si="98"/>
        <v>Veeam: 任务失败[{#NAME}]</v>
      </c>
      <c r="K1543" s="1" t="str">
        <f t="shared" si="99"/>
        <v>Failed job [{#NAME}]</v>
      </c>
    </row>
    <row r="1544" spans="1:11">
      <c r="A1544" s="1">
        <v>2972</v>
      </c>
      <c r="B1544" s="1" t="s">
        <v>9663</v>
      </c>
      <c r="C1544" s="1" t="s">
        <v>9081</v>
      </c>
      <c r="D1544" s="1" t="s">
        <v>4300</v>
      </c>
      <c r="E1544" s="1" t="s">
        <v>8197</v>
      </c>
      <c r="F1544" s="1" t="s">
        <v>4306</v>
      </c>
      <c r="G1544" s="1" t="s">
        <v>4307</v>
      </c>
      <c r="H1544" s="1" t="str">
        <f t="shared" si="96"/>
        <v>Veeam</v>
      </c>
      <c r="I1544" s="1" t="str">
        <f t="shared" si="97"/>
        <v>会话失败[{#NAME}]</v>
      </c>
      <c r="J1544" s="1" t="str">
        <f t="shared" si="98"/>
        <v>Veeam: 会话失败[{#NAME}]</v>
      </c>
      <c r="K1544" s="1" t="str">
        <f t="shared" si="99"/>
        <v>Failed session [{#NAME}]</v>
      </c>
    </row>
    <row r="1545" spans="1:11">
      <c r="A1545" s="1">
        <v>2973</v>
      </c>
      <c r="B1545" s="1" t="s">
        <v>9664</v>
      </c>
      <c r="C1545" s="1" t="s">
        <v>9078</v>
      </c>
      <c r="D1545" s="1" t="s">
        <v>4309</v>
      </c>
      <c r="E1545" s="1" t="s">
        <v>4310</v>
      </c>
      <c r="F1545" s="1" t="s">
        <v>4311</v>
      </c>
      <c r="G1545" s="1" t="s">
        <v>4312</v>
      </c>
      <c r="H1545" s="1" t="str">
        <f t="shared" si="96"/>
        <v>WildFly domain</v>
      </c>
      <c r="I1545" s="1" t="str">
        <f t="shared" si="97"/>
        <v>服务器{#SERVER}: 服务器组已变更(新组: {ITEM.VALUE})</v>
      </c>
      <c r="J1545" s="1" t="str">
        <f t="shared" si="98"/>
        <v>WildFly domain: 服务器{#SERVER}: 服务器组已变更(新组: {ITEM.VALUE})</v>
      </c>
      <c r="K1545" s="1" t="str">
        <f t="shared" si="99"/>
        <v>Server {#SERVER}: Server group has changed (new group: {ITEM.VALUE})</v>
      </c>
    </row>
    <row r="1546" spans="1:11">
      <c r="A1546" s="1">
        <v>2974</v>
      </c>
      <c r="B1546" s="1" t="s">
        <v>9664</v>
      </c>
      <c r="C1546" s="1" t="s">
        <v>9081</v>
      </c>
      <c r="D1546" s="1" t="s">
        <v>4309</v>
      </c>
      <c r="E1546" s="1" t="s">
        <v>4314</v>
      </c>
      <c r="F1546" s="1" t="s">
        <v>4315</v>
      </c>
      <c r="G1546" s="1" t="s">
        <v>4316</v>
      </c>
      <c r="H1546" s="1" t="str">
        <f t="shared" si="96"/>
        <v>WildFly domain</v>
      </c>
      <c r="I1546" s="1" t="str">
        <f t="shared" si="97"/>
        <v>服务器{#SERVER}: 服务器状态已变更(新状态: {ITEM.VALUE})</v>
      </c>
      <c r="J1546" s="1" t="str">
        <f t="shared" si="98"/>
        <v>WildFly domain: 服务器{#SERVER}: 服务器状态已变更(新状态: {ITEM.VALUE})</v>
      </c>
      <c r="K1546" s="1" t="str">
        <f t="shared" si="99"/>
        <v>Server {#SERVER}: Server status has changed (new status: {ITEM.VALUE})</v>
      </c>
    </row>
    <row r="1547" spans="1:11">
      <c r="A1547" s="1">
        <v>2975</v>
      </c>
      <c r="B1547" s="1" t="s">
        <v>9665</v>
      </c>
      <c r="C1547" s="1" t="s">
        <v>9336</v>
      </c>
      <c r="D1547" s="1" t="s">
        <v>4318</v>
      </c>
      <c r="E1547" s="1" t="s">
        <v>4319</v>
      </c>
      <c r="F1547" s="1" t="s">
        <v>4320</v>
      </c>
      <c r="G1547" s="1" t="s">
        <v>4321</v>
      </c>
      <c r="H1547" s="1" t="str">
        <f t="shared" si="96"/>
        <v/>
      </c>
      <c r="I1547" s="1" t="str">
        <f t="shared" si="97"/>
        <v/>
      </c>
      <c r="J1547" s="1" t="str">
        <f t="shared" si="98"/>
        <v>WildFly部署[{#DEPLOYMENT}]: 部署状态已变更(新状态: {ITEM.VALUE})</v>
      </c>
      <c r="K1547" s="1" t="str">
        <f t="shared" si="99"/>
        <v/>
      </c>
    </row>
    <row r="1548" spans="1:11">
      <c r="A1548" s="1">
        <v>2978</v>
      </c>
      <c r="B1548" s="1" t="s">
        <v>9665</v>
      </c>
      <c r="C1548" s="1" t="s">
        <v>9563</v>
      </c>
      <c r="D1548" s="1" t="s">
        <v>4318</v>
      </c>
      <c r="E1548" s="1" t="s">
        <v>4323</v>
      </c>
      <c r="F1548" s="1" t="s">
        <v>4324</v>
      </c>
      <c r="G1548" s="1" t="s">
        <v>4325</v>
      </c>
      <c r="H1548" s="1" t="str">
        <f t="shared" si="96"/>
        <v/>
      </c>
      <c r="I1548" s="1" t="str">
        <f t="shared" si="97"/>
        <v/>
      </c>
      <c r="J1548" s="1" t="str">
        <f t="shared" si="98"/>
        <v>WildFly{#JMX_DATA_SOURCE}: 连接使用率太高(5分钟内超过{$WILDFLY.CONN.USAGE.WARN.MAX})</v>
      </c>
      <c r="K1548" s="1" t="str">
        <f t="shared" si="99"/>
        <v/>
      </c>
    </row>
    <row r="1549" spans="1:11">
      <c r="A1549" s="1">
        <v>2980</v>
      </c>
      <c r="B1549" s="1" t="s">
        <v>9665</v>
      </c>
      <c r="C1549" s="1" t="s">
        <v>9564</v>
      </c>
      <c r="D1549" s="1" t="s">
        <v>4318</v>
      </c>
      <c r="E1549" s="1" t="s">
        <v>4327</v>
      </c>
      <c r="F1549" s="1" t="s">
        <v>4328</v>
      </c>
      <c r="G1549" s="1" t="s">
        <v>4329</v>
      </c>
      <c r="H1549" s="1" t="str">
        <f t="shared" si="96"/>
        <v/>
      </c>
      <c r="I1549" s="1" t="str">
        <f t="shared" si="97"/>
        <v/>
      </c>
      <c r="J1549" s="1" t="str">
        <f t="shared" si="98"/>
        <v>WildFly{#JMX_DATA_SOURCE}: 等待连接太多(超过{$WILDFLY.CONN.WAIT.MAX.WARN}达5分钟)</v>
      </c>
      <c r="K1549" s="1" t="str">
        <f t="shared" si="99"/>
        <v/>
      </c>
    </row>
    <row r="1550" spans="1:11">
      <c r="A1550" s="1">
        <v>2983</v>
      </c>
      <c r="B1550" s="1" t="s">
        <v>9666</v>
      </c>
      <c r="C1550" s="1" t="s">
        <v>9131</v>
      </c>
      <c r="D1550" s="1" t="s">
        <v>4331</v>
      </c>
      <c r="E1550" s="1" t="s">
        <v>4332</v>
      </c>
      <c r="F1550" s="1" t="s">
        <v>161</v>
      </c>
      <c r="G1550" s="1" t="s">
        <v>162</v>
      </c>
      <c r="H1550" s="1" t="str">
        <f t="shared" si="96"/>
        <v/>
      </c>
      <c r="I1550" s="1" t="str">
        <f t="shared" si="97"/>
        <v/>
      </c>
      <c r="J1550" s="1" t="str">
        <f t="shared" si="98"/>
        <v>接口{#IFNAME}({#IFALIAS}): 带宽使用率太高(&gt;{$IF.UTIL.MAX: "{#IFNAME}"}%)</v>
      </c>
      <c r="K1550" s="1" t="str">
        <f t="shared" si="99"/>
        <v/>
      </c>
    </row>
    <row r="1551" spans="1:11">
      <c r="A1551" s="1">
        <v>2984</v>
      </c>
      <c r="B1551" s="1" t="s">
        <v>9666</v>
      </c>
      <c r="C1551" s="1" t="s">
        <v>9132</v>
      </c>
      <c r="D1551" s="1" t="s">
        <v>4331</v>
      </c>
      <c r="E1551" s="1" t="s">
        <v>4334</v>
      </c>
      <c r="F1551" s="1" t="s">
        <v>165</v>
      </c>
      <c r="G1551" s="1" t="s">
        <v>166</v>
      </c>
      <c r="H1551" s="1" t="str">
        <f t="shared" si="96"/>
        <v/>
      </c>
      <c r="I1551" s="1" t="str">
        <f t="shared" si="97"/>
        <v/>
      </c>
      <c r="J1551" s="1" t="str">
        <f t="shared" si="98"/>
        <v>接口{#IFNAME}({#IFALIAS}): 错误率太高(&gt;{$IF.ERRORS.WARN: "{#IFNAME}"}达5分钟)</v>
      </c>
      <c r="K1551" s="1" t="str">
        <f t="shared" si="99"/>
        <v/>
      </c>
    </row>
    <row r="1552" spans="1:11">
      <c r="A1552" s="1">
        <v>2987</v>
      </c>
      <c r="B1552" s="1" t="s">
        <v>9666</v>
      </c>
      <c r="C1552" s="1" t="s">
        <v>9135</v>
      </c>
      <c r="D1552" s="1" t="s">
        <v>4331</v>
      </c>
      <c r="E1552" s="1" t="s">
        <v>4336</v>
      </c>
      <c r="F1552" s="1" t="s">
        <v>297</v>
      </c>
      <c r="G1552" s="1" t="s">
        <v>298</v>
      </c>
      <c r="H1552" s="1" t="str">
        <f t="shared" si="96"/>
        <v/>
      </c>
      <c r="I1552" s="1" t="str">
        <f t="shared" si="97"/>
        <v/>
      </c>
      <c r="J1552" s="1" t="str">
        <f t="shared" si="98"/>
        <v>{#FSNAME}: 磁盘空间严重不足(已使用率&gt;{$VFS.FS.PUSED.MAX.CRIT: "{#FSNAME}"}%)</v>
      </c>
      <c r="K1552" s="1" t="str">
        <f t="shared" si="99"/>
        <v/>
      </c>
    </row>
    <row r="1553" spans="1:11">
      <c r="A1553" s="1">
        <v>2988</v>
      </c>
      <c r="B1553" s="1" t="s">
        <v>9666</v>
      </c>
      <c r="C1553" s="1" t="s">
        <v>9136</v>
      </c>
      <c r="D1553" s="1" t="s">
        <v>4331</v>
      </c>
      <c r="E1553" s="1" t="s">
        <v>4338</v>
      </c>
      <c r="F1553" s="1" t="s">
        <v>301</v>
      </c>
      <c r="G1553" s="1" t="s">
        <v>302</v>
      </c>
      <c r="H1553" s="1" t="str">
        <f t="shared" si="96"/>
        <v/>
      </c>
      <c r="I1553" s="1" t="str">
        <f t="shared" si="97"/>
        <v/>
      </c>
      <c r="J1553" s="1" t="str">
        <f t="shared" si="98"/>
        <v>{#FSNAME}: 磁盘空间不足(已使用率&gt;{$VFS.FS.PUSED.MAX.WARN: "{#FSNAME}"}%)</v>
      </c>
      <c r="K1553" s="1" t="str">
        <f t="shared" si="99"/>
        <v/>
      </c>
    </row>
    <row r="1554" spans="1:11">
      <c r="A1554" s="1">
        <v>2989</v>
      </c>
      <c r="B1554" s="1" t="s">
        <v>9666</v>
      </c>
      <c r="C1554" s="1" t="s">
        <v>9137</v>
      </c>
      <c r="D1554" s="1" t="s">
        <v>4331</v>
      </c>
      <c r="E1554" s="1" t="s">
        <v>4340</v>
      </c>
      <c r="F1554" s="1" t="s">
        <v>305</v>
      </c>
      <c r="G1554" s="1" t="s">
        <v>306</v>
      </c>
      <c r="H1554" s="1" t="str">
        <f t="shared" si="96"/>
        <v/>
      </c>
      <c r="I1554" s="1" t="str">
        <f t="shared" si="97"/>
        <v/>
      </c>
      <c r="J1554" s="1" t="str">
        <f t="shared" si="98"/>
        <v>{#MEMNAME}: 内存利用率高了(&gt;{$MEMORY.UTIL.MAX}%达5分钟)</v>
      </c>
      <c r="K1554" s="1" t="str">
        <f t="shared" si="99"/>
        <v/>
      </c>
    </row>
    <row r="1555" spans="1:11">
      <c r="A1555" s="1">
        <v>2990</v>
      </c>
      <c r="B1555" s="1" t="s">
        <v>9667</v>
      </c>
      <c r="C1555" s="1" t="s">
        <v>9294</v>
      </c>
      <c r="D1555" s="1" t="s">
        <v>4342</v>
      </c>
      <c r="E1555" s="1" t="s">
        <v>4343</v>
      </c>
      <c r="F1555" s="1" t="s">
        <v>161</v>
      </c>
      <c r="G1555" s="1" t="s">
        <v>162</v>
      </c>
      <c r="H1555" s="1" t="str">
        <f t="shared" si="96"/>
        <v/>
      </c>
      <c r="I1555" s="1" t="str">
        <f t="shared" si="97"/>
        <v/>
      </c>
      <c r="J1555" s="1" t="str">
        <f t="shared" si="98"/>
        <v>接口{#IFNAME}({#IFALIAS}): 带宽使用率太高(&gt;{$IF.UTIL.MAX: "{#IFNAME}"}%)</v>
      </c>
      <c r="K1555" s="1" t="str">
        <f t="shared" si="99"/>
        <v/>
      </c>
    </row>
    <row r="1556" spans="1:11">
      <c r="A1556" s="1">
        <v>2991</v>
      </c>
      <c r="B1556" s="1" t="s">
        <v>9667</v>
      </c>
      <c r="C1556" s="1" t="s">
        <v>9295</v>
      </c>
      <c r="D1556" s="1" t="s">
        <v>4342</v>
      </c>
      <c r="E1556" s="1" t="s">
        <v>4345</v>
      </c>
      <c r="F1556" s="1" t="s">
        <v>165</v>
      </c>
      <c r="G1556" s="1" t="s">
        <v>166</v>
      </c>
      <c r="H1556" s="1" t="str">
        <f t="shared" si="96"/>
        <v/>
      </c>
      <c r="I1556" s="1" t="str">
        <f t="shared" si="97"/>
        <v/>
      </c>
      <c r="J1556" s="1" t="str">
        <f t="shared" si="98"/>
        <v>接口{#IFNAME}({#IFALIAS}): 错误率太高(&gt;{$IF.ERRORS.WARN: "{#IFNAME}"}达5分钟)</v>
      </c>
      <c r="K1556" s="1" t="str">
        <f t="shared" si="99"/>
        <v/>
      </c>
    </row>
    <row r="1557" spans="1:11">
      <c r="A1557" s="1">
        <v>2994</v>
      </c>
      <c r="B1557" s="1" t="s">
        <v>9667</v>
      </c>
      <c r="C1557" s="1" t="s">
        <v>9296</v>
      </c>
      <c r="D1557" s="1" t="s">
        <v>4342</v>
      </c>
      <c r="E1557" s="1" t="s">
        <v>4347</v>
      </c>
      <c r="F1557" s="1" t="s">
        <v>4348</v>
      </c>
      <c r="G1557" s="1" t="s">
        <v>9668</v>
      </c>
      <c r="H1557" s="1" t="str">
        <f t="shared" si="96"/>
        <v/>
      </c>
      <c r="I1557" s="1" t="str">
        <f t="shared" si="97"/>
        <v/>
      </c>
      <c r="J1557" s="1" t="str">
        <f t="shared" si="98"/>
        <v>{#SERVICE.NAME}({#SERVICE.DISPLAYNAME})未运行(启动类型{#SERVICE.STARTUPNAME}): "{#SERVICE.NAME}"({#SERVICE.DISPLAYNAME})未运行(启动类型{#SERVICE.STARTUPNAME})</v>
      </c>
      <c r="K1557" s="1" t="str">
        <f t="shared" si="99"/>
        <v/>
      </c>
    </row>
    <row r="1558" spans="1:11">
      <c r="A1558" s="1">
        <v>2995</v>
      </c>
      <c r="B1558" s="1" t="s">
        <v>9667</v>
      </c>
      <c r="C1558" s="1" t="s">
        <v>9331</v>
      </c>
      <c r="D1558" s="1" t="s">
        <v>4342</v>
      </c>
      <c r="E1558" s="1" t="s">
        <v>4351</v>
      </c>
      <c r="F1558" s="1" t="s">
        <v>4352</v>
      </c>
      <c r="G1558" s="1" t="s">
        <v>9669</v>
      </c>
      <c r="H1558" s="1" t="str">
        <f t="shared" si="96"/>
        <v/>
      </c>
      <c r="I1558" s="1" t="str">
        <f t="shared" si="97"/>
        <v/>
      </c>
      <c r="J1558" s="1" t="str">
        <f t="shared" si="98"/>
        <v>{#DEVNAME}:磁盘读取请求响应太高(读取 &gt; {$VFS.DEV.READ.AWAIT.WARN:"{#DEVNAME}"} 秒达15分钟)</v>
      </c>
      <c r="K1558" s="1" t="str">
        <f t="shared" si="99"/>
        <v/>
      </c>
    </row>
    <row r="1559" spans="1:11">
      <c r="A1559" s="1">
        <v>2996</v>
      </c>
      <c r="B1559" s="1" t="s">
        <v>9667</v>
      </c>
      <c r="C1559" s="1" t="s">
        <v>9332</v>
      </c>
      <c r="D1559" s="1" t="s">
        <v>4342</v>
      </c>
      <c r="E1559" s="1" t="s">
        <v>4355</v>
      </c>
      <c r="F1559" s="1" t="s">
        <v>4356</v>
      </c>
      <c r="G1559" s="1" t="s">
        <v>4357</v>
      </c>
      <c r="H1559" s="1" t="str">
        <f t="shared" si="96"/>
        <v/>
      </c>
      <c r="I1559" s="1" t="str">
        <f t="shared" si="97"/>
        <v/>
      </c>
      <c r="J1559" s="1" t="str">
        <f t="shared" si="98"/>
        <v>{#DEVNAME}: 磁盘过载(使用率&gt;{$VFS.DEV.UTIL.MAX.WARN}%达15分钟)</v>
      </c>
      <c r="K1559" s="1" t="str">
        <f t="shared" si="99"/>
        <v/>
      </c>
    </row>
    <row r="1560" spans="1:11">
      <c r="A1560" s="1">
        <v>2997</v>
      </c>
      <c r="B1560" s="1" t="s">
        <v>9667</v>
      </c>
      <c r="C1560" s="1" t="s">
        <v>9297</v>
      </c>
      <c r="D1560" s="1" t="s">
        <v>4342</v>
      </c>
      <c r="E1560" s="1" t="s">
        <v>4359</v>
      </c>
      <c r="F1560" s="1" t="s">
        <v>4360</v>
      </c>
      <c r="G1560" s="1" t="s">
        <v>4361</v>
      </c>
      <c r="H1560" s="1" t="str">
        <f t="shared" si="96"/>
        <v/>
      </c>
      <c r="I1560" s="1" t="str">
        <f t="shared" si="97"/>
        <v/>
      </c>
      <c r="J1560" s="1" t="str">
        <f t="shared" si="98"/>
        <v>{#DEVNAME}: 磁盘写入请求响应太高(写入&gt;{$VFS.DEV.WRITE.AWAIT.WARN: "{#DEVNAME}"}秒达15分钟)</v>
      </c>
      <c r="K1560" s="1" t="str">
        <f t="shared" si="99"/>
        <v/>
      </c>
    </row>
    <row r="1561" spans="1:11">
      <c r="A1561" s="1">
        <v>2998</v>
      </c>
      <c r="B1561" s="1" t="s">
        <v>9667</v>
      </c>
      <c r="C1561" s="1" t="s">
        <v>9298</v>
      </c>
      <c r="D1561" s="1" t="s">
        <v>4342</v>
      </c>
      <c r="E1561" s="1" t="s">
        <v>4363</v>
      </c>
      <c r="F1561" s="1" t="s">
        <v>4364</v>
      </c>
      <c r="G1561" s="1" t="s">
        <v>4365</v>
      </c>
      <c r="H1561" s="1" t="str">
        <f t="shared" si="96"/>
        <v/>
      </c>
      <c r="I1561" s="1" t="str">
        <f t="shared" si="97"/>
        <v/>
      </c>
      <c r="J1561" s="1" t="str">
        <f t="shared" si="98"/>
        <v>{#FSLABEL}({#FSNAME}): 磁盘空间严重不足(已使用率&gt;{$VFS.FS.PUSED.MAX.CRIT: "{#FSNAME}"}%)</v>
      </c>
      <c r="K1561" s="1" t="str">
        <f t="shared" si="99"/>
        <v/>
      </c>
    </row>
    <row r="1562" spans="1:11">
      <c r="A1562" s="1">
        <v>2999</v>
      </c>
      <c r="B1562" s="1" t="s">
        <v>9667</v>
      </c>
      <c r="C1562" s="1" t="s">
        <v>9299</v>
      </c>
      <c r="D1562" s="1" t="s">
        <v>4342</v>
      </c>
      <c r="E1562" s="1" t="s">
        <v>4367</v>
      </c>
      <c r="F1562" s="1" t="s">
        <v>4368</v>
      </c>
      <c r="G1562" s="1" t="s">
        <v>4369</v>
      </c>
      <c r="H1562" s="1" t="str">
        <f t="shared" si="96"/>
        <v/>
      </c>
      <c r="I1562" s="1" t="str">
        <f t="shared" si="97"/>
        <v/>
      </c>
      <c r="J1562" s="1" t="str">
        <f t="shared" si="98"/>
        <v>{#FSLABEL}({#FSNAME}): 磁盘空间不足(已使用率&gt;{$VFS.FS.PUSED.MAX.WARN: "{#FSNAME}"}%)</v>
      </c>
      <c r="K1562" s="1" t="str">
        <f t="shared" si="99"/>
        <v/>
      </c>
    </row>
    <row r="1563" spans="1:11">
      <c r="A1563" s="1">
        <v>3000</v>
      </c>
      <c r="B1563" s="1" t="s">
        <v>9670</v>
      </c>
      <c r="C1563" s="1" t="s">
        <v>9294</v>
      </c>
      <c r="D1563" s="1" t="s">
        <v>4371</v>
      </c>
      <c r="E1563" s="1" t="s">
        <v>4372</v>
      </c>
      <c r="F1563" s="1" t="s">
        <v>161</v>
      </c>
      <c r="G1563" s="1" t="s">
        <v>162</v>
      </c>
      <c r="H1563" s="1" t="str">
        <f t="shared" si="96"/>
        <v/>
      </c>
      <c r="I1563" s="1" t="str">
        <f t="shared" si="97"/>
        <v/>
      </c>
      <c r="J1563" s="1" t="str">
        <f t="shared" si="98"/>
        <v>接口{#IFNAME}({#IFALIAS}): 带宽使用率太高(&gt;{$IF.UTIL.MAX: "{#IFNAME}"}%)</v>
      </c>
      <c r="K1563" s="1" t="str">
        <f t="shared" si="99"/>
        <v/>
      </c>
    </row>
    <row r="1564" spans="1:11">
      <c r="A1564" s="1">
        <v>3001</v>
      </c>
      <c r="B1564" s="1" t="s">
        <v>9670</v>
      </c>
      <c r="C1564" s="1" t="s">
        <v>9295</v>
      </c>
      <c r="D1564" s="1" t="s">
        <v>4371</v>
      </c>
      <c r="E1564" s="1" t="s">
        <v>4374</v>
      </c>
      <c r="F1564" s="1" t="s">
        <v>165</v>
      </c>
      <c r="G1564" s="1" t="s">
        <v>166</v>
      </c>
      <c r="H1564" s="1" t="str">
        <f t="shared" si="96"/>
        <v/>
      </c>
      <c r="I1564" s="1" t="str">
        <f t="shared" si="97"/>
        <v/>
      </c>
      <c r="J1564" s="1" t="str">
        <f t="shared" si="98"/>
        <v>接口{#IFNAME}({#IFALIAS}): 错误率太高(&gt;{$IF.ERRORS.WARN: "{#IFNAME}"}达5分钟)</v>
      </c>
      <c r="K1564" s="1" t="str">
        <f t="shared" si="99"/>
        <v/>
      </c>
    </row>
    <row r="1565" spans="1:11">
      <c r="A1565" s="1">
        <v>3004</v>
      </c>
      <c r="B1565" s="1" t="s">
        <v>9670</v>
      </c>
      <c r="C1565" s="1" t="s">
        <v>9296</v>
      </c>
      <c r="D1565" s="1" t="s">
        <v>4371</v>
      </c>
      <c r="E1565" s="1" t="s">
        <v>4376</v>
      </c>
      <c r="F1565" s="1" t="s">
        <v>4348</v>
      </c>
      <c r="G1565" s="1" t="s">
        <v>9668</v>
      </c>
      <c r="H1565" s="1" t="str">
        <f t="shared" si="96"/>
        <v/>
      </c>
      <c r="I1565" s="1" t="str">
        <f t="shared" si="97"/>
        <v/>
      </c>
      <c r="J1565" s="1" t="str">
        <f t="shared" si="98"/>
        <v>{#SERVICE.NAME}({#SERVICE.DISPLAYNAME})未运行(启动类型{#SERVICE.STARTUPNAME}): "{#SERVICE.NAME}"({#SERVICE.DISPLAYNAME})未运行(启动类型{#SERVICE.STARTUPNAME})</v>
      </c>
      <c r="K1565" s="1" t="str">
        <f t="shared" si="99"/>
        <v/>
      </c>
    </row>
    <row r="1566" spans="1:11">
      <c r="A1566" s="1">
        <v>3005</v>
      </c>
      <c r="B1566" s="1" t="s">
        <v>9670</v>
      </c>
      <c r="C1566" s="1" t="s">
        <v>9331</v>
      </c>
      <c r="D1566" s="1" t="s">
        <v>4371</v>
      </c>
      <c r="E1566" s="1" t="s">
        <v>4378</v>
      </c>
      <c r="F1566" s="1" t="s">
        <v>4352</v>
      </c>
      <c r="G1566" s="1" t="s">
        <v>9669</v>
      </c>
      <c r="H1566" s="1" t="str">
        <f t="shared" si="96"/>
        <v/>
      </c>
      <c r="I1566" s="1" t="str">
        <f t="shared" si="97"/>
        <v/>
      </c>
      <c r="J1566" s="1" t="str">
        <f t="shared" si="98"/>
        <v>{#DEVNAME}:磁盘读取请求响应太高(读取 &gt; {$VFS.DEV.READ.AWAIT.WARN:"{#DEVNAME}"} 秒达15分钟)</v>
      </c>
      <c r="K1566" s="1" t="str">
        <f t="shared" si="99"/>
        <v/>
      </c>
    </row>
    <row r="1567" spans="1:11">
      <c r="A1567" s="1">
        <v>3006</v>
      </c>
      <c r="B1567" s="1" t="s">
        <v>9670</v>
      </c>
      <c r="C1567" s="1" t="s">
        <v>9332</v>
      </c>
      <c r="D1567" s="1" t="s">
        <v>4371</v>
      </c>
      <c r="E1567" s="1" t="s">
        <v>4380</v>
      </c>
      <c r="F1567" s="1" t="s">
        <v>4356</v>
      </c>
      <c r="G1567" s="1" t="s">
        <v>4357</v>
      </c>
      <c r="H1567" s="1" t="str">
        <f t="shared" si="96"/>
        <v/>
      </c>
      <c r="I1567" s="1" t="str">
        <f t="shared" si="97"/>
        <v/>
      </c>
      <c r="J1567" s="1" t="str">
        <f t="shared" si="98"/>
        <v>{#DEVNAME}: 磁盘过载(使用率&gt;{$VFS.DEV.UTIL.MAX.WARN}%达15分钟)</v>
      </c>
      <c r="K1567" s="1" t="str">
        <f t="shared" si="99"/>
        <v/>
      </c>
    </row>
    <row r="1568" spans="1:11">
      <c r="A1568" s="1">
        <v>3007</v>
      </c>
      <c r="B1568" s="1" t="s">
        <v>9670</v>
      </c>
      <c r="C1568" s="1" t="s">
        <v>9297</v>
      </c>
      <c r="D1568" s="1" t="s">
        <v>4371</v>
      </c>
      <c r="E1568" s="1" t="s">
        <v>4382</v>
      </c>
      <c r="F1568" s="1" t="s">
        <v>4360</v>
      </c>
      <c r="G1568" s="1" t="s">
        <v>4361</v>
      </c>
      <c r="H1568" s="1" t="str">
        <f t="shared" si="96"/>
        <v/>
      </c>
      <c r="I1568" s="1" t="str">
        <f t="shared" si="97"/>
        <v/>
      </c>
      <c r="J1568" s="1" t="str">
        <f t="shared" si="98"/>
        <v>{#DEVNAME}: 磁盘写入请求响应太高(写入&gt;{$VFS.DEV.WRITE.AWAIT.WARN: "{#DEVNAME}"}秒达15分钟)</v>
      </c>
      <c r="K1568" s="1" t="str">
        <f t="shared" si="99"/>
        <v/>
      </c>
    </row>
    <row r="1569" spans="1:11">
      <c r="A1569" s="1">
        <v>3008</v>
      </c>
      <c r="B1569" s="1" t="s">
        <v>9670</v>
      </c>
      <c r="C1569" s="1" t="s">
        <v>9298</v>
      </c>
      <c r="D1569" s="1" t="s">
        <v>4371</v>
      </c>
      <c r="E1569" s="1" t="s">
        <v>4384</v>
      </c>
      <c r="F1569" s="1" t="s">
        <v>4364</v>
      </c>
      <c r="G1569" s="1" t="s">
        <v>4365</v>
      </c>
      <c r="H1569" s="1" t="str">
        <f t="shared" si="96"/>
        <v/>
      </c>
      <c r="I1569" s="1" t="str">
        <f t="shared" si="97"/>
        <v/>
      </c>
      <c r="J1569" s="1" t="str">
        <f t="shared" si="98"/>
        <v>{#FSLABEL}({#FSNAME}): 磁盘空间严重不足(已使用率&gt;{$VFS.FS.PUSED.MAX.CRIT: "{#FSNAME}"}%)</v>
      </c>
      <c r="K1569" s="1" t="str">
        <f t="shared" si="99"/>
        <v/>
      </c>
    </row>
    <row r="1570" spans="1:11">
      <c r="A1570" s="1">
        <v>3009</v>
      </c>
      <c r="B1570" s="1" t="s">
        <v>9670</v>
      </c>
      <c r="C1570" s="1" t="s">
        <v>9299</v>
      </c>
      <c r="D1570" s="1" t="s">
        <v>4371</v>
      </c>
      <c r="E1570" s="1" t="s">
        <v>4386</v>
      </c>
      <c r="F1570" s="1" t="s">
        <v>4368</v>
      </c>
      <c r="G1570" s="1" t="s">
        <v>4369</v>
      </c>
      <c r="H1570" s="1" t="str">
        <f t="shared" si="96"/>
        <v/>
      </c>
      <c r="I1570" s="1" t="str">
        <f t="shared" si="97"/>
        <v/>
      </c>
      <c r="J1570" s="1" t="str">
        <f t="shared" si="98"/>
        <v>{#FSLABEL}({#FSNAME}): 磁盘空间不足(已使用率&gt;{$VFS.FS.PUSED.MAX.WARN: "{#FSNAME}"}%)</v>
      </c>
      <c r="K1570" s="1" t="str">
        <f t="shared" si="99"/>
        <v/>
      </c>
    </row>
    <row r="1571" spans="1:11">
      <c r="A1571" s="1">
        <v>3010</v>
      </c>
      <c r="B1571" s="1" t="s">
        <v>9671</v>
      </c>
      <c r="C1571" s="1" t="s">
        <v>9159</v>
      </c>
      <c r="D1571" s="1" t="s">
        <v>4428</v>
      </c>
      <c r="E1571" s="1" t="s">
        <v>505</v>
      </c>
      <c r="F1571" s="1" t="s">
        <v>4430</v>
      </c>
      <c r="G1571" s="1" t="s">
        <v>9672</v>
      </c>
      <c r="H1571" s="1" t="str">
        <f t="shared" si="96"/>
        <v/>
      </c>
      <c r="I1571" s="1" t="str">
        <f t="shared" si="97"/>
        <v/>
      </c>
      <c r="J1571" s="1" t="str">
        <f t="shared" si="98"/>
        <v>YugabyteDB节点 [{#NODE.NAME}]：节点磁盘IOPS利用率过高（超过 {$YUGABYTEDB.IOPS.UTILIZATION.WARN}，达5分钟）</v>
      </c>
      <c r="K1571" s="1" t="str">
        <f t="shared" si="99"/>
        <v/>
      </c>
    </row>
    <row r="1572" spans="1:11">
      <c r="A1572" s="1">
        <v>3011</v>
      </c>
      <c r="B1572" s="1" t="s">
        <v>9671</v>
      </c>
      <c r="C1572" s="1" t="s">
        <v>9161</v>
      </c>
      <c r="D1572" s="1" t="s">
        <v>4428</v>
      </c>
      <c r="E1572" s="1" t="s">
        <v>9673</v>
      </c>
      <c r="F1572" s="1" t="s">
        <v>4434</v>
      </c>
      <c r="G1572" s="1" t="s">
        <v>9674</v>
      </c>
      <c r="H1572" s="1" t="str">
        <f t="shared" si="96"/>
        <v/>
      </c>
      <c r="I1572" s="1" t="str">
        <f t="shared" si="97"/>
        <v/>
      </c>
      <c r="J1572" s="1" t="str">
        <f t="shared" si="98"/>
        <v>YugabyteDB节点 [{#NODE.NAME}]：节点磁盘IOPS利用率过高（超过 {$YUGABYTEDB.IOPS.UTILIZATION.CRIT}，达5分钟）</v>
      </c>
      <c r="K1572" s="1" t="str">
        <f t="shared" si="99"/>
        <v/>
      </c>
    </row>
    <row r="1573" spans="1:11">
      <c r="A1573" s="1">
        <v>3014</v>
      </c>
      <c r="B1573" s="1" t="s">
        <v>9675</v>
      </c>
      <c r="C1573" s="1" t="s">
        <v>9676</v>
      </c>
      <c r="D1573" s="1" t="s">
        <v>4437</v>
      </c>
      <c r="E1573" s="1" t="s">
        <v>4438</v>
      </c>
      <c r="F1573" s="1" t="s">
        <v>4439</v>
      </c>
      <c r="G1573" s="1" t="s">
        <v>4440</v>
      </c>
      <c r="H1573" s="1" t="str">
        <f t="shared" si="96"/>
        <v>ZYXEL AAM1212-51 / IES-612</v>
      </c>
      <c r="I1573" s="1" t="str">
        <f t="shared" si="97"/>
        <v>端口{#SNMPINDEX}中的DSL线路衰减高(&gt;{$ZYXEL.ADSL.ATN.MAX}dB达5分钟)</v>
      </c>
      <c r="J1573" s="1" t="str">
        <f t="shared" si="98"/>
        <v>ZYXEL AAM1212-51 / IES-612: 端口{#SNMPINDEX}中的DSL线路衰减高(&gt;{$ZYXEL.ADSL.ATN.MAX}dB达5分钟)</v>
      </c>
      <c r="K1573" s="1" t="str">
        <f t="shared" si="99"/>
        <v>High the DSL line attenuation in Port {#SNMPINDEX} (&gt;{$ZYXEL.ADSL.ATN.MAX}dB for 5m)</v>
      </c>
    </row>
    <row r="1574" spans="1:11">
      <c r="A1574" s="1">
        <v>3015</v>
      </c>
      <c r="B1574" s="1" t="s">
        <v>9675</v>
      </c>
      <c r="C1574" s="1" t="s">
        <v>9337</v>
      </c>
      <c r="D1574" s="1" t="s">
        <v>4437</v>
      </c>
      <c r="E1574" s="1" t="s">
        <v>4442</v>
      </c>
      <c r="F1574" s="1" t="s">
        <v>4443</v>
      </c>
      <c r="G1574" s="1" t="s">
        <v>4444</v>
      </c>
      <c r="H1574" s="1" t="str">
        <f t="shared" si="96"/>
        <v>ZYXEL AAM1212-51 / IES-612</v>
      </c>
      <c r="I1574" s="1" t="str">
        <f t="shared" si="97"/>
        <v>端口{#SNMPINDEX}中的DSL线路噪声容限低(&lt;{$ZYXEL.ADSL.SNR.MIN}dB达5分钟)</v>
      </c>
      <c r="J1574" s="1" t="str">
        <f t="shared" si="98"/>
        <v>ZYXEL AAM1212-51 / IES-612: 端口{#SNMPINDEX}中的DSL线路噪声容限低(&lt;{$ZYXEL.ADSL.SNR.MIN}dB达5分钟)</v>
      </c>
      <c r="K1574" s="1" t="str">
        <f t="shared" si="99"/>
        <v>Low the DSL line noise margins in Port {#SNMPINDEX} (&lt;{$ZYXEL.ADSL.SNR.MIN}dB for 5m)</v>
      </c>
    </row>
    <row r="1575" spans="1:11">
      <c r="A1575" s="1">
        <v>3016</v>
      </c>
      <c r="B1575" s="1" t="s">
        <v>9675</v>
      </c>
      <c r="C1575" s="1" t="s">
        <v>9563</v>
      </c>
      <c r="D1575" s="1" t="s">
        <v>4437</v>
      </c>
      <c r="E1575" s="1" t="s">
        <v>4446</v>
      </c>
      <c r="F1575" s="1" t="s">
        <v>4439</v>
      </c>
      <c r="G1575" s="1" t="s">
        <v>4440</v>
      </c>
      <c r="H1575" s="1" t="str">
        <f t="shared" si="96"/>
        <v>ZYXEL AAM1212-51 / IES-612</v>
      </c>
      <c r="I1575" s="1" t="str">
        <f t="shared" si="97"/>
        <v>端口{#SNMPINDEX}中的DSL线路衰减高(&gt;{$ZYXEL.ADSL.ATN.MAX}dB达5分钟)</v>
      </c>
      <c r="J1575" s="1" t="str">
        <f t="shared" si="98"/>
        <v>ZYXEL AAM1212-51 / IES-612: 端口{#SNMPINDEX}中的DSL线路衰减高(&gt;{$ZYXEL.ADSL.ATN.MAX}dB达5分钟)</v>
      </c>
      <c r="K1575" s="1" t="str">
        <f t="shared" si="99"/>
        <v>High the DSL line attenuation in Port {#SNMPINDEX} (&gt;{$ZYXEL.ADSL.ATN.MAX}dB for 5m)</v>
      </c>
    </row>
    <row r="1576" spans="1:11">
      <c r="A1576" s="1">
        <v>3017</v>
      </c>
      <c r="B1576" s="1" t="s">
        <v>9675</v>
      </c>
      <c r="C1576" s="1" t="s">
        <v>9338</v>
      </c>
      <c r="D1576" s="1" t="s">
        <v>4437</v>
      </c>
      <c r="E1576" s="1" t="s">
        <v>4448</v>
      </c>
      <c r="F1576" s="1" t="s">
        <v>4443</v>
      </c>
      <c r="G1576" s="1" t="s">
        <v>4444</v>
      </c>
      <c r="H1576" s="1" t="str">
        <f t="shared" si="96"/>
        <v>ZYXEL AAM1212-51 / IES-612</v>
      </c>
      <c r="I1576" s="1" t="str">
        <f t="shared" si="97"/>
        <v>端口{#SNMPINDEX}中的DSL线路噪声容限低(&lt;{$ZYXEL.ADSL.SNR.MIN}dB达5分钟)</v>
      </c>
      <c r="J1576" s="1" t="str">
        <f t="shared" si="98"/>
        <v>ZYXEL AAM1212-51 / IES-612: 端口{#SNMPINDEX}中的DSL线路噪声容限低(&lt;{$ZYXEL.ADSL.SNR.MIN}dB达5分钟)</v>
      </c>
      <c r="K1576" s="1" t="str">
        <f t="shared" si="99"/>
        <v>Low the DSL line noise margins in Port {#SNMPINDEX} (&lt;{$ZYXEL.ADSL.SNR.MIN}dB for 5m)</v>
      </c>
    </row>
    <row r="1577" spans="1:11">
      <c r="A1577" s="1">
        <v>3021</v>
      </c>
      <c r="B1577" s="1" t="s">
        <v>9677</v>
      </c>
      <c r="C1577" s="1" t="s">
        <v>9131</v>
      </c>
      <c r="D1577" s="1" t="s">
        <v>4450</v>
      </c>
      <c r="E1577" s="1" t="s">
        <v>4451</v>
      </c>
      <c r="F1577" s="1" t="s">
        <v>4452</v>
      </c>
      <c r="G1577" s="1" t="s">
        <v>4453</v>
      </c>
      <c r="H1577" s="1" t="str">
        <f t="shared" si="96"/>
        <v>ZYXEL ES3500-8PD</v>
      </c>
      <c r="I1577" s="1" t="str">
        <f t="shared" si="97"/>
        <v>"{#ZYXEL.MEMORY.NAME}"池中的内存利用率高了(&gt;{$MEMORY.UTIL.MAX}%达5分钟)</v>
      </c>
      <c r="J1577" s="1" t="str">
        <f t="shared" si="98"/>
        <v>ZYXEL ES3500-8PD: "{#ZYXEL.MEMORY.NAME}"池中的内存利用率高了(&gt;{$MEMORY.UTIL.MAX}%达5分钟)</v>
      </c>
      <c r="K1577" s="1" t="str">
        <f t="shared" si="99"/>
        <v>High memory utilization in "{#ZYXEL.MEMORY.NAME}" pool (&gt;{$MEMORY.UTIL.MAX}% for 5m)</v>
      </c>
    </row>
    <row r="1578" spans="1:11">
      <c r="A1578" s="1">
        <v>3024</v>
      </c>
      <c r="B1578" s="1" t="s">
        <v>9677</v>
      </c>
      <c r="C1578" s="1" t="s">
        <v>9134</v>
      </c>
      <c r="D1578" s="1" t="s">
        <v>4450</v>
      </c>
      <c r="E1578" s="1" t="s">
        <v>4455</v>
      </c>
      <c r="F1578" s="1" t="s">
        <v>4456</v>
      </c>
      <c r="G1578" s="1" t="s">
        <v>4457</v>
      </c>
      <c r="H1578" s="1" t="str">
        <f t="shared" si="96"/>
        <v>ZYXEL ES3500-8PD</v>
      </c>
      <c r="I1578" s="1" t="str">
        <f t="shared" si="97"/>
        <v>SFP{#SNMPINDEX}已更换(收到新序列号)</v>
      </c>
      <c r="J1578" s="1" t="str">
        <f t="shared" si="98"/>
        <v>ZYXEL ES3500-8PD: SFP{#SNMPINDEX}已更换(收到新序列号)</v>
      </c>
      <c r="K1578" s="1" t="str">
        <f t="shared" si="99"/>
        <v>SFP {#SNMPINDEX} has been replaced (new serial number received)</v>
      </c>
    </row>
    <row r="1579" spans="1:11">
      <c r="A1579" s="1">
        <v>3025</v>
      </c>
      <c r="B1579" s="1" t="s">
        <v>9677</v>
      </c>
      <c r="C1579" s="1" t="s">
        <v>9135</v>
      </c>
      <c r="D1579" s="1" t="s">
        <v>4450</v>
      </c>
      <c r="E1579" s="1" t="s">
        <v>4459</v>
      </c>
      <c r="F1579" s="1" t="s">
        <v>4460</v>
      </c>
      <c r="G1579" s="1" t="s">
        <v>4461</v>
      </c>
      <c r="H1579" s="1" t="str">
        <f t="shared" si="96"/>
        <v>ZYXEL ES3500-8PD</v>
      </c>
      <c r="I1579" s="1" t="str">
        <f t="shared" si="97"/>
        <v>SFP{#ZYXEL.SFP.PORT}: {#ZYXEL.SFP.DESCRIPTION}高(超过{#ZYXEL.SFP.WARN.MAX}{#ZYXEL.SFP.UNIT})</v>
      </c>
      <c r="J1579" s="1" t="str">
        <f t="shared" si="98"/>
        <v>ZYXEL ES3500-8PD: SFP{#ZYXEL.SFP.PORT}: {#ZYXEL.SFP.DESCRIPTION}高(超过{#ZYXEL.SFP.WARN.MAX}{#ZYXEL.SFP.UNIT})</v>
      </c>
      <c r="K1579" s="1" t="str">
        <f t="shared" si="99"/>
        <v>SFP {#ZYXEL.SFP.PORT}: High {#ZYXEL.SFP.DESCRIPTION} (over {#ZYXEL.SFP.WARN.MAX}{#ZYXEL.SFP.UNIT})</v>
      </c>
    </row>
    <row r="1580" spans="1:11">
      <c r="A1580" s="1">
        <v>3026</v>
      </c>
      <c r="B1580" s="1" t="s">
        <v>9677</v>
      </c>
      <c r="C1580" s="1" t="s">
        <v>9136</v>
      </c>
      <c r="D1580" s="1" t="s">
        <v>4450</v>
      </c>
      <c r="E1580" s="1" t="s">
        <v>4463</v>
      </c>
      <c r="F1580" s="1" t="s">
        <v>4464</v>
      </c>
      <c r="G1580" s="1" t="s">
        <v>4465</v>
      </c>
      <c r="H1580" s="1" t="str">
        <f t="shared" si="96"/>
        <v>ZYXEL ES3500-8PD</v>
      </c>
      <c r="I1580" s="1" t="str">
        <f t="shared" si="97"/>
        <v>SFP{#ZYXEL.SFP.PORT}: {#ZYXEL.SFP.DESCRIPTION}低(小于{#ZYXEL.SFP.WARN.MIN}{#ZYXEL.SFP.UNIT})</v>
      </c>
      <c r="J1580" s="1" t="str">
        <f t="shared" si="98"/>
        <v>ZYXEL ES3500-8PD: SFP{#ZYXEL.SFP.PORT}: {#ZYXEL.SFP.DESCRIPTION}低(小于{#ZYXEL.SFP.WARN.MIN}{#ZYXEL.SFP.UNIT})</v>
      </c>
      <c r="K1580" s="1" t="str">
        <f t="shared" si="99"/>
        <v>SFP {#ZYXEL.SFP.PORT}: Low {#ZYXEL.SFP.DESCRIPTION} (less than {#ZYXEL.SFP.WARN.MIN}{#ZYXEL.SFP.UNIT})</v>
      </c>
    </row>
    <row r="1581" spans="1:11">
      <c r="A1581" s="1">
        <v>3034</v>
      </c>
      <c r="B1581" s="1" t="s">
        <v>9678</v>
      </c>
      <c r="C1581" s="1" t="s">
        <v>9211</v>
      </c>
      <c r="D1581" s="1" t="s">
        <v>4467</v>
      </c>
      <c r="E1581" s="1" t="s">
        <v>4468</v>
      </c>
      <c r="F1581" s="1" t="s">
        <v>4469</v>
      </c>
      <c r="G1581" s="1" t="s">
        <v>4470</v>
      </c>
      <c r="H1581" s="1" t="str">
        <f t="shared" si="96"/>
        <v>ZYXEL IES-500x</v>
      </c>
      <c r="I1581" s="1" t="str">
        <f t="shared" si="97"/>
        <v>插槽{#ZYXEL.SLOT.ID}端口{#ZYXEL.PORTID}中的DSL线路衰减高(&gt;{$ZYXEL.ADSL.ATN.MAX}dB达5分钟)</v>
      </c>
      <c r="J1581" s="1" t="str">
        <f t="shared" si="98"/>
        <v>ZYXEL IES-500x: 插槽{#ZYXEL.SLOT.ID}端口{#ZYXEL.PORTID}中的DSL线路衰减高(&gt;{$ZYXEL.ADSL.ATN.MAX}dB达5分钟)</v>
      </c>
      <c r="K1581" s="1" t="str">
        <f t="shared" si="99"/>
        <v>High the DSL line attenuation in Slot {#ZYXEL.SLOT.ID} Port {#ZYXEL.PORTID} (&gt;{$ZYXEL.ADSL.ATN.MAX}dB for 5m)</v>
      </c>
    </row>
    <row r="1582" spans="1:11">
      <c r="A1582" s="1">
        <v>3035</v>
      </c>
      <c r="B1582" s="1" t="s">
        <v>9678</v>
      </c>
      <c r="C1582" s="1" t="s">
        <v>9679</v>
      </c>
      <c r="D1582" s="1" t="s">
        <v>4467</v>
      </c>
      <c r="E1582" s="1" t="s">
        <v>4472</v>
      </c>
      <c r="F1582" s="1" t="s">
        <v>4473</v>
      </c>
      <c r="G1582" s="1" t="s">
        <v>4474</v>
      </c>
      <c r="H1582" s="1" t="str">
        <f t="shared" si="96"/>
        <v>ZYXEL IES-500x</v>
      </c>
      <c r="I1582" s="1" t="str">
        <f t="shared" si="97"/>
        <v>插槽{#ZYXEL.SLOT.ID}端口{#ZYXEL.PORTID}中降DSL线路噪声容限低(&lt;{$ZYXEL.ADSL.SNR.MIN}dB达5分钟)</v>
      </c>
      <c r="J1582" s="1" t="str">
        <f t="shared" si="98"/>
        <v>ZYXEL IES-500x: 插槽{#ZYXEL.SLOT.ID}端口{#ZYXEL.PORTID}中降DSL线路噪声容限低(&lt;{$ZYXEL.ADSL.SNR.MIN}dB达5分钟)</v>
      </c>
      <c r="K1582" s="1" t="str">
        <f t="shared" si="99"/>
        <v>Low the DSL line noise margins in Slot {#ZYXEL.SLOT.ID} Port {#ZYXEL.PORTID} (&lt;{$ZYXEL.ADSL.SNR.MIN}dB for 5m)</v>
      </c>
    </row>
    <row r="1583" spans="1:11">
      <c r="A1583" s="1">
        <v>3036</v>
      </c>
      <c r="B1583" s="1" t="s">
        <v>9678</v>
      </c>
      <c r="C1583" s="1" t="s">
        <v>9212</v>
      </c>
      <c r="D1583" s="1" t="s">
        <v>4467</v>
      </c>
      <c r="E1583" s="1" t="s">
        <v>4476</v>
      </c>
      <c r="F1583" s="1" t="s">
        <v>4469</v>
      </c>
      <c r="G1583" s="1" t="s">
        <v>4470</v>
      </c>
      <c r="H1583" s="1" t="str">
        <f t="shared" si="96"/>
        <v>ZYXEL IES-500x</v>
      </c>
      <c r="I1583" s="1" t="str">
        <f t="shared" si="97"/>
        <v>插槽{#ZYXEL.SLOT.ID}端口{#ZYXEL.PORTID}中的DSL线路衰减高(&gt;{$ZYXEL.ADSL.ATN.MAX}dB达5分钟)</v>
      </c>
      <c r="J1583" s="1" t="str">
        <f t="shared" si="98"/>
        <v>ZYXEL IES-500x: 插槽{#ZYXEL.SLOT.ID}端口{#ZYXEL.PORTID}中的DSL线路衰减高(&gt;{$ZYXEL.ADSL.ATN.MAX}dB达5分钟)</v>
      </c>
      <c r="K1583" s="1" t="str">
        <f t="shared" si="99"/>
        <v>High the DSL line attenuation in Slot {#ZYXEL.SLOT.ID} Port {#ZYXEL.PORTID} (&gt;{$ZYXEL.ADSL.ATN.MAX}dB for 5m)</v>
      </c>
    </row>
    <row r="1584" spans="1:11">
      <c r="A1584" s="1">
        <v>3037</v>
      </c>
      <c r="B1584" s="1" t="s">
        <v>9678</v>
      </c>
      <c r="C1584" s="1" t="s">
        <v>9680</v>
      </c>
      <c r="D1584" s="1" t="s">
        <v>4467</v>
      </c>
      <c r="E1584" s="1" t="s">
        <v>4478</v>
      </c>
      <c r="F1584" s="1" t="s">
        <v>4473</v>
      </c>
      <c r="G1584" s="1" t="s">
        <v>4474</v>
      </c>
      <c r="H1584" s="1" t="str">
        <f t="shared" si="96"/>
        <v>ZYXEL IES-500x</v>
      </c>
      <c r="I1584" s="1" t="str">
        <f t="shared" si="97"/>
        <v>插槽{#ZYXEL.SLOT.ID}端口{#ZYXEL.PORTID}中降DSL线路噪声容限低(&lt;{$ZYXEL.ADSL.SNR.MIN}dB达5分钟)</v>
      </c>
      <c r="J1584" s="1" t="str">
        <f t="shared" si="98"/>
        <v>ZYXEL IES-500x: 插槽{#ZYXEL.SLOT.ID}端口{#ZYXEL.PORTID}中降DSL线路噪声容限低(&lt;{$ZYXEL.ADSL.SNR.MIN}dB达5分钟)</v>
      </c>
      <c r="K1584" s="1" t="str">
        <f t="shared" si="99"/>
        <v>Low the DSL line noise margins in Slot {#ZYXEL.SLOT.ID} Port {#ZYXEL.PORTID} (&lt;{$ZYXEL.ADSL.SNR.MIN}dB for 5m)</v>
      </c>
    </row>
    <row r="1585" spans="1:11">
      <c r="A1585" s="1">
        <v>3040</v>
      </c>
      <c r="B1585" s="1" t="s">
        <v>9678</v>
      </c>
      <c r="C1585" s="1" t="s">
        <v>9214</v>
      </c>
      <c r="D1585" s="1" t="s">
        <v>4467</v>
      </c>
      <c r="E1585" s="1" t="s">
        <v>4480</v>
      </c>
      <c r="F1585" s="1" t="s">
        <v>4481</v>
      </c>
      <c r="G1585" s="1" t="s">
        <v>4482</v>
      </c>
      <c r="H1585" s="1" t="str">
        <f t="shared" si="96"/>
        <v>ZYXEL IES-500x</v>
      </c>
      <c r="I1585" s="1" t="str">
        <f t="shared" si="97"/>
        <v>Slot{#ZYXEL.SLOT.ID}CPU使用率高了(超过{#ZYXEL.CPU.THRESH.HIGH}%达5分钟)</v>
      </c>
      <c r="J1585" s="1" t="str">
        <f t="shared" si="98"/>
        <v>ZYXEL IES-500x: Slot{#ZYXEL.SLOT.ID}CPU使用率高了(超过{#ZYXEL.CPU.THRESH.HIGH}%达5分钟)</v>
      </c>
      <c r="K1585" s="1" t="str">
        <f t="shared" si="99"/>
        <v>Slot {#ZYXEL.SLOT.ID} high CPU utilization (over {#ZYXEL.CPU.THRESH.HIGH}% for 5m)</v>
      </c>
    </row>
    <row r="1586" spans="1:11">
      <c r="A1586" s="1">
        <v>3045</v>
      </c>
      <c r="B1586" s="1" t="s">
        <v>9678</v>
      </c>
      <c r="C1586" s="1" t="s">
        <v>9681</v>
      </c>
      <c r="D1586" s="1" t="s">
        <v>4467</v>
      </c>
      <c r="E1586" s="1" t="s">
        <v>4484</v>
      </c>
      <c r="F1586" s="1" t="s">
        <v>4485</v>
      </c>
      <c r="G1586" s="1" t="s">
        <v>4486</v>
      </c>
      <c r="H1586" s="1" t="str">
        <f t="shared" si="96"/>
        <v>ZYXEL IES-500x</v>
      </c>
      <c r="I1586" s="1" t="str">
        <f t="shared" si="97"/>
        <v>插槽{#ZYXEL.SLOT.ID}池中的内存利用率高了(&gt;{#ZYXEL.MEMORYHIGHTHRESH}%达5分钟)</v>
      </c>
      <c r="J1586" s="1" t="str">
        <f t="shared" si="98"/>
        <v>ZYXEL IES-500x: 插槽{#ZYXEL.SLOT.ID}池中的内存利用率高了(&gt;{#ZYXEL.MEMORYHIGHTHRESH}%达5分钟)</v>
      </c>
      <c r="K1586" s="1" t="str">
        <f t="shared" si="99"/>
        <v>High memory utilization in Slot {#ZYXEL.SLOT.ID} pool (&gt;{#ZYXEL.MEMORYHIGHTHRESH}% for 5m)</v>
      </c>
    </row>
    <row r="1587" spans="1:11">
      <c r="A1587" s="1">
        <v>3047</v>
      </c>
      <c r="B1587" s="1" t="s">
        <v>9678</v>
      </c>
      <c r="C1587" s="1" t="s">
        <v>9217</v>
      </c>
      <c r="D1587" s="1" t="s">
        <v>4467</v>
      </c>
      <c r="E1587" s="1" t="s">
        <v>4488</v>
      </c>
      <c r="F1587" s="1" t="s">
        <v>4489</v>
      </c>
      <c r="G1587" s="1" t="s">
        <v>4490</v>
      </c>
      <c r="H1587" s="1" t="str">
        <f t="shared" si="96"/>
        <v>ZYXEL IES-500x</v>
      </c>
      <c r="I1587" s="1" t="str">
        <f t="shared" si="97"/>
        <v>插槽{#ZYXEL.SLOT.ID}中的数据包缓冲区利用率高(&gt;{#ZYXEL.BUFFERHIGHTHRESH}%达5分钟)</v>
      </c>
      <c r="J1587" s="1" t="str">
        <f t="shared" si="98"/>
        <v>ZYXEL IES-500x: 插槽{#ZYXEL.SLOT.ID}中的数据包缓冲区利用率高(&gt;{#ZYXEL.BUFFERHIGHTHRESH}%达5分钟)</v>
      </c>
      <c r="K1587" s="1" t="str">
        <f t="shared" si="99"/>
        <v>High Packet buffer utilization in Slot {#ZYXEL.SLOT.ID} (&gt;{#ZYXEL.BUFFERHIGHTHRESH}% for 5m)</v>
      </c>
    </row>
    <row r="1588" spans="1:11">
      <c r="A1588" s="1">
        <v>3048</v>
      </c>
      <c r="B1588" s="1" t="s">
        <v>9678</v>
      </c>
      <c r="C1588" s="1" t="s">
        <v>9218</v>
      </c>
      <c r="D1588" s="1" t="s">
        <v>4467</v>
      </c>
      <c r="E1588" s="1" t="s">
        <v>4492</v>
      </c>
      <c r="F1588" s="1" t="s">
        <v>4493</v>
      </c>
      <c r="G1588" s="1" t="s">
        <v>4494</v>
      </c>
      <c r="H1588" s="1" t="str">
        <f t="shared" si="96"/>
        <v>ZYXEL IES-500x</v>
      </c>
      <c r="I1588" s="1" t="str">
        <f t="shared" si="97"/>
        <v>插槽{#ZYXEL.SLOT.ID}已更换(收到新序列号)</v>
      </c>
      <c r="J1588" s="1" t="str">
        <f t="shared" si="98"/>
        <v>ZYXEL IES-500x: 插槽{#ZYXEL.SLOT.ID}已更换(收到新序列号)</v>
      </c>
      <c r="K1588" s="1" t="str">
        <f t="shared" si="99"/>
        <v>Slot {#ZYXEL.SLOT.ID} has been replaced (new serial number received)</v>
      </c>
    </row>
    <row r="1589" spans="1:11">
      <c r="A1589" s="1">
        <v>3050</v>
      </c>
      <c r="B1589" s="1" t="s">
        <v>9678</v>
      </c>
      <c r="C1589" s="1" t="s">
        <v>9682</v>
      </c>
      <c r="D1589" s="1" t="s">
        <v>4467</v>
      </c>
      <c r="E1589" s="1" t="s">
        <v>4496</v>
      </c>
      <c r="F1589" s="1" t="s">
        <v>4497</v>
      </c>
      <c r="G1589" s="1" t="s">
        <v>4498</v>
      </c>
      <c r="H1589" s="1" t="str">
        <f t="shared" si="96"/>
        <v>ZYXEL IES-500x</v>
      </c>
      <c r="I1589" s="1" t="str">
        <f t="shared" si="97"/>
        <v>插槽{#ZYXEL.SLOT.ID}已重启(正常运行时间&lt;10分钟)</v>
      </c>
      <c r="J1589" s="1" t="str">
        <f t="shared" si="98"/>
        <v>ZYXEL IES-500x: 插槽{#ZYXEL.SLOT.ID}已重启(正常运行时间&lt;10分钟)</v>
      </c>
      <c r="K1589" s="1" t="str">
        <f t="shared" si="99"/>
        <v>Slot {#ZYXEL.SLOT.ID} has been restarted (uptime &lt; 10m)</v>
      </c>
    </row>
    <row r="1590" spans="1:11">
      <c r="A1590" s="1">
        <v>3053</v>
      </c>
      <c r="B1590" s="1" t="s">
        <v>9683</v>
      </c>
      <c r="C1590" s="1" t="s">
        <v>9211</v>
      </c>
      <c r="D1590" s="1" t="s">
        <v>4500</v>
      </c>
      <c r="E1590" s="1" t="s">
        <v>4501</v>
      </c>
      <c r="F1590" s="1" t="s">
        <v>4502</v>
      </c>
      <c r="G1590" s="1" t="s">
        <v>4503</v>
      </c>
      <c r="H1590" s="1" t="str">
        <f t="shared" si="96"/>
        <v>ZYXEL IES-6000</v>
      </c>
      <c r="I1590" s="1" t="str">
        <f t="shared" si="97"/>
        <v>插槽{#ZYXEL.SLOT.ID}端口{#ZYXEL.PORTID}中DSL线路衰减高(&gt;{$ZYXEL.ADSL.ATN.MAX}dB达5分钟)</v>
      </c>
      <c r="J1590" s="1" t="str">
        <f t="shared" si="98"/>
        <v>ZYXEL IES-6000: 插槽{#ZYXEL.SLOT.ID}端口{#ZYXEL.PORTID}中DSL线路衰减高(&gt;{$ZYXEL.ADSL.ATN.MAX}dB达5分钟)</v>
      </c>
      <c r="K1590" s="1" t="str">
        <f t="shared" si="99"/>
        <v>High the DSL line attenuation in Slot {#ZYXEL.SLOT.ID} Port {#ZYXEL.PORTID} (&gt;{$ZYXEL.ADSL.ATN.MAX}dB for 5m)</v>
      </c>
    </row>
    <row r="1591" spans="1:11">
      <c r="A1591" s="1">
        <v>3054</v>
      </c>
      <c r="B1591" s="1" t="s">
        <v>9683</v>
      </c>
      <c r="C1591" s="1" t="s">
        <v>9679</v>
      </c>
      <c r="D1591" s="1" t="s">
        <v>4500</v>
      </c>
      <c r="E1591" s="1" t="s">
        <v>4505</v>
      </c>
      <c r="F1591" s="1" t="s">
        <v>4506</v>
      </c>
      <c r="G1591" s="1" t="s">
        <v>4507</v>
      </c>
      <c r="H1591" s="1" t="str">
        <f t="shared" si="96"/>
        <v>ZYXEL IES-6000</v>
      </c>
      <c r="I1591" s="1" t="str">
        <f t="shared" si="97"/>
        <v>插槽{#ZYXEL.SLOT.ID}端口{#ZYXEL.PORTID}中DSL线路噪声容限低了(&lt;{$ZYXEL.ADSL.SNR.MIN}dB达5分钟)</v>
      </c>
      <c r="J1591" s="1" t="str">
        <f t="shared" si="98"/>
        <v>ZYXEL IES-6000: 插槽{#ZYXEL.SLOT.ID}端口{#ZYXEL.PORTID}中DSL线路噪声容限低了(&lt;{$ZYXEL.ADSL.SNR.MIN}dB达5分钟)</v>
      </c>
      <c r="K1591" s="1" t="str">
        <f t="shared" si="99"/>
        <v>Low the DSL line noise margins in Slot {#ZYXEL.SLOT.ID} Port {#ZYXEL.PORTID} (&lt;{$ZYXEL.ADSL.SNR.MIN}dB for 5m)</v>
      </c>
    </row>
    <row r="1592" spans="1:11">
      <c r="A1592" s="1">
        <v>3055</v>
      </c>
      <c r="B1592" s="1" t="s">
        <v>9683</v>
      </c>
      <c r="C1592" s="1" t="s">
        <v>9212</v>
      </c>
      <c r="D1592" s="1" t="s">
        <v>4500</v>
      </c>
      <c r="E1592" s="1" t="s">
        <v>4509</v>
      </c>
      <c r="F1592" s="1" t="s">
        <v>4502</v>
      </c>
      <c r="G1592" s="1" t="s">
        <v>4503</v>
      </c>
      <c r="H1592" s="1" t="str">
        <f t="shared" si="96"/>
        <v>ZYXEL IES-6000</v>
      </c>
      <c r="I1592" s="1" t="str">
        <f t="shared" si="97"/>
        <v>插槽{#ZYXEL.SLOT.ID}端口{#ZYXEL.PORTID}中DSL线路衰减高(&gt;{$ZYXEL.ADSL.ATN.MAX}dB达5分钟)</v>
      </c>
      <c r="J1592" s="1" t="str">
        <f t="shared" si="98"/>
        <v>ZYXEL IES-6000: 插槽{#ZYXEL.SLOT.ID}端口{#ZYXEL.PORTID}中DSL线路衰减高(&gt;{$ZYXEL.ADSL.ATN.MAX}dB达5分钟)</v>
      </c>
      <c r="K1592" s="1" t="str">
        <f t="shared" si="99"/>
        <v>High the DSL line attenuation in Slot {#ZYXEL.SLOT.ID} Port {#ZYXEL.PORTID} (&gt;{$ZYXEL.ADSL.ATN.MAX}dB for 5m)</v>
      </c>
    </row>
    <row r="1593" spans="1:11">
      <c r="A1593" s="1">
        <v>3056</v>
      </c>
      <c r="B1593" s="1" t="s">
        <v>9683</v>
      </c>
      <c r="C1593" s="1" t="s">
        <v>9680</v>
      </c>
      <c r="D1593" s="1" t="s">
        <v>4500</v>
      </c>
      <c r="E1593" s="1" t="s">
        <v>4511</v>
      </c>
      <c r="F1593" s="1" t="s">
        <v>4506</v>
      </c>
      <c r="G1593" s="1" t="s">
        <v>4507</v>
      </c>
      <c r="H1593" s="1" t="str">
        <f t="shared" si="96"/>
        <v>ZYXEL IES-6000</v>
      </c>
      <c r="I1593" s="1" t="str">
        <f t="shared" si="97"/>
        <v>插槽{#ZYXEL.SLOT.ID}端口{#ZYXEL.PORTID}中DSL线路噪声容限低了(&lt;{$ZYXEL.ADSL.SNR.MIN}dB达5分钟)</v>
      </c>
      <c r="J1593" s="1" t="str">
        <f t="shared" si="98"/>
        <v>ZYXEL IES-6000: 插槽{#ZYXEL.SLOT.ID}端口{#ZYXEL.PORTID}中DSL线路噪声容限低了(&lt;{$ZYXEL.ADSL.SNR.MIN}dB达5分钟)</v>
      </c>
      <c r="K1593" s="1" t="str">
        <f t="shared" si="99"/>
        <v>Low the DSL line noise margins in Slot {#ZYXEL.SLOT.ID} Port {#ZYXEL.PORTID} (&lt;{$ZYXEL.ADSL.SNR.MIN}dB for 5m)</v>
      </c>
    </row>
    <row r="1594" spans="1:11">
      <c r="A1594" s="1">
        <v>3059</v>
      </c>
      <c r="B1594" s="1" t="s">
        <v>9683</v>
      </c>
      <c r="C1594" s="1" t="s">
        <v>9214</v>
      </c>
      <c r="D1594" s="1" t="s">
        <v>4500</v>
      </c>
      <c r="E1594" s="1" t="s">
        <v>4513</v>
      </c>
      <c r="F1594" s="1" t="s">
        <v>4514</v>
      </c>
      <c r="G1594" s="1" t="s">
        <v>4515</v>
      </c>
      <c r="H1594" s="1" t="str">
        <f t="shared" si="96"/>
        <v>ZYXEL IES-6000</v>
      </c>
      <c r="I1594" s="1" t="str">
        <f t="shared" si="97"/>
        <v>插槽{#ZYXEL.SLOT.ID}CPU使用率高了(超过{#ZYXEL.CPU.THRESH.HIGH}%达5分钟)</v>
      </c>
      <c r="J1594" s="1" t="str">
        <f t="shared" si="98"/>
        <v>ZYXEL IES-6000: 插槽{#ZYXEL.SLOT.ID}CPU使用率高了(超过{#ZYXEL.CPU.THRESH.HIGH}%达5分钟)</v>
      </c>
      <c r="K1594" s="1" t="str">
        <f t="shared" si="99"/>
        <v>Slot {#ZYXEL.SLOT.ID} high CPU utilization (over {#ZYXEL.CPU.THRESH.HIGH}% for 5m)</v>
      </c>
    </row>
    <row r="1595" spans="1:11">
      <c r="A1595" s="1">
        <v>3064</v>
      </c>
      <c r="B1595" s="1" t="s">
        <v>9683</v>
      </c>
      <c r="C1595" s="1" t="s">
        <v>9681</v>
      </c>
      <c r="D1595" s="1" t="s">
        <v>4500</v>
      </c>
      <c r="E1595" s="1" t="s">
        <v>4517</v>
      </c>
      <c r="F1595" s="1" t="s">
        <v>4518</v>
      </c>
      <c r="G1595" s="1" t="s">
        <v>4519</v>
      </c>
      <c r="H1595" s="1" t="str">
        <f t="shared" si="96"/>
        <v>ZYXEL IES-6000</v>
      </c>
      <c r="I1595" s="1" t="str">
        <f t="shared" si="97"/>
        <v>插槽{#ZYXEL.SLOT.ID}池中的高内存利用率(&gt;{#ZYXEL.MEMORYHIGHTHRESH}%达5分钟)</v>
      </c>
      <c r="J1595" s="1" t="str">
        <f t="shared" si="98"/>
        <v>ZYXEL IES-6000: 插槽{#ZYXEL.SLOT.ID}池中的高内存利用率(&gt;{#ZYXEL.MEMORYHIGHTHRESH}%达5分钟)</v>
      </c>
      <c r="K1595" s="1" t="str">
        <f t="shared" si="99"/>
        <v>High memory utilization in Slot {#ZYXEL.SLOT.ID} pool (&gt;{#ZYXEL.MEMORYHIGHTHRESH}% for 5m)</v>
      </c>
    </row>
    <row r="1596" spans="1:11">
      <c r="A1596" s="1">
        <v>3066</v>
      </c>
      <c r="B1596" s="1" t="s">
        <v>9683</v>
      </c>
      <c r="C1596" s="1" t="s">
        <v>9217</v>
      </c>
      <c r="D1596" s="1" t="s">
        <v>4500</v>
      </c>
      <c r="E1596" s="1" t="s">
        <v>4521</v>
      </c>
      <c r="F1596" s="1" t="s">
        <v>4522</v>
      </c>
      <c r="G1596" s="1" t="s">
        <v>4523</v>
      </c>
      <c r="H1596" s="1" t="str">
        <f t="shared" si="96"/>
        <v>ZYXEL IES-6000</v>
      </c>
      <c r="I1596" s="1" t="str">
        <f t="shared" si="97"/>
        <v>插槽{#ZYXEL.SLOT.ID}中的数据包缓冲区利用率高(&gt;{#ZYXEL.BUFFERHIGHTHRESH}%达5分钟)</v>
      </c>
      <c r="J1596" s="1" t="str">
        <f t="shared" si="98"/>
        <v>ZYXEL IES-6000: 插槽{#ZYXEL.SLOT.ID}中的数据包缓冲区利用率高(&gt;{#ZYXEL.BUFFERHIGHTHRESH}%达5分钟)</v>
      </c>
      <c r="K1596" s="1" t="str">
        <f t="shared" si="99"/>
        <v>High Packet buffer utilization in Slot {#ZYXEL.SLOT.ID} (&gt;{#ZYXEL.BUFFERHIGHTHRESH}% for 5m)</v>
      </c>
    </row>
    <row r="1597" spans="1:11">
      <c r="A1597" s="1">
        <v>3067</v>
      </c>
      <c r="B1597" s="1" t="s">
        <v>9683</v>
      </c>
      <c r="C1597" s="1" t="s">
        <v>9218</v>
      </c>
      <c r="D1597" s="1" t="s">
        <v>4500</v>
      </c>
      <c r="E1597" s="1" t="s">
        <v>4525</v>
      </c>
      <c r="F1597" s="1" t="s">
        <v>4526</v>
      </c>
      <c r="G1597" s="1" t="s">
        <v>4527</v>
      </c>
      <c r="H1597" s="1" t="str">
        <f t="shared" si="96"/>
        <v>ZYXEL IES-6000</v>
      </c>
      <c r="I1597" s="1" t="str">
        <f t="shared" si="97"/>
        <v>插槽{#ZYXEL.SLOT.ID}已更换(收到新序列号)</v>
      </c>
      <c r="J1597" s="1" t="str">
        <f t="shared" si="98"/>
        <v>ZYXEL IES-6000: 插槽{#ZYXEL.SLOT.ID}已更换(收到新序列号)</v>
      </c>
      <c r="K1597" s="1" t="str">
        <f t="shared" si="99"/>
        <v>Slot {#ZYXEL.SLOT.ID} has been replaced (new serial number received)</v>
      </c>
    </row>
    <row r="1598" spans="1:11">
      <c r="A1598" s="1">
        <v>3069</v>
      </c>
      <c r="B1598" s="1" t="s">
        <v>9683</v>
      </c>
      <c r="C1598" s="1" t="s">
        <v>9682</v>
      </c>
      <c r="D1598" s="1" t="s">
        <v>4500</v>
      </c>
      <c r="E1598" s="1" t="s">
        <v>4529</v>
      </c>
      <c r="F1598" s="1" t="s">
        <v>4530</v>
      </c>
      <c r="G1598" s="1" t="s">
        <v>4531</v>
      </c>
      <c r="H1598" s="1" t="str">
        <f t="shared" si="96"/>
        <v>ZYXEL IES-6000</v>
      </c>
      <c r="I1598" s="1" t="str">
        <f t="shared" si="97"/>
        <v>插槽{#ZYXEL.SLOT.ID}已重启(正常运行时间&lt;10分钟)</v>
      </c>
      <c r="J1598" s="1" t="str">
        <f t="shared" si="98"/>
        <v>ZYXEL IES-6000: 插槽{#ZYXEL.SLOT.ID}已重启(正常运行时间&lt;10分钟)</v>
      </c>
      <c r="K1598" s="1" t="str">
        <f t="shared" si="99"/>
        <v>Slot {#ZYXEL.SLOT.ID} has been restarted (uptime &lt; 10m)</v>
      </c>
    </row>
    <row r="1599" spans="1:11">
      <c r="A1599" s="1">
        <v>3072</v>
      </c>
      <c r="B1599" s="1" t="s">
        <v>9684</v>
      </c>
      <c r="C1599" s="1" t="s">
        <v>9572</v>
      </c>
      <c r="D1599" s="1" t="s">
        <v>4533</v>
      </c>
      <c r="E1599" s="1" t="s">
        <v>4534</v>
      </c>
      <c r="F1599" s="1" t="s">
        <v>4535</v>
      </c>
      <c r="G1599" s="1" t="s">
        <v>4536</v>
      </c>
      <c r="H1599" s="1" t="str">
        <f t="shared" si="96"/>
        <v>ZYXEL IES1248-51</v>
      </c>
      <c r="I1599" s="1" t="str">
        <f t="shared" si="97"/>
        <v>端口{#SNMPINDEX}中的DSL线路衰减高(&gt;{$ZYXEL.ADSL.ATN.MAX}dB达5分钟)</v>
      </c>
      <c r="J1599" s="1" t="str">
        <f t="shared" si="98"/>
        <v>ZYXEL IES1248-51: 端口{#SNMPINDEX}中的DSL线路衰减高(&gt;{$ZYXEL.ADSL.ATN.MAX}dB达5分钟)</v>
      </c>
      <c r="K1599" s="1" t="str">
        <f t="shared" si="99"/>
        <v>High the DSL line attenuation in Port {#SNMPINDEX} (&gt;{$ZYXEL.ADSL.ATN.MAX}dB for 5m)</v>
      </c>
    </row>
    <row r="1600" spans="1:11">
      <c r="A1600" s="1">
        <v>3073</v>
      </c>
      <c r="B1600" s="1" t="s">
        <v>9684</v>
      </c>
      <c r="C1600" s="1" t="s">
        <v>9573</v>
      </c>
      <c r="D1600" s="1" t="s">
        <v>4533</v>
      </c>
      <c r="E1600" s="1" t="s">
        <v>4538</v>
      </c>
      <c r="F1600" s="1" t="s">
        <v>4539</v>
      </c>
      <c r="G1600" s="1" t="s">
        <v>4540</v>
      </c>
      <c r="H1600" s="1" t="str">
        <f t="shared" si="96"/>
        <v>ZYXEL IES1248-51</v>
      </c>
      <c r="I1600" s="1" t="str">
        <f t="shared" si="97"/>
        <v>端口{#SNMPINDEX}中的DSL线路噪声容限低了(&lt;{$ZYXEL.ADSL.SNR.MIN}dB达5分钟)</v>
      </c>
      <c r="J1600" s="1" t="str">
        <f t="shared" si="98"/>
        <v>ZYXEL IES1248-51: 端口{#SNMPINDEX}中的DSL线路噪声容限低了(&lt;{$ZYXEL.ADSL.SNR.MIN}dB达5分钟)</v>
      </c>
      <c r="K1600" s="1" t="str">
        <f t="shared" si="99"/>
        <v>Low the DSL line noise margins in Port {#SNMPINDEX} (&lt;{$ZYXEL.ADSL.SNR.MIN}dB for 5m)</v>
      </c>
    </row>
    <row r="1601" spans="1:11">
      <c r="A1601" s="1">
        <v>3074</v>
      </c>
      <c r="B1601" s="1" t="s">
        <v>9684</v>
      </c>
      <c r="C1601" s="1" t="s">
        <v>9574</v>
      </c>
      <c r="D1601" s="1" t="s">
        <v>4533</v>
      </c>
      <c r="E1601" s="1" t="s">
        <v>4542</v>
      </c>
      <c r="F1601" s="1" t="s">
        <v>4535</v>
      </c>
      <c r="G1601" s="1" t="s">
        <v>4536</v>
      </c>
      <c r="H1601" s="1" t="str">
        <f t="shared" si="96"/>
        <v>ZYXEL IES1248-51</v>
      </c>
      <c r="I1601" s="1" t="str">
        <f t="shared" si="97"/>
        <v>端口{#SNMPINDEX}中的DSL线路衰减高(&gt;{$ZYXEL.ADSL.ATN.MAX}dB达5分钟)</v>
      </c>
      <c r="J1601" s="1" t="str">
        <f t="shared" si="98"/>
        <v>ZYXEL IES1248-51: 端口{#SNMPINDEX}中的DSL线路衰减高(&gt;{$ZYXEL.ADSL.ATN.MAX}dB达5分钟)</v>
      </c>
      <c r="K1601" s="1" t="str">
        <f t="shared" si="99"/>
        <v>High the DSL line attenuation in Port {#SNMPINDEX} (&gt;{$ZYXEL.ADSL.ATN.MAX}dB for 5m)</v>
      </c>
    </row>
    <row r="1602" spans="1:11">
      <c r="A1602" s="1">
        <v>3075</v>
      </c>
      <c r="B1602" s="1" t="s">
        <v>9684</v>
      </c>
      <c r="C1602" s="1" t="s">
        <v>9229</v>
      </c>
      <c r="D1602" s="1" t="s">
        <v>4533</v>
      </c>
      <c r="E1602" s="1" t="s">
        <v>4544</v>
      </c>
      <c r="F1602" s="1" t="s">
        <v>4539</v>
      </c>
      <c r="G1602" s="1" t="s">
        <v>4540</v>
      </c>
      <c r="H1602" s="1" t="str">
        <f t="shared" ref="H1602:H1631" si="100">IFERROR(IF(OR(MID(G1602,FIND(":",G1602)-1,1)="""",MID(G1602,FIND(":",G1602)-1,1)="}",MID(G1602,FIND(":",G1602)-1,1)=")",MID(G1602,FIND(":",G1602)-1,1)="]"),"",LEFT(F1602,FIND(":",F1602)-1)),"")</f>
        <v>ZYXEL IES1248-51</v>
      </c>
      <c r="I1602" s="1" t="str">
        <f t="shared" ref="I1602:I1631" si="101">IFERROR(IF(OR(MID(G1602,FIND(":",G1602)-1,1)="""",MID(G1602,FIND(":",G1602)-1,1)="}",MID(G1602,FIND(":",G1602)-1,1)=")",MID(G1602,FIND(":",G1602)-1,1)="]"),"",RIGHT(G1602,LEN(G1602)-FIND(":",G1602)-1)),"")</f>
        <v>端口{#SNMPINDEX}中的DSL线路噪声容限低了(&lt;{$ZYXEL.ADSL.SNR.MIN}dB达5分钟)</v>
      </c>
      <c r="J1602" s="1" t="str">
        <f t="shared" ref="J1602:J1631" si="102">IF(AND(I1602="",H1602=""),G1602,H1602&amp;": "&amp;I1602)</f>
        <v>ZYXEL IES1248-51: 端口{#SNMPINDEX}中的DSL线路噪声容限低了(&lt;{$ZYXEL.ADSL.SNR.MIN}dB达5分钟)</v>
      </c>
      <c r="K1602" s="1" t="str">
        <f t="shared" ref="K1602:K1631" si="103">IFERROR(IF(OR(MID(F1602,FIND(":",F1602)-1,1)="""",MID(F1602,FIND(":",F1602)-1,1)="}",MID(F1602,FIND(":",F1602)-1,1)=")",MID(F1602,FIND(":",F1602)-1,1)="]"),"",RIGHT(F1602,LEN(F1602)-FIND(":",F1602)-1)),"")</f>
        <v>Low the DSL line noise margins in Port {#SNMPINDEX} (&lt;{$ZYXEL.ADSL.SNR.MIN}dB for 5m)</v>
      </c>
    </row>
    <row r="1603" spans="1:11">
      <c r="A1603" s="1">
        <v>3080</v>
      </c>
      <c r="B1603" s="1" t="s">
        <v>9685</v>
      </c>
      <c r="C1603" s="1" t="s">
        <v>9207</v>
      </c>
      <c r="D1603" s="1" t="s">
        <v>4546</v>
      </c>
      <c r="E1603" s="1" t="s">
        <v>4547</v>
      </c>
      <c r="F1603" s="1" t="s">
        <v>4548</v>
      </c>
      <c r="G1603" s="1" t="s">
        <v>4549</v>
      </c>
      <c r="H1603" s="1" t="str">
        <f t="shared" si="100"/>
        <v>ZYXEL MES-3528</v>
      </c>
      <c r="I1603" s="1" t="str">
        <f t="shared" si="101"/>
        <v>SFP{#SNMPINDEX}已更换(收到新序列号)</v>
      </c>
      <c r="J1603" s="1" t="str">
        <f t="shared" si="102"/>
        <v>ZYXEL MES-3528: SFP{#SNMPINDEX}已更换(收到新序列号)</v>
      </c>
      <c r="K1603" s="1" t="str">
        <f t="shared" si="103"/>
        <v>SFP {#SNMPINDEX} has been replaced (new serial number received)</v>
      </c>
    </row>
    <row r="1604" spans="1:11">
      <c r="A1604" s="1">
        <v>3081</v>
      </c>
      <c r="B1604" s="1" t="s">
        <v>9685</v>
      </c>
      <c r="C1604" s="1" t="s">
        <v>9068</v>
      </c>
      <c r="D1604" s="1" t="s">
        <v>4546</v>
      </c>
      <c r="E1604" s="1" t="s">
        <v>4551</v>
      </c>
      <c r="F1604" s="1" t="s">
        <v>4552</v>
      </c>
      <c r="G1604" s="1" t="s">
        <v>4553</v>
      </c>
      <c r="H1604" s="1" t="str">
        <f t="shared" si="100"/>
        <v>ZYXEL MES-3528</v>
      </c>
      <c r="I1604" s="1" t="str">
        <f t="shared" si="101"/>
        <v>SFP{#ZYXEL.SFP.PORT}: {#ZYXEL.SFP.DESCRIPTION}高了(超过{#ZYXEL.SFP.WARN.MAX}{#ZYXEL.SFP.UNIT})</v>
      </c>
      <c r="J1604" s="1" t="str">
        <f t="shared" si="102"/>
        <v>ZYXEL MES-3528: SFP{#ZYXEL.SFP.PORT}: {#ZYXEL.SFP.DESCRIPTION}高了(超过{#ZYXEL.SFP.WARN.MAX}{#ZYXEL.SFP.UNIT})</v>
      </c>
      <c r="K1604" s="1" t="str">
        <f t="shared" si="103"/>
        <v>SFP {#ZYXEL.SFP.PORT}: High {#ZYXEL.SFP.DESCRIPTION} (over {#ZYXEL.SFP.WARN.MAX}{#ZYXEL.SFP.UNIT})</v>
      </c>
    </row>
    <row r="1605" spans="1:11">
      <c r="A1605" s="1">
        <v>3082</v>
      </c>
      <c r="B1605" s="1" t="s">
        <v>9685</v>
      </c>
      <c r="C1605" s="1" t="s">
        <v>9071</v>
      </c>
      <c r="D1605" s="1" t="s">
        <v>4546</v>
      </c>
      <c r="E1605" s="1" t="s">
        <v>4555</v>
      </c>
      <c r="F1605" s="1" t="s">
        <v>4556</v>
      </c>
      <c r="G1605" s="1" t="s">
        <v>4557</v>
      </c>
      <c r="H1605" s="1" t="str">
        <f t="shared" si="100"/>
        <v>ZYXEL MES-3528</v>
      </c>
      <c r="I1605" s="1" t="str">
        <f t="shared" si="101"/>
        <v>SFP{#ZYXEL.SFP.PORT}: {#ZYXEL.SFP.DESCRIPTION}低(小于{#ZYXEL.SFP.WARN.MIN}{#ZYXEL.SFP.UNIT})</v>
      </c>
      <c r="J1605" s="1" t="str">
        <f t="shared" si="102"/>
        <v>ZYXEL MES-3528: SFP{#ZYXEL.SFP.PORT}: {#ZYXEL.SFP.DESCRIPTION}低(小于{#ZYXEL.SFP.WARN.MIN}{#ZYXEL.SFP.UNIT})</v>
      </c>
      <c r="K1605" s="1" t="str">
        <f t="shared" si="103"/>
        <v>SFP {#ZYXEL.SFP.PORT}: Low {#ZYXEL.SFP.DESCRIPTION} (less than {#ZYXEL.SFP.WARN.MIN}{#ZYXEL.SFP.UNIT})</v>
      </c>
    </row>
    <row r="1606" spans="1:11">
      <c r="A1606" s="1">
        <v>3083</v>
      </c>
      <c r="B1606" s="1" t="s">
        <v>9686</v>
      </c>
      <c r="C1606" s="1" t="s">
        <v>9131</v>
      </c>
      <c r="D1606" s="1" t="s">
        <v>4559</v>
      </c>
      <c r="E1606" s="1" t="s">
        <v>4560</v>
      </c>
      <c r="F1606" s="1" t="s">
        <v>4561</v>
      </c>
      <c r="G1606" s="1" t="s">
        <v>4562</v>
      </c>
      <c r="H1606" s="1" t="str">
        <f t="shared" si="100"/>
        <v>ZYXEL MES3500-10</v>
      </c>
      <c r="I1606" s="1" t="str">
        <f t="shared" si="101"/>
        <v>"{#ZYXEL.MEMORY.NAME}"池中的内存利用率高了(&gt;{$MEMORY.UTIL.MAX}%达5分钟)</v>
      </c>
      <c r="J1606" s="1" t="str">
        <f t="shared" si="102"/>
        <v>ZYXEL MES3500-10: "{#ZYXEL.MEMORY.NAME}"池中的内存利用率高了(&gt;{$MEMORY.UTIL.MAX}%达5分钟)</v>
      </c>
      <c r="K1606" s="1" t="str">
        <f t="shared" si="103"/>
        <v>High memory utilization in "{#ZYXEL.MEMORY.NAME}" pool (&gt;{$MEMORY.UTIL.MAX}% for 5m)</v>
      </c>
    </row>
    <row r="1607" spans="1:11">
      <c r="A1607" s="1">
        <v>3086</v>
      </c>
      <c r="B1607" s="1" t="s">
        <v>9686</v>
      </c>
      <c r="C1607" s="1" t="s">
        <v>9134</v>
      </c>
      <c r="D1607" s="1" t="s">
        <v>4559</v>
      </c>
      <c r="E1607" s="1" t="s">
        <v>4564</v>
      </c>
      <c r="F1607" s="1" t="s">
        <v>4565</v>
      </c>
      <c r="G1607" s="1" t="s">
        <v>4566</v>
      </c>
      <c r="H1607" s="1" t="str">
        <f t="shared" si="100"/>
        <v>ZYXEL MES3500-10</v>
      </c>
      <c r="I1607" s="1" t="str">
        <f t="shared" si="101"/>
        <v>SFP{#SNMPINDEX}已更换(收到新序列号)</v>
      </c>
      <c r="J1607" s="1" t="str">
        <f t="shared" si="102"/>
        <v>ZYXEL MES3500-10: SFP{#SNMPINDEX}已更换(收到新序列号)</v>
      </c>
      <c r="K1607" s="1" t="str">
        <f t="shared" si="103"/>
        <v>SFP {#SNMPINDEX} has been replaced (new serial number received)</v>
      </c>
    </row>
    <row r="1608" spans="1:11">
      <c r="A1608" s="1">
        <v>3087</v>
      </c>
      <c r="B1608" s="1" t="s">
        <v>9686</v>
      </c>
      <c r="C1608" s="1" t="s">
        <v>9135</v>
      </c>
      <c r="D1608" s="1" t="s">
        <v>4559</v>
      </c>
      <c r="E1608" s="1" t="s">
        <v>4568</v>
      </c>
      <c r="F1608" s="1" t="s">
        <v>4569</v>
      </c>
      <c r="G1608" s="1" t="s">
        <v>4570</v>
      </c>
      <c r="H1608" s="1" t="str">
        <f t="shared" si="100"/>
        <v>ZYXEL MES3500-10</v>
      </c>
      <c r="I1608" s="1" t="str">
        <f t="shared" si="101"/>
        <v>SFP{#ZYXEL.SFP.PORT}: {#ZYXEL.SFP.DESCRIPTION}高(超过{#ZYXEL.SFP.WARN.MAX}{#ZYXEL.SFP.UNIT})</v>
      </c>
      <c r="J1608" s="1" t="str">
        <f t="shared" si="102"/>
        <v>ZYXEL MES3500-10: SFP{#ZYXEL.SFP.PORT}: {#ZYXEL.SFP.DESCRIPTION}高(超过{#ZYXEL.SFP.WARN.MAX}{#ZYXEL.SFP.UNIT})</v>
      </c>
      <c r="K1608" s="1" t="str">
        <f t="shared" si="103"/>
        <v>SFP {#ZYXEL.SFP.PORT}: High {#ZYXEL.SFP.DESCRIPTION} (over {#ZYXEL.SFP.WARN.MAX}{#ZYXEL.SFP.UNIT})</v>
      </c>
    </row>
    <row r="1609" spans="1:11">
      <c r="A1609" s="1">
        <v>3088</v>
      </c>
      <c r="B1609" s="1" t="s">
        <v>9686</v>
      </c>
      <c r="C1609" s="1" t="s">
        <v>9136</v>
      </c>
      <c r="D1609" s="1" t="s">
        <v>4559</v>
      </c>
      <c r="E1609" s="1" t="s">
        <v>4572</v>
      </c>
      <c r="F1609" s="1" t="s">
        <v>4573</v>
      </c>
      <c r="G1609" s="1" t="s">
        <v>4574</v>
      </c>
      <c r="H1609" s="1" t="str">
        <f t="shared" si="100"/>
        <v>ZYXEL MES3500-10</v>
      </c>
      <c r="I1609" s="1" t="str">
        <f t="shared" si="101"/>
        <v>SFP{#ZYXEL.SFP.PORT}: {#ZYXEL.SFP.DESCRIPTION}低(小于{#ZYXEL.SFP.WARN.MIN}{#ZYXEL.SFP.UNIT})</v>
      </c>
      <c r="J1609" s="1" t="str">
        <f t="shared" si="102"/>
        <v>ZYXEL MES3500-10: SFP{#ZYXEL.SFP.PORT}: {#ZYXEL.SFP.DESCRIPTION}低(小于{#ZYXEL.SFP.WARN.MIN}{#ZYXEL.SFP.UNIT})</v>
      </c>
      <c r="K1609" s="1" t="str">
        <f t="shared" si="103"/>
        <v>SFP {#ZYXEL.SFP.PORT}: Low {#ZYXEL.SFP.DESCRIPTION} (less than {#ZYXEL.SFP.WARN.MIN}{#ZYXEL.SFP.UNIT})</v>
      </c>
    </row>
    <row r="1610" spans="1:11">
      <c r="A1610" s="1">
        <v>3090</v>
      </c>
      <c r="B1610" s="1" t="s">
        <v>9687</v>
      </c>
      <c r="C1610" s="1" t="s">
        <v>9131</v>
      </c>
      <c r="D1610" s="1" t="s">
        <v>4576</v>
      </c>
      <c r="E1610" s="1" t="s">
        <v>4577</v>
      </c>
      <c r="F1610" s="1" t="s">
        <v>4578</v>
      </c>
      <c r="G1610" s="1" t="s">
        <v>4579</v>
      </c>
      <c r="H1610" s="1" t="str">
        <f t="shared" si="100"/>
        <v>ZYXEL MES3500-24</v>
      </c>
      <c r="I1610" s="1" t="str">
        <f t="shared" si="101"/>
        <v>"{#ZYXEL.MEMORY.NAME}"池中的内存利用率高了(&gt;{$MEMORY.UTIL.MAX}%达5分钟)</v>
      </c>
      <c r="J1610" s="1" t="str">
        <f t="shared" si="102"/>
        <v>ZYXEL MES3500-24: "{#ZYXEL.MEMORY.NAME}"池中的内存利用率高了(&gt;{$MEMORY.UTIL.MAX}%达5分钟)</v>
      </c>
      <c r="K1610" s="1" t="str">
        <f t="shared" si="103"/>
        <v>High memory utilization in "{#ZYXEL.MEMORY.NAME}" pool (&gt;{$MEMORY.UTIL.MAX}% for 5m)</v>
      </c>
    </row>
    <row r="1611" spans="1:11">
      <c r="A1611" s="1">
        <v>3093</v>
      </c>
      <c r="B1611" s="1" t="s">
        <v>9687</v>
      </c>
      <c r="C1611" s="1" t="s">
        <v>9134</v>
      </c>
      <c r="D1611" s="1" t="s">
        <v>4576</v>
      </c>
      <c r="E1611" s="1" t="s">
        <v>4581</v>
      </c>
      <c r="F1611" s="1" t="s">
        <v>4582</v>
      </c>
      <c r="G1611" s="1" t="s">
        <v>4583</v>
      </c>
      <c r="H1611" s="1" t="str">
        <f t="shared" si="100"/>
        <v>ZYXEL MES3500-24</v>
      </c>
      <c r="I1611" s="1" t="str">
        <f t="shared" si="101"/>
        <v>SFP{#SNMPINDEX}已更换(收到新序列号)</v>
      </c>
      <c r="J1611" s="1" t="str">
        <f t="shared" si="102"/>
        <v>ZYXEL MES3500-24: SFP{#SNMPINDEX}已更换(收到新序列号)</v>
      </c>
      <c r="K1611" s="1" t="str">
        <f t="shared" si="103"/>
        <v>SFP {#SNMPINDEX} has been replaced (new serial number received)</v>
      </c>
    </row>
    <row r="1612" spans="1:11">
      <c r="A1612" s="1">
        <v>3094</v>
      </c>
      <c r="B1612" s="1" t="s">
        <v>9687</v>
      </c>
      <c r="C1612" s="1" t="s">
        <v>9135</v>
      </c>
      <c r="D1612" s="1" t="s">
        <v>4576</v>
      </c>
      <c r="E1612" s="1" t="s">
        <v>4585</v>
      </c>
      <c r="F1612" s="1" t="s">
        <v>4586</v>
      </c>
      <c r="G1612" s="1" t="s">
        <v>4587</v>
      </c>
      <c r="H1612" s="1" t="str">
        <f t="shared" si="100"/>
        <v>ZYXEL MES3500-24</v>
      </c>
      <c r="I1612" s="1" t="str">
        <f t="shared" si="101"/>
        <v>SFP{#ZYXEL.SFP.PORT}: {#ZYXEL.SFP.DESCRIPTION}高(超过{#ZYXEL.SFP.WARN.MAX}{#ZYXEL.SFP.UNIT})</v>
      </c>
      <c r="J1612" s="1" t="str">
        <f t="shared" si="102"/>
        <v>ZYXEL MES3500-24: SFP{#ZYXEL.SFP.PORT}: {#ZYXEL.SFP.DESCRIPTION}高(超过{#ZYXEL.SFP.WARN.MAX}{#ZYXEL.SFP.UNIT})</v>
      </c>
      <c r="K1612" s="1" t="str">
        <f t="shared" si="103"/>
        <v>SFP {#ZYXEL.SFP.PORT}: High {#ZYXEL.SFP.DESCRIPTION} (over {#ZYXEL.SFP.WARN.MAX}{#ZYXEL.SFP.UNIT})</v>
      </c>
    </row>
    <row r="1613" spans="1:11">
      <c r="A1613" s="1">
        <v>3095</v>
      </c>
      <c r="B1613" s="1" t="s">
        <v>9687</v>
      </c>
      <c r="C1613" s="1" t="s">
        <v>9136</v>
      </c>
      <c r="D1613" s="1" t="s">
        <v>4576</v>
      </c>
      <c r="E1613" s="1" t="s">
        <v>4589</v>
      </c>
      <c r="F1613" s="1" t="s">
        <v>4590</v>
      </c>
      <c r="G1613" s="1" t="s">
        <v>4591</v>
      </c>
      <c r="H1613" s="1" t="str">
        <f t="shared" si="100"/>
        <v>ZYXEL MES3500-24</v>
      </c>
      <c r="I1613" s="1" t="str">
        <f t="shared" si="101"/>
        <v>SFP{#ZYXEL.SFP.PORT}: {#ZYXEL.SFP.DESCRIPTION}低(小于{#ZYXEL.SFP.WARN.MIN}{#ZYXEL.SFP.UNIT})</v>
      </c>
      <c r="J1613" s="1" t="str">
        <f t="shared" si="102"/>
        <v>ZYXEL MES3500-24: SFP{#ZYXEL.SFP.PORT}: {#ZYXEL.SFP.DESCRIPTION}低(小于{#ZYXEL.SFP.WARN.MIN}{#ZYXEL.SFP.UNIT})</v>
      </c>
      <c r="K1613" s="1" t="str">
        <f t="shared" si="103"/>
        <v>SFP {#ZYXEL.SFP.PORT}: Low {#ZYXEL.SFP.DESCRIPTION} (less than {#ZYXEL.SFP.WARN.MIN}{#ZYXEL.SFP.UNIT})</v>
      </c>
    </row>
    <row r="1614" spans="1:11">
      <c r="A1614" s="1">
        <v>3099</v>
      </c>
      <c r="B1614" s="1" t="s">
        <v>9688</v>
      </c>
      <c r="C1614" s="1" t="s">
        <v>9133</v>
      </c>
      <c r="D1614" s="1" t="s">
        <v>4593</v>
      </c>
      <c r="E1614" s="1" t="s">
        <v>4594</v>
      </c>
      <c r="F1614" s="1" t="s">
        <v>4595</v>
      </c>
      <c r="G1614" s="1" t="s">
        <v>4596</v>
      </c>
      <c r="H1614" s="1" t="str">
        <f t="shared" si="100"/>
        <v>ZYXEL MES3500-24S</v>
      </c>
      <c r="I1614" s="1" t="str">
        <f t="shared" si="101"/>
        <v>SFP{#SNMPINDEX}已更换(收到新序列号)</v>
      </c>
      <c r="J1614" s="1" t="str">
        <f t="shared" si="102"/>
        <v>ZYXEL MES3500-24S: SFP{#SNMPINDEX}已更换(收到新序列号)</v>
      </c>
      <c r="K1614" s="1" t="str">
        <f t="shared" si="103"/>
        <v>SFP {#SNMPINDEX} has been replaced (new serial number received)</v>
      </c>
    </row>
    <row r="1615" spans="1:11">
      <c r="A1615" s="1">
        <v>3100</v>
      </c>
      <c r="B1615" s="1" t="s">
        <v>9688</v>
      </c>
      <c r="C1615" s="1" t="s">
        <v>9134</v>
      </c>
      <c r="D1615" s="1" t="s">
        <v>4593</v>
      </c>
      <c r="E1615" s="1" t="s">
        <v>4598</v>
      </c>
      <c r="F1615" s="1" t="s">
        <v>4599</v>
      </c>
      <c r="G1615" s="1" t="s">
        <v>4600</v>
      </c>
      <c r="H1615" s="1" t="str">
        <f t="shared" si="100"/>
        <v>ZYXEL MES3500-24S</v>
      </c>
      <c r="I1615" s="1" t="str">
        <f t="shared" si="101"/>
        <v>SFP{#ZYXEL.SFP.PORT}: {#ZYXEL.SFP.DESCRIPTION}高(超过{#ZYXEL.SFP.WARN.MAX}{#ZYXEL.SFP.UNIT})</v>
      </c>
      <c r="J1615" s="1" t="str">
        <f t="shared" si="102"/>
        <v>ZYXEL MES3500-24S: SFP{#ZYXEL.SFP.PORT}: {#ZYXEL.SFP.DESCRIPTION}高(超过{#ZYXEL.SFP.WARN.MAX}{#ZYXEL.SFP.UNIT})</v>
      </c>
      <c r="K1615" s="1" t="str">
        <f t="shared" si="103"/>
        <v>SFP {#ZYXEL.SFP.PORT}: High {#ZYXEL.SFP.DESCRIPTION} (over {#ZYXEL.SFP.WARN.MAX}{#ZYXEL.SFP.UNIT})</v>
      </c>
    </row>
    <row r="1616" spans="1:11">
      <c r="A1616" s="1">
        <v>3101</v>
      </c>
      <c r="B1616" s="1" t="s">
        <v>9688</v>
      </c>
      <c r="C1616" s="1" t="s">
        <v>9135</v>
      </c>
      <c r="D1616" s="1" t="s">
        <v>4593</v>
      </c>
      <c r="E1616" s="1" t="s">
        <v>4602</v>
      </c>
      <c r="F1616" s="1" t="s">
        <v>4603</v>
      </c>
      <c r="G1616" s="1" t="s">
        <v>4604</v>
      </c>
      <c r="H1616" s="1" t="str">
        <f t="shared" si="100"/>
        <v>ZYXEL MES3500-24S</v>
      </c>
      <c r="I1616" s="1" t="str">
        <f t="shared" si="101"/>
        <v>SFP{#ZYXEL.SFP.PORT}: {#ZYXEL.SFP.DESCRIPTION}低(小于{#ZYXEL.SFP.WARN.MIN}{#ZYXEL.SFP.UNIT})</v>
      </c>
      <c r="J1616" s="1" t="str">
        <f t="shared" si="102"/>
        <v>ZYXEL MES3500-24S: SFP{#ZYXEL.SFP.PORT}: {#ZYXEL.SFP.DESCRIPTION}低(小于{#ZYXEL.SFP.WARN.MIN}{#ZYXEL.SFP.UNIT})</v>
      </c>
      <c r="K1616" s="1" t="str">
        <f t="shared" si="103"/>
        <v>SFP {#ZYXEL.SFP.PORT}: Low {#ZYXEL.SFP.DESCRIPTION} (less than {#ZYXEL.SFP.WARN.MIN}{#ZYXEL.SFP.UNIT})</v>
      </c>
    </row>
    <row r="1617" spans="1:11">
      <c r="A1617" s="1">
        <v>3107</v>
      </c>
      <c r="B1617" s="1" t="s">
        <v>9689</v>
      </c>
      <c r="C1617" s="1" t="s">
        <v>9134</v>
      </c>
      <c r="D1617" s="1" t="s">
        <v>4606</v>
      </c>
      <c r="E1617" s="1" t="s">
        <v>4607</v>
      </c>
      <c r="F1617" s="1" t="s">
        <v>4608</v>
      </c>
      <c r="G1617" s="1" t="s">
        <v>4609</v>
      </c>
      <c r="H1617" s="1" t="str">
        <f t="shared" si="100"/>
        <v>ZYXEL MGS-3712</v>
      </c>
      <c r="I1617" s="1" t="str">
        <f t="shared" si="101"/>
        <v>SFP{#SNMPINDEX}已更换(收到新序列号)</v>
      </c>
      <c r="J1617" s="1" t="str">
        <f t="shared" si="102"/>
        <v>ZYXEL MGS-3712: SFP{#SNMPINDEX}已更换(收到新序列号)</v>
      </c>
      <c r="K1617" s="1" t="str">
        <f t="shared" si="103"/>
        <v>SFP {#SNMPINDEX} has been replaced (new serial number received)</v>
      </c>
    </row>
    <row r="1618" spans="1:11">
      <c r="A1618" s="1">
        <v>3108</v>
      </c>
      <c r="B1618" s="1" t="s">
        <v>9689</v>
      </c>
      <c r="C1618" s="1" t="s">
        <v>9135</v>
      </c>
      <c r="D1618" s="1" t="s">
        <v>4606</v>
      </c>
      <c r="E1618" s="1" t="s">
        <v>4611</v>
      </c>
      <c r="F1618" s="1" t="s">
        <v>4612</v>
      </c>
      <c r="G1618" s="1" t="s">
        <v>4613</v>
      </c>
      <c r="H1618" s="1" t="str">
        <f t="shared" si="100"/>
        <v>ZYXEL MGS-3712</v>
      </c>
      <c r="I1618" s="1" t="str">
        <f t="shared" si="101"/>
        <v>SFP{#ZYXEL.SFP.PORT}: {#ZYXEL.SFP.DESCRIPTION}高(超过{#ZYXEL.SFP.WARN.MAX}{#ZYXEL.SFP.UNIT})</v>
      </c>
      <c r="J1618" s="1" t="str">
        <f t="shared" si="102"/>
        <v>ZYXEL MGS-3712: SFP{#ZYXEL.SFP.PORT}: {#ZYXEL.SFP.DESCRIPTION}高(超过{#ZYXEL.SFP.WARN.MAX}{#ZYXEL.SFP.UNIT})</v>
      </c>
      <c r="K1618" s="1" t="str">
        <f t="shared" si="103"/>
        <v>SFP {#ZYXEL.SFP.PORT}: High {#ZYXEL.SFP.DESCRIPTION} (over {#ZYXEL.SFP.WARN.MAX}{#ZYXEL.SFP.UNIT})</v>
      </c>
    </row>
    <row r="1619" spans="1:11">
      <c r="A1619" s="1">
        <v>3109</v>
      </c>
      <c r="B1619" s="1" t="s">
        <v>9689</v>
      </c>
      <c r="C1619" s="1" t="s">
        <v>9136</v>
      </c>
      <c r="D1619" s="1" t="s">
        <v>4606</v>
      </c>
      <c r="E1619" s="1" t="s">
        <v>4615</v>
      </c>
      <c r="F1619" s="1" t="s">
        <v>4616</v>
      </c>
      <c r="G1619" s="1" t="s">
        <v>4617</v>
      </c>
      <c r="H1619" s="1" t="str">
        <f t="shared" si="100"/>
        <v>ZYXEL MGS-3712</v>
      </c>
      <c r="I1619" s="1" t="str">
        <f t="shared" si="101"/>
        <v>SFP{#ZYXEL.SFP.PORT}: {#ZYXEL.SFP.DESCRIPTION}低(小于{#ZYXEL.SFP.WARN.MIN}{#ZYXEL.SFP.UNIT})</v>
      </c>
      <c r="J1619" s="1" t="str">
        <f t="shared" si="102"/>
        <v>ZYXEL MGS-3712: SFP{#ZYXEL.SFP.PORT}: {#ZYXEL.SFP.DESCRIPTION}低(小于{#ZYXEL.SFP.WARN.MIN}{#ZYXEL.SFP.UNIT})</v>
      </c>
      <c r="K1619" s="1" t="str">
        <f t="shared" si="103"/>
        <v>SFP {#ZYXEL.SFP.PORT}: Low {#ZYXEL.SFP.DESCRIPTION} (less than {#ZYXEL.SFP.WARN.MIN}{#ZYXEL.SFP.UNIT})</v>
      </c>
    </row>
    <row r="1620" spans="1:11">
      <c r="A1620" s="1">
        <v>3114</v>
      </c>
      <c r="B1620" s="1" t="s">
        <v>9690</v>
      </c>
      <c r="C1620" s="1" t="s">
        <v>9134</v>
      </c>
      <c r="D1620" s="1" t="s">
        <v>4619</v>
      </c>
      <c r="E1620" s="1" t="s">
        <v>4620</v>
      </c>
      <c r="F1620" s="1" t="s">
        <v>4621</v>
      </c>
      <c r="G1620" s="1" t="s">
        <v>4622</v>
      </c>
      <c r="H1620" s="1" t="str">
        <f t="shared" si="100"/>
        <v>ZYXEL MGS-3712F</v>
      </c>
      <c r="I1620" s="1" t="str">
        <f t="shared" si="101"/>
        <v>SFP{#SNMPINDEX}已更换(收到新序列号)</v>
      </c>
      <c r="J1620" s="1" t="str">
        <f t="shared" si="102"/>
        <v>ZYXEL MGS-3712F: SFP{#SNMPINDEX}已更换(收到新序列号)</v>
      </c>
      <c r="K1620" s="1" t="str">
        <f t="shared" si="103"/>
        <v>SFP {#SNMPINDEX} has been replaced (new serial number received)</v>
      </c>
    </row>
    <row r="1621" spans="1:11">
      <c r="A1621" s="1">
        <v>3115</v>
      </c>
      <c r="B1621" s="1" t="s">
        <v>9690</v>
      </c>
      <c r="C1621" s="1" t="s">
        <v>9135</v>
      </c>
      <c r="D1621" s="1" t="s">
        <v>4619</v>
      </c>
      <c r="E1621" s="1" t="s">
        <v>4624</v>
      </c>
      <c r="F1621" s="1" t="s">
        <v>4625</v>
      </c>
      <c r="G1621" s="1" t="s">
        <v>4626</v>
      </c>
      <c r="H1621" s="1" t="str">
        <f t="shared" si="100"/>
        <v>ZYXEL MGS-3712F</v>
      </c>
      <c r="I1621" s="1" t="str">
        <f t="shared" si="101"/>
        <v>SFP{#ZYXEL.SFP.PORT}: {#ZYXEL.SFP.DESCRIPTION}高(超过{#ZYXEL.SFP.WARN.MAX}{#ZYXEL.SFP.UNIT})</v>
      </c>
      <c r="J1621" s="1" t="str">
        <f t="shared" si="102"/>
        <v>ZYXEL MGS-3712F: SFP{#ZYXEL.SFP.PORT}: {#ZYXEL.SFP.DESCRIPTION}高(超过{#ZYXEL.SFP.WARN.MAX}{#ZYXEL.SFP.UNIT})</v>
      </c>
      <c r="K1621" s="1" t="str">
        <f t="shared" si="103"/>
        <v>SFP {#ZYXEL.SFP.PORT}: High {#ZYXEL.SFP.DESCRIPTION} (over {#ZYXEL.SFP.WARN.MAX}{#ZYXEL.SFP.UNIT})</v>
      </c>
    </row>
    <row r="1622" spans="1:11">
      <c r="A1622" s="1">
        <v>3116</v>
      </c>
      <c r="B1622" s="1" t="s">
        <v>9690</v>
      </c>
      <c r="C1622" s="1" t="s">
        <v>9136</v>
      </c>
      <c r="D1622" s="1" t="s">
        <v>4619</v>
      </c>
      <c r="E1622" s="1" t="s">
        <v>4628</v>
      </c>
      <c r="F1622" s="1" t="s">
        <v>4629</v>
      </c>
      <c r="G1622" s="1" t="s">
        <v>4630</v>
      </c>
      <c r="H1622" s="1" t="str">
        <f t="shared" si="100"/>
        <v>ZYXEL MGS-3712F</v>
      </c>
      <c r="I1622" s="1" t="str">
        <f t="shared" si="101"/>
        <v>SFP{#ZYXEL.SFP.PORT}: {#ZYXEL.SFP.DESCRIPTION}低(小于{#ZYXEL.SFP.WARN.MIN}{#ZYXEL.SFP.UNIT})</v>
      </c>
      <c r="J1622" s="1" t="str">
        <f t="shared" si="102"/>
        <v>ZYXEL MGS-3712F: SFP{#ZYXEL.SFP.PORT}: {#ZYXEL.SFP.DESCRIPTION}低(小于{#ZYXEL.SFP.WARN.MIN}{#ZYXEL.SFP.UNIT})</v>
      </c>
      <c r="K1622" s="1" t="str">
        <f t="shared" si="103"/>
        <v>SFP {#ZYXEL.SFP.PORT}: Low {#ZYXEL.SFP.DESCRIPTION} (less than {#ZYXEL.SFP.WARN.MIN}{#ZYXEL.SFP.UNIT})</v>
      </c>
    </row>
    <row r="1623" spans="1:11">
      <c r="A1623" s="1">
        <v>3120</v>
      </c>
      <c r="B1623" s="1" t="s">
        <v>9691</v>
      </c>
      <c r="C1623" s="1" t="s">
        <v>9133</v>
      </c>
      <c r="D1623" s="1" t="s">
        <v>4632</v>
      </c>
      <c r="E1623" s="1" t="s">
        <v>4633</v>
      </c>
      <c r="F1623" s="1" t="s">
        <v>4634</v>
      </c>
      <c r="G1623" s="1" t="s">
        <v>4635</v>
      </c>
      <c r="H1623" s="1" t="str">
        <f t="shared" si="100"/>
        <v>ZYXEL MGS3520-28x</v>
      </c>
      <c r="I1623" s="1" t="str">
        <f t="shared" si="101"/>
        <v>SFP{#SNMPINDEX}已更换(收到新序列号)</v>
      </c>
      <c r="J1623" s="1" t="str">
        <f t="shared" si="102"/>
        <v>ZYXEL MGS3520-28x: SFP{#SNMPINDEX}已更换(收到新序列号)</v>
      </c>
      <c r="K1623" s="1" t="str">
        <f t="shared" si="103"/>
        <v>SFP {#SNMPINDEX} has been replaced (new serial number received)</v>
      </c>
    </row>
    <row r="1624" spans="1:11">
      <c r="A1624" s="1">
        <v>3121</v>
      </c>
      <c r="B1624" s="1" t="s">
        <v>9691</v>
      </c>
      <c r="C1624" s="1" t="s">
        <v>9134</v>
      </c>
      <c r="D1624" s="1" t="s">
        <v>4632</v>
      </c>
      <c r="E1624" s="1" t="s">
        <v>4637</v>
      </c>
      <c r="F1624" s="1" t="s">
        <v>4638</v>
      </c>
      <c r="G1624" s="1" t="s">
        <v>4639</v>
      </c>
      <c r="H1624" s="1" t="str">
        <f t="shared" si="100"/>
        <v>ZYXEL MGS3520-28x</v>
      </c>
      <c r="I1624" s="1" t="str">
        <f t="shared" si="101"/>
        <v>SFP{#ZYXEL.SFP.PORT}: {#ZYXEL.SFP.DESCRIPTION}高(超过{#ZYXEL.SFP.WARN.MAX}{#ZYXEL.SFP.UNIT})</v>
      </c>
      <c r="J1624" s="1" t="str">
        <f t="shared" si="102"/>
        <v>ZYXEL MGS3520-28x: SFP{#ZYXEL.SFP.PORT}: {#ZYXEL.SFP.DESCRIPTION}高(超过{#ZYXEL.SFP.WARN.MAX}{#ZYXEL.SFP.UNIT})</v>
      </c>
      <c r="K1624" s="1" t="str">
        <f t="shared" si="103"/>
        <v>SFP {#ZYXEL.SFP.PORT}: High {#ZYXEL.SFP.DESCRIPTION} (over {#ZYXEL.SFP.WARN.MAX}{#ZYXEL.SFP.UNIT})</v>
      </c>
    </row>
    <row r="1625" spans="1:11">
      <c r="A1625" s="1">
        <v>3122</v>
      </c>
      <c r="B1625" s="1" t="s">
        <v>9691</v>
      </c>
      <c r="C1625" s="1" t="s">
        <v>9135</v>
      </c>
      <c r="D1625" s="1" t="s">
        <v>4632</v>
      </c>
      <c r="E1625" s="1" t="s">
        <v>4641</v>
      </c>
      <c r="F1625" s="1" t="s">
        <v>4642</v>
      </c>
      <c r="G1625" s="1" t="s">
        <v>4643</v>
      </c>
      <c r="H1625" s="1" t="str">
        <f t="shared" si="100"/>
        <v>ZYXEL MGS3520-28x</v>
      </c>
      <c r="I1625" s="1" t="str">
        <f t="shared" si="101"/>
        <v>SFP{#ZYXEL.SFP.PORT}: {#ZYXEL.SFP.DESCRIPTION}低(小于{#ZYXEL.SFP.WARN.MIN}{#ZYXEL.SFP.UNIT})</v>
      </c>
      <c r="J1625" s="1" t="str">
        <f t="shared" si="102"/>
        <v>ZYXEL MGS3520-28x: SFP{#ZYXEL.SFP.PORT}: {#ZYXEL.SFP.DESCRIPTION}低(小于{#ZYXEL.SFP.WARN.MIN}{#ZYXEL.SFP.UNIT})</v>
      </c>
      <c r="K1625" s="1" t="str">
        <f t="shared" si="103"/>
        <v>SFP {#ZYXEL.SFP.PORT}: Low {#ZYXEL.SFP.DESCRIPTION} (less than {#ZYXEL.SFP.WARN.MIN}{#ZYXEL.SFP.UNIT})</v>
      </c>
    </row>
    <row r="1626" spans="1:11">
      <c r="A1626" s="1">
        <v>3126</v>
      </c>
      <c r="B1626" s="1" t="s">
        <v>9692</v>
      </c>
      <c r="C1626" s="1" t="s">
        <v>9676</v>
      </c>
      <c r="D1626" s="1" t="s">
        <v>4645</v>
      </c>
      <c r="E1626" s="1" t="s">
        <v>4646</v>
      </c>
      <c r="F1626" s="1" t="s">
        <v>4647</v>
      </c>
      <c r="G1626" s="1" t="s">
        <v>4648</v>
      </c>
      <c r="H1626" s="1" t="str">
        <f t="shared" si="100"/>
        <v>ZYXEL XGS-4728F</v>
      </c>
      <c r="I1626" s="1" t="str">
        <f t="shared" si="101"/>
        <v>"{#ZYXEL.MEMORY.NAME}"池中的内存利用率高了(&gt;{$MEMORY.UTIL.MAX}%为5分钟)</v>
      </c>
      <c r="J1626" s="1" t="str">
        <f t="shared" si="102"/>
        <v>ZYXEL XGS-4728F: "{#ZYXEL.MEMORY.NAME}"池中的内存利用率高了(&gt;{$MEMORY.UTIL.MAX}%为5分钟)</v>
      </c>
      <c r="K1626" s="1" t="str">
        <f t="shared" si="103"/>
        <v>High memory utilization in "{#ZYXEL.MEMORY.NAME}" pool (&gt;{$MEMORY.UTIL.MAX}% for 5m)</v>
      </c>
    </row>
    <row r="1627" spans="1:11">
      <c r="A1627" s="1">
        <v>3129</v>
      </c>
      <c r="B1627" s="1" t="s">
        <v>9692</v>
      </c>
      <c r="C1627" s="1" t="s">
        <v>9338</v>
      </c>
      <c r="D1627" s="1" t="s">
        <v>4645</v>
      </c>
      <c r="E1627" s="1" t="s">
        <v>4650</v>
      </c>
      <c r="F1627" s="1" t="s">
        <v>4651</v>
      </c>
      <c r="G1627" s="1" t="s">
        <v>4652</v>
      </c>
      <c r="H1627" s="1" t="str">
        <f t="shared" si="100"/>
        <v>ZYXEL XGS-4728F</v>
      </c>
      <c r="I1627" s="1" t="str">
        <f t="shared" si="101"/>
        <v>SFP{#SNMPINDEX}已更换(收到新序列号)</v>
      </c>
      <c r="J1627" s="1" t="str">
        <f t="shared" si="102"/>
        <v>ZYXEL XGS-4728F: SFP{#SNMPINDEX}已更换(收到新序列号)</v>
      </c>
      <c r="K1627" s="1" t="str">
        <f t="shared" si="103"/>
        <v>SFP {#SNMPINDEX} has been replaced (new serial number received)</v>
      </c>
    </row>
    <row r="1628" spans="1:11">
      <c r="A1628" s="1">
        <v>3130</v>
      </c>
      <c r="B1628" s="1" t="s">
        <v>9692</v>
      </c>
      <c r="C1628" s="1" t="s">
        <v>9564</v>
      </c>
      <c r="D1628" s="1" t="s">
        <v>4645</v>
      </c>
      <c r="E1628" s="1" t="s">
        <v>4654</v>
      </c>
      <c r="F1628" s="1" t="s">
        <v>4655</v>
      </c>
      <c r="G1628" s="1" t="s">
        <v>4656</v>
      </c>
      <c r="H1628" s="1" t="str">
        <f t="shared" si="100"/>
        <v>ZYXEL XGS-4728F</v>
      </c>
      <c r="I1628" s="1" t="str">
        <f t="shared" si="101"/>
        <v>SFP{#ZYXEL.SFP.PORT}: {#ZYXEL.SFP.DESCRIPTION}高(超过{#ZYXEL.SFP.WARN.MAX}{#ZYXEL.SFP.UNIT})</v>
      </c>
      <c r="J1628" s="1" t="str">
        <f t="shared" si="102"/>
        <v>ZYXEL XGS-4728F: SFP{#ZYXEL.SFP.PORT}: {#ZYXEL.SFP.DESCRIPTION}高(超过{#ZYXEL.SFP.WARN.MAX}{#ZYXEL.SFP.UNIT})</v>
      </c>
      <c r="K1628" s="1" t="str">
        <f t="shared" si="103"/>
        <v>SFP {#ZYXEL.SFP.PORT}: High {#ZYXEL.SFP.DESCRIPTION} (over {#ZYXEL.SFP.WARN.MAX}{#ZYXEL.SFP.UNIT})</v>
      </c>
    </row>
    <row r="1629" spans="1:11">
      <c r="A1629" s="1">
        <v>3131</v>
      </c>
      <c r="B1629" s="1" t="s">
        <v>9692</v>
      </c>
      <c r="C1629" s="1" t="s">
        <v>9693</v>
      </c>
      <c r="D1629" s="1" t="s">
        <v>4645</v>
      </c>
      <c r="E1629" s="1" t="s">
        <v>4658</v>
      </c>
      <c r="F1629" s="1" t="s">
        <v>4659</v>
      </c>
      <c r="G1629" s="1" t="s">
        <v>4660</v>
      </c>
      <c r="H1629" s="1" t="str">
        <f t="shared" si="100"/>
        <v>ZYXEL XGS-4728F</v>
      </c>
      <c r="I1629" s="1" t="str">
        <f t="shared" si="101"/>
        <v>SFP{#ZYXEL.SFP.PORT}: {#ZYXEL.SFP.DESCRIPTION}低(小于{#ZYXEL.SFP.WARN.MIN}{#ZYXEL.SFP.UNIT})</v>
      </c>
      <c r="J1629" s="1" t="str">
        <f t="shared" si="102"/>
        <v>ZYXEL XGS-4728F: SFP{#ZYXEL.SFP.PORT}: {#ZYXEL.SFP.DESCRIPTION}低(小于{#ZYXEL.SFP.WARN.MIN}{#ZYXEL.SFP.UNIT})</v>
      </c>
      <c r="K1629" s="1" t="str">
        <f t="shared" si="103"/>
        <v>SFP {#ZYXEL.SFP.PORT}: Low {#ZYXEL.SFP.DESCRIPTION} (less than {#ZYXEL.SFP.WARN.MIN}{#ZYXEL.SFP.UNIT})</v>
      </c>
    </row>
    <row r="1630" spans="1:11">
      <c r="A1630" s="1">
        <v>3136</v>
      </c>
      <c r="B1630" s="1" t="s">
        <v>9694</v>
      </c>
      <c r="C1630" s="1" t="s">
        <v>9554</v>
      </c>
      <c r="D1630" s="1" t="s">
        <v>8348</v>
      </c>
      <c r="E1630" s="1" t="s">
        <v>93</v>
      </c>
      <c r="F1630" s="1" t="s">
        <v>9635</v>
      </c>
      <c r="G1630" s="1" t="s">
        <v>9636</v>
      </c>
      <c r="H1630" s="1" t="str">
        <f t="shared" si="100"/>
        <v/>
      </c>
      <c r="I1630" s="1" t="str">
        <f t="shared" si="101"/>
        <v/>
      </c>
      <c r="J1630" s="1" t="str">
        <f t="shared" si="102"/>
        <v>代理[{#PROXY.NAME}]: Zabbix代理最后出现时间超过{$PROXY.LAST_SEEN.MAX}秒前</v>
      </c>
      <c r="K1630" s="1" t="str">
        <f t="shared" si="103"/>
        <v/>
      </c>
    </row>
    <row r="1631" spans="1:11">
      <c r="A1631" s="1">
        <v>3138</v>
      </c>
      <c r="B1631" s="1" t="s">
        <v>9695</v>
      </c>
      <c r="C1631" s="1" t="s">
        <v>9078</v>
      </c>
      <c r="D1631" s="1" t="s">
        <v>4662</v>
      </c>
      <c r="E1631" s="1" t="s">
        <v>4663</v>
      </c>
      <c r="F1631" s="1" t="s">
        <v>4664</v>
      </c>
      <c r="G1631" s="1" t="s">
        <v>4665</v>
      </c>
      <c r="H1631" s="1" t="str">
        <f t="shared" si="100"/>
        <v>Zookeeper</v>
      </c>
      <c r="I1631" s="1" t="str">
        <f t="shared" si="101"/>
        <v>挂起的同步太多(超过{$ZOOKEEPER.PENDING_SYNCS.MAX.WARN}%达5分钟)</v>
      </c>
      <c r="J1631" s="1" t="str">
        <f t="shared" si="102"/>
        <v>Zookeeper: 挂起的同步太多(超过{$ZOOKEEPER.PENDING_SYNCS.MAX.WARN}%达5分钟)</v>
      </c>
      <c r="K1631" s="1" t="str">
        <f t="shared" si="103"/>
        <v>Too many pending syncs (over {$ZOOKEEPER.PENDING_SYNCS.MAX.WARN}% for 5 min)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6.0.35</vt:lpstr>
      <vt:lpstr>7.0.17</vt:lpstr>
      <vt:lpstr>整理</vt:lpstr>
      <vt:lpstr>000</vt:lpstr>
      <vt:lpstr>6.4.14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houjianming</cp:lastModifiedBy>
  <dcterms:created xsi:type="dcterms:W3CDTF">2023-04-25T10:06:00Z</dcterms:created>
  <dcterms:modified xsi:type="dcterms:W3CDTF">2025-08-13T03:14:46Z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  <property fmtid="{D5CDD505-2E9C-101B-9397-08002B2CF9AE}" pid="3" name="KSOReadingLayout">
    <vt:bool>true</vt:bool>
  </property>
</Properties>
</file>